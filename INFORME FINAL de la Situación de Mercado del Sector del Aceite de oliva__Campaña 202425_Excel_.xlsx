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D2622246-468B-437B-814F-8F789D7ADFD6}" xr6:coauthVersionLast="47" xr6:coauthVersionMax="47" xr10:uidLastSave="{00000000-0000-0000-0000-000000000000}"/>
  <bookViews>
    <workbookView xWindow="-120" yWindow="-120" windowWidth="29040" windowHeight="15720" tabRatio="797" xr2:uid="{00000000-000D-0000-FFFF-FFFF00000000}"/>
  </bookViews>
  <sheets>
    <sheet name="INFORME CAMPAÑA 24-25" sheetId="44" r:id="rId1"/>
    <sheet name="01_BALANCE EXISTENCIAS FÍSICAS" sheetId="45" r:id="rId2"/>
    <sheet name="02_CUADRYGRÁF.COMP.ÚLT.5 CAMP." sheetId="46" r:id="rId3"/>
    <sheet name="03_CUADRYGRÁF.COMP.5 ÚLT.CAMP." sheetId="47" r:id="rId4"/>
    <sheet name="04_CUADROS ACUMULADOS" sheetId="48" r:id="rId5"/>
    <sheet name="05_GRÁF.COMP.MEDIA 4 ÚLT.CAMPAÑ" sheetId="49" r:id="rId6"/>
    <sheet name="06_ALMAZARAS.BALANCE DE CAMPAÑA" sheetId="21" r:id="rId7"/>
    <sheet name="07_ALMAZARAS.ACEITE PRODUCIDO" sheetId="42" r:id="rId8"/>
    <sheet name="08_ALMAZ POR TIPO.PRODUCCIÓN" sheetId="23" r:id="rId9"/>
    <sheet name="09_ALMAZ.PROD. POR CAMYTIPO " sheetId="24" r:id="rId10"/>
    <sheet name="10_ALMAZ.RES.ANUAL SAL.NET.ACEI" sheetId="33" r:id="rId11"/>
    <sheet name="11_ALMAZARAS.ACEITUNA MOLTURADA" sheetId="31" r:id="rId12"/>
    <sheet name="12_ENV,REF Y OPE.EXIST.TOTAL" sheetId="30" r:id="rId13"/>
    <sheet name="13_ENV,REF Y OPE-TOTAL AC.OLIVA" sheetId="29" r:id="rId14"/>
    <sheet name="14_ENV.REF Y OPE-TOTAL AC.ORUJO" sheetId="43" r:id="rId15"/>
    <sheet name="15_ENV,REF Y OPE. NºEMP.ENV.DAT" sheetId="27" r:id="rId16"/>
    <sheet name="16_EXTRAC.EXIST.AC.ORU.CRU.GRÁF" sheetId="26" r:id="rId17"/>
    <sheet name="17_EXTRAC.EXIST.ORUJ.GRASO.GRÁF" sheetId="25" r:id="rId18"/>
  </sheets>
  <definedNames>
    <definedName name="_xlnm.Print_Area" localSheetId="1">'01_BALANCE EXISTENCIAS FÍSICAS'!$A$1:$I$77</definedName>
    <definedName name="_xlnm.Print_Area" localSheetId="2">'02_CUADRYGRÁF.COMP.ÚLT.5 CAMP.'!$A$1:$O$91</definedName>
    <definedName name="_xlnm.Print_Area" localSheetId="3">'03_CUADRYGRÁF.COMP.5 ÚLT.CAMP.'!$B$1:$S$56</definedName>
    <definedName name="_xlnm.Print_Area" localSheetId="4">'04_CUADROS ACUMULADOS'!$A$1:$L$84</definedName>
    <definedName name="_xlnm.Print_Area" localSheetId="5">'05_GRÁF.COMP.MEDIA 4 ÚLT.CAMPAÑ'!$A$1:$O$79</definedName>
    <definedName name="_xlnm.Print_Area" localSheetId="6">'06_ALMAZARAS.BALANCE DE CAMPAÑA'!$B$1:$N$64</definedName>
    <definedName name="_xlnm.Print_Area" localSheetId="7">'07_ALMAZARAS.ACEITE PRODUCIDO'!$B$1:$R$61</definedName>
    <definedName name="_xlnm.Print_Area" localSheetId="8">'08_ALMAZ POR TIPO.PRODUCCIÓN'!$A$1:$Q$67</definedName>
    <definedName name="_xlnm.Print_Area" localSheetId="9">'09_ALMAZ.PROD. POR CAMYTIPO '!$A$1:$G$44</definedName>
    <definedName name="_xlnm.Print_Area" localSheetId="10">'10_ALMAZ.RES.ANUAL SAL.NET.ACEI'!$A$2:$R$67</definedName>
    <definedName name="_xlnm.Print_Area" localSheetId="11">'11_ALMAZARAS.ACEITUNA MOLTURADA'!$A$1:$M$67</definedName>
    <definedName name="_xlnm.Print_Area" localSheetId="12">'12_ENV,REF Y OPE.EXIST.TOTAL'!$A$1:$K$70</definedName>
    <definedName name="_xlnm.Print_Area" localSheetId="13">'13_ENV,REF Y OPE-TOTAL AC.OLIVA'!$A$1:$S$69</definedName>
    <definedName name="_xlnm.Print_Area" localSheetId="14">'14_ENV.REF Y OPE-TOTAL AC.ORUJO'!$A$1:$S$69</definedName>
    <definedName name="_xlnm.Print_Area" localSheetId="15">'15_ENV,REF Y OPE. NºEMP.ENV.DAT'!$A$1:$I$67</definedName>
    <definedName name="_xlnm.Print_Area" localSheetId="16">'16_EXTRAC.EXIST.AC.ORU.CRU.GRÁF'!$A$1:$O$42</definedName>
    <definedName name="_xlnm.Print_Area" localSheetId="17">'17_EXTRAC.EXIST.ORUJ.GRASO.GRÁF'!$A$1:$O$42</definedName>
    <definedName name="_xlnm.Print_Area" localSheetId="0">'INFORME CAMPAÑA 24-25'!$A$1:$Q$110</definedName>
    <definedName name="Z_7773ACE5_7C99_481D_862C_A1FEEBC42989_.wvu.PrintArea" localSheetId="6" hidden="1">'06_ALMAZARAS.BALANCE DE CAMPAÑA'!$A$1:$N$64</definedName>
    <definedName name="Z_7773ACE5_7C99_481D_862C_A1FEEBC42989_.wvu.PrintArea" localSheetId="7" hidden="1">'07_ALMAZARAS.ACEITE PRODUCIDO'!$B$1:$Q$62</definedName>
    <definedName name="Z_7773ACE5_7C99_481D_862C_A1FEEBC42989_.wvu.PrintArea" localSheetId="8" hidden="1">'08_ALMAZ POR TIPO.PRODUCCIÓN'!$A$1:$Q$67</definedName>
    <definedName name="Z_7773ACE5_7C99_481D_862C_A1FEEBC42989_.wvu.PrintArea" localSheetId="9" hidden="1">'09_ALMAZ.PROD. POR CAMYTIPO '!$A$1:$G$44</definedName>
    <definedName name="Z_7773ACE5_7C99_481D_862C_A1FEEBC42989_.wvu.PrintArea" localSheetId="10" hidden="1">'10_ALMAZ.RES.ANUAL SAL.NET.ACEI'!$A$1:$S$68</definedName>
    <definedName name="Z_7773ACE5_7C99_481D_862C_A1FEEBC42989_.wvu.PrintArea" localSheetId="11" hidden="1">'11_ALMAZARAS.ACEITUNA MOLTURADA'!$A$1:$M$67</definedName>
    <definedName name="Z_7773ACE5_7C99_481D_862C_A1FEEBC42989_.wvu.PrintArea" localSheetId="12" hidden="1">'12_ENV,REF Y OPE.EXIST.TOTAL'!$A$1:$K$70</definedName>
    <definedName name="Z_7773ACE5_7C99_481D_862C_A1FEEBC42989_.wvu.PrintArea" localSheetId="13" hidden="1">'13_ENV,REF Y OPE-TOTAL AC.OLIVA'!$A$1:$S$71</definedName>
    <definedName name="Z_7773ACE5_7C99_481D_862C_A1FEEBC42989_.wvu.PrintArea" localSheetId="14" hidden="1">'14_ENV.REF Y OPE-TOTAL AC.ORUJO'!$A$1:$S$69</definedName>
    <definedName name="Z_7773ACE5_7C99_481D_862C_A1FEEBC42989_.wvu.PrintArea" localSheetId="15" hidden="1">'15_ENV,REF Y OPE. NºEMP.ENV.DAT'!$A$1:$I$67</definedName>
    <definedName name="Z_7773ACE5_7C99_481D_862C_A1FEEBC42989_.wvu.PrintArea" localSheetId="16" hidden="1">'16_EXTRAC.EXIST.AC.ORU.CRU.GRÁF'!$A$1:$O$42</definedName>
    <definedName name="Z_7773ACE5_7C99_481D_862C_A1FEEBC42989_.wvu.PrintArea" localSheetId="17" hidden="1">'17_EXTRAC.EXIST.ORUJ.GRASO.GRÁF'!$A$1:$O$42</definedName>
    <definedName name="Z_CC5263C7_D4B7_4963_B44A_F9A79F041C17_.wvu.PrintArea" localSheetId="6" hidden="1">'06_ALMAZARAS.BALANCE DE CAMPAÑA'!$A$1:$N$64</definedName>
    <definedName name="Z_CC5263C7_D4B7_4963_B44A_F9A79F041C17_.wvu.PrintArea" localSheetId="7" hidden="1">'07_ALMAZARAS.ACEITE PRODUCIDO'!$B$1:$Q$62</definedName>
    <definedName name="Z_CC5263C7_D4B7_4963_B44A_F9A79F041C17_.wvu.PrintArea" localSheetId="8" hidden="1">'08_ALMAZ POR TIPO.PRODUCCIÓN'!$A$1:$Q$67</definedName>
    <definedName name="Z_CC5263C7_D4B7_4963_B44A_F9A79F041C17_.wvu.PrintArea" localSheetId="9" hidden="1">'09_ALMAZ.PROD. POR CAMYTIPO '!$A$1:$G$44</definedName>
    <definedName name="Z_CC5263C7_D4B7_4963_B44A_F9A79F041C17_.wvu.PrintArea" localSheetId="10" hidden="1">'10_ALMAZ.RES.ANUAL SAL.NET.ACEI'!$A$1:$S$68</definedName>
    <definedName name="Z_CC5263C7_D4B7_4963_B44A_F9A79F041C17_.wvu.PrintArea" localSheetId="11" hidden="1">'11_ALMAZARAS.ACEITUNA MOLTURADA'!$A$1:$M$67</definedName>
    <definedName name="Z_CC5263C7_D4B7_4963_B44A_F9A79F041C17_.wvu.PrintArea" localSheetId="12" hidden="1">'12_ENV,REF Y OPE.EXIST.TOTAL'!$A$1:$K$70</definedName>
    <definedName name="Z_CC5263C7_D4B7_4963_B44A_F9A79F041C17_.wvu.PrintArea" localSheetId="13" hidden="1">'13_ENV,REF Y OPE-TOTAL AC.OLIVA'!$A$1:$S$71</definedName>
    <definedName name="Z_CC5263C7_D4B7_4963_B44A_F9A79F041C17_.wvu.PrintArea" localSheetId="14" hidden="1">'14_ENV.REF Y OPE-TOTAL AC.ORUJO'!$A$1:$S$69</definedName>
    <definedName name="Z_CC5263C7_D4B7_4963_B44A_F9A79F041C17_.wvu.PrintArea" localSheetId="15" hidden="1">'15_ENV,REF Y OPE. NºEMP.ENV.DAT'!$A$1:$I$67</definedName>
    <definedName name="Z_CC5263C7_D4B7_4963_B44A_F9A79F041C17_.wvu.PrintArea" localSheetId="16" hidden="1">'16_EXTRAC.EXIST.AC.ORU.CRU.GRÁF'!$A$1:$O$42</definedName>
    <definedName name="Z_CC5263C7_D4B7_4963_B44A_F9A79F041C17_.wvu.PrintArea" localSheetId="17" hidden="1">'17_EXTRAC.EXIST.ORUJ.GRASO.GRÁF'!$A$1:$O$42</definedName>
    <definedName name="Z_FE8850AE_213B_4828_9032_1B74110E49FE_.wvu.PrintArea" localSheetId="6" hidden="1">'06_ALMAZARAS.BALANCE DE CAMPAÑA'!$A$1:$N$64</definedName>
    <definedName name="Z_FE8850AE_213B_4828_9032_1B74110E49FE_.wvu.PrintArea" localSheetId="7" hidden="1">'07_ALMAZARAS.ACEITE PRODUCIDO'!$B$1:$Q$62</definedName>
    <definedName name="Z_FE8850AE_213B_4828_9032_1B74110E49FE_.wvu.PrintArea" localSheetId="8" hidden="1">'08_ALMAZ POR TIPO.PRODUCCIÓN'!$A$1:$Q$67</definedName>
    <definedName name="Z_FE8850AE_213B_4828_9032_1B74110E49FE_.wvu.PrintArea" localSheetId="9" hidden="1">'09_ALMAZ.PROD. POR CAMYTIPO '!$A$1:$G$44</definedName>
    <definedName name="Z_FE8850AE_213B_4828_9032_1B74110E49FE_.wvu.PrintArea" localSheetId="10" hidden="1">'10_ALMAZ.RES.ANUAL SAL.NET.ACEI'!$A$1:$S$68</definedName>
    <definedName name="Z_FE8850AE_213B_4828_9032_1B74110E49FE_.wvu.PrintArea" localSheetId="11" hidden="1">'11_ALMAZARAS.ACEITUNA MOLTURADA'!$A$1:$M$67</definedName>
    <definedName name="Z_FE8850AE_213B_4828_9032_1B74110E49FE_.wvu.PrintArea" localSheetId="12" hidden="1">'12_ENV,REF Y OPE.EXIST.TOTAL'!$A$1:$K$70</definedName>
    <definedName name="Z_FE8850AE_213B_4828_9032_1B74110E49FE_.wvu.PrintArea" localSheetId="13" hidden="1">'13_ENV,REF Y OPE-TOTAL AC.OLIVA'!$A$1:$S$71</definedName>
    <definedName name="Z_FE8850AE_213B_4828_9032_1B74110E49FE_.wvu.PrintArea" localSheetId="14" hidden="1">'14_ENV.REF Y OPE-TOTAL AC.ORUJO'!$A$1:$S$69</definedName>
    <definedName name="Z_FE8850AE_213B_4828_9032_1B74110E49FE_.wvu.PrintArea" localSheetId="15" hidden="1">'15_ENV,REF Y OPE. NºEMP.ENV.DAT'!$A$1:$I$67</definedName>
    <definedName name="Z_FE8850AE_213B_4828_9032_1B74110E49FE_.wvu.PrintArea" localSheetId="16" hidden="1">'16_EXTRAC.EXIST.AC.ORU.CRU.GRÁF'!$A$1:$O$42</definedName>
    <definedName name="Z_FE8850AE_213B_4828_9032_1B74110E49FE_.wvu.PrintArea" localSheetId="17" hidden="1">'17_EXTRAC.EXIST.ORUJ.GRASO.GRÁF'!$A$1:$O$42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45" l="1"/>
  <c r="F39" i="45"/>
  <c r="E39" i="45"/>
  <c r="D20" i="45" l="1"/>
  <c r="C74" i="45"/>
  <c r="C73" i="45"/>
  <c r="C72" i="45"/>
  <c r="C71" i="45"/>
  <c r="C70" i="45"/>
  <c r="C69" i="45"/>
  <c r="C68" i="45"/>
  <c r="C67" i="45"/>
  <c r="C66" i="45"/>
  <c r="C65" i="45"/>
  <c r="C64" i="45"/>
  <c r="C63" i="45"/>
  <c r="C58" i="45"/>
  <c r="C39" i="45"/>
  <c r="F20" i="45"/>
  <c r="G20" i="45"/>
  <c r="E20" i="45"/>
  <c r="G54" i="46"/>
  <c r="G37" i="46"/>
  <c r="D15" i="49"/>
  <c r="D14" i="49"/>
  <c r="D13" i="49"/>
  <c r="D12" i="49"/>
  <c r="D10" i="49"/>
  <c r="E14" i="49"/>
  <c r="E13" i="49"/>
  <c r="E12" i="49"/>
  <c r="E10" i="49"/>
  <c r="E9" i="49"/>
  <c r="C37" i="46"/>
  <c r="D37" i="46"/>
  <c r="E37" i="46"/>
  <c r="F37" i="46"/>
  <c r="E74" i="49"/>
  <c r="D74" i="49"/>
  <c r="E73" i="49"/>
  <c r="D73" i="49"/>
  <c r="E72" i="49"/>
  <c r="D72" i="49"/>
  <c r="E71" i="49"/>
  <c r="D71" i="49"/>
  <c r="E70" i="49"/>
  <c r="D70" i="49"/>
  <c r="E69" i="49"/>
  <c r="D69" i="49"/>
  <c r="E68" i="49"/>
  <c r="D68" i="49"/>
  <c r="E67" i="49"/>
  <c r="D67" i="49"/>
  <c r="E66" i="49"/>
  <c r="D66" i="49"/>
  <c r="E65" i="49"/>
  <c r="D65" i="49"/>
  <c r="E64" i="49"/>
  <c r="D64" i="49"/>
  <c r="E63" i="49"/>
  <c r="L63" i="49" s="1"/>
  <c r="D63" i="49"/>
  <c r="K62" i="49"/>
  <c r="D62" i="49"/>
  <c r="L56" i="49"/>
  <c r="K56" i="49"/>
  <c r="E56" i="49"/>
  <c r="D56" i="49"/>
  <c r="L55" i="49"/>
  <c r="K55" i="49"/>
  <c r="E55" i="49"/>
  <c r="D55" i="49"/>
  <c r="L54" i="49"/>
  <c r="K54" i="49"/>
  <c r="E54" i="49"/>
  <c r="D54" i="49"/>
  <c r="L53" i="49"/>
  <c r="K53" i="49"/>
  <c r="E53" i="49"/>
  <c r="D53" i="49"/>
  <c r="L52" i="49"/>
  <c r="K52" i="49"/>
  <c r="E52" i="49"/>
  <c r="D52" i="49"/>
  <c r="L51" i="49"/>
  <c r="K51" i="49"/>
  <c r="E51" i="49"/>
  <c r="D51" i="49"/>
  <c r="L50" i="49"/>
  <c r="K50" i="49"/>
  <c r="E50" i="49"/>
  <c r="D50" i="49"/>
  <c r="L49" i="49"/>
  <c r="K49" i="49"/>
  <c r="E49" i="49"/>
  <c r="D49" i="49"/>
  <c r="L48" i="49"/>
  <c r="K48" i="49"/>
  <c r="E48" i="49"/>
  <c r="D48" i="49"/>
  <c r="L47" i="49"/>
  <c r="K47" i="49"/>
  <c r="E47" i="49"/>
  <c r="D47" i="49"/>
  <c r="L46" i="49"/>
  <c r="K46" i="49"/>
  <c r="E46" i="49"/>
  <c r="D46" i="49"/>
  <c r="L45" i="49"/>
  <c r="K45" i="49"/>
  <c r="E45" i="49"/>
  <c r="D45" i="49"/>
  <c r="D57" i="49" s="1" a="1"/>
  <c r="D57" i="49" s="1"/>
  <c r="K44" i="49"/>
  <c r="D44" i="49"/>
  <c r="L38" i="49"/>
  <c r="K38" i="49"/>
  <c r="E38" i="49"/>
  <c r="D38" i="49"/>
  <c r="L37" i="49"/>
  <c r="K37" i="49"/>
  <c r="E37" i="49"/>
  <c r="D37" i="49"/>
  <c r="L36" i="49"/>
  <c r="K36" i="49"/>
  <c r="E36" i="49"/>
  <c r="D36" i="49"/>
  <c r="L35" i="49"/>
  <c r="K35" i="49"/>
  <c r="E35" i="49"/>
  <c r="D35" i="49"/>
  <c r="L34" i="49"/>
  <c r="K34" i="49"/>
  <c r="E34" i="49"/>
  <c r="D34" i="49"/>
  <c r="L33" i="49"/>
  <c r="K33" i="49"/>
  <c r="E33" i="49"/>
  <c r="D33" i="49"/>
  <c r="L32" i="49"/>
  <c r="K32" i="49"/>
  <c r="E32" i="49"/>
  <c r="D32" i="49"/>
  <c r="L31" i="49"/>
  <c r="K31" i="49"/>
  <c r="E31" i="49"/>
  <c r="D31" i="49"/>
  <c r="L30" i="49"/>
  <c r="K30" i="49"/>
  <c r="E30" i="49"/>
  <c r="D30" i="49"/>
  <c r="L29" i="49"/>
  <c r="K29" i="49"/>
  <c r="E29" i="49"/>
  <c r="D29" i="49"/>
  <c r="L28" i="49"/>
  <c r="K28" i="49"/>
  <c r="E28" i="49"/>
  <c r="D28" i="49"/>
  <c r="L27" i="49"/>
  <c r="K27" i="49"/>
  <c r="E27" i="49"/>
  <c r="D27" i="49"/>
  <c r="K26" i="49"/>
  <c r="D26" i="49"/>
  <c r="L20" i="49"/>
  <c r="K20" i="49"/>
  <c r="L19" i="49"/>
  <c r="K19" i="49"/>
  <c r="L18" i="49"/>
  <c r="K18" i="49"/>
  <c r="L17" i="49"/>
  <c r="K17" i="49"/>
  <c r="L16" i="49"/>
  <c r="K16" i="49"/>
  <c r="E16" i="49"/>
  <c r="D16" i="49"/>
  <c r="L15" i="49"/>
  <c r="K15" i="49"/>
  <c r="E15" i="49"/>
  <c r="L14" i="49"/>
  <c r="K14" i="49"/>
  <c r="L13" i="49"/>
  <c r="K13" i="49"/>
  <c r="L12" i="49"/>
  <c r="K12" i="49"/>
  <c r="L11" i="49"/>
  <c r="K11" i="49"/>
  <c r="E11" i="49"/>
  <c r="D11" i="49"/>
  <c r="L10" i="49"/>
  <c r="K10" i="49"/>
  <c r="L9" i="49"/>
  <c r="K9" i="49"/>
  <c r="L21" i="49" s="1"/>
  <c r="D9" i="49"/>
  <c r="K8" i="49"/>
  <c r="D8" i="49"/>
  <c r="K19" i="48"/>
  <c r="K18" i="48"/>
  <c r="J17" i="48"/>
  <c r="K16" i="48"/>
  <c r="I8" i="48"/>
  <c r="G88" i="46"/>
  <c r="F88" i="46"/>
  <c r="E88" i="46"/>
  <c r="D88" i="46"/>
  <c r="C88" i="46"/>
  <c r="G71" i="46"/>
  <c r="F71" i="46"/>
  <c r="E71" i="46"/>
  <c r="D71" i="46"/>
  <c r="C71" i="46"/>
  <c r="F54" i="46"/>
  <c r="E54" i="46"/>
  <c r="D54" i="46"/>
  <c r="C54" i="46"/>
  <c r="E20" i="46"/>
  <c r="D20" i="46"/>
  <c r="C20" i="46"/>
  <c r="G58" i="45"/>
  <c r="F58" i="45"/>
  <c r="E58" i="45"/>
  <c r="E40" i="45"/>
  <c r="G22" i="45"/>
  <c r="K12" i="25"/>
  <c r="E59" i="45" l="1"/>
  <c r="K57" i="49" a="1"/>
  <c r="K57" i="49" s="1"/>
  <c r="L57" i="49" s="1"/>
  <c r="K58" i="49" s="1"/>
  <c r="G20" i="46"/>
  <c r="D21" i="49"/>
  <c r="F20" i="46"/>
  <c r="E39" i="49"/>
  <c r="I73" i="48"/>
  <c r="L64" i="49"/>
  <c r="K72" i="48"/>
  <c r="D76" i="49"/>
  <c r="D39" i="49"/>
  <c r="D40" i="49" s="1"/>
  <c r="I57" i="48"/>
  <c r="K56" i="48"/>
  <c r="I41" i="48"/>
  <c r="L39" i="49"/>
  <c r="K39" i="49"/>
  <c r="K40" i="49" s="1"/>
  <c r="K40" i="48"/>
  <c r="I24" i="48"/>
  <c r="J26" i="48"/>
  <c r="K21" i="49"/>
  <c r="K22" i="49" s="1"/>
  <c r="I17" i="48"/>
  <c r="I19" i="48"/>
  <c r="E21" i="49"/>
  <c r="E57" i="49"/>
  <c r="D58" i="49" s="1"/>
  <c r="K74" i="48"/>
  <c r="I74" i="48"/>
  <c r="J74" i="48"/>
  <c r="K26" i="48"/>
  <c r="I26" i="48"/>
  <c r="L65" i="49"/>
  <c r="L66" i="49" s="1"/>
  <c r="L67" i="49" s="1"/>
  <c r="L68" i="49" s="1"/>
  <c r="L69" i="49" s="1"/>
  <c r="L70" i="49" s="1"/>
  <c r="L71" i="49" s="1"/>
  <c r="L72" i="49" s="1"/>
  <c r="L73" i="49" s="1"/>
  <c r="L74" i="49" s="1"/>
  <c r="K42" i="48"/>
  <c r="J42" i="48"/>
  <c r="I42" i="48"/>
  <c r="I58" i="48"/>
  <c r="K58" i="48"/>
  <c r="J58" i="48"/>
  <c r="J9" i="48"/>
  <c r="J19" i="48"/>
  <c r="J25" i="48"/>
  <c r="J57" i="48"/>
  <c r="J73" i="48"/>
  <c r="K9" i="48"/>
  <c r="K17" i="48"/>
  <c r="K25" i="48"/>
  <c r="K41" i="48"/>
  <c r="K57" i="48"/>
  <c r="K73" i="48"/>
  <c r="J41" i="48"/>
  <c r="D75" i="49"/>
  <c r="I16" i="48"/>
  <c r="I56" i="48"/>
  <c r="E75" i="49"/>
  <c r="J8" i="48"/>
  <c r="J16" i="48"/>
  <c r="J18" i="48"/>
  <c r="J24" i="48"/>
  <c r="J40" i="48"/>
  <c r="J56" i="48"/>
  <c r="J72" i="48"/>
  <c r="K63" i="49"/>
  <c r="I18" i="48"/>
  <c r="I72" i="48"/>
  <c r="K8" i="48"/>
  <c r="K24" i="48"/>
  <c r="I40" i="48"/>
  <c r="D22" i="49" l="1"/>
  <c r="I25" i="48"/>
  <c r="I9" i="48"/>
  <c r="K59" i="48"/>
  <c r="J59" i="48"/>
  <c r="I59" i="48"/>
  <c r="K75" i="48"/>
  <c r="J75" i="48"/>
  <c r="I75" i="48"/>
  <c r="I43" i="48"/>
  <c r="K43" i="48"/>
  <c r="J43" i="48"/>
  <c r="K64" i="49"/>
  <c r="K65" i="49" s="1"/>
  <c r="K66" i="49" s="1"/>
  <c r="K67" i="49" s="1"/>
  <c r="K68" i="49" s="1"/>
  <c r="K69" i="49" s="1"/>
  <c r="K70" i="49" s="1"/>
  <c r="K71" i="49" s="1"/>
  <c r="K72" i="49" s="1"/>
  <c r="K73" i="49" s="1"/>
  <c r="K74" i="49" s="1"/>
  <c r="K75" i="49" s="1" a="1"/>
  <c r="K75" i="49" s="1"/>
  <c r="I27" i="48"/>
  <c r="K27" i="48"/>
  <c r="J27" i="48"/>
  <c r="I10" i="48" l="1"/>
  <c r="K10" i="48"/>
  <c r="J10" i="48"/>
  <c r="L75" i="49"/>
  <c r="K76" i="49" s="1"/>
  <c r="K44" i="48"/>
  <c r="I44" i="48"/>
  <c r="J44" i="48"/>
  <c r="K28" i="48"/>
  <c r="I28" i="48"/>
  <c r="J28" i="48"/>
  <c r="K76" i="48"/>
  <c r="I76" i="48"/>
  <c r="J76" i="48"/>
  <c r="K60" i="48"/>
  <c r="I60" i="48"/>
  <c r="J60" i="48"/>
  <c r="I78" i="48" l="1"/>
  <c r="K78" i="48"/>
  <c r="J78" i="48"/>
  <c r="K62" i="48"/>
  <c r="I62" i="48"/>
  <c r="J62" i="48"/>
  <c r="I46" i="48"/>
  <c r="K46" i="48"/>
  <c r="J46" i="48"/>
  <c r="I30" i="48"/>
  <c r="J30" i="48"/>
  <c r="K30" i="48"/>
  <c r="J11" i="48"/>
  <c r="K11" i="48"/>
  <c r="I11" i="48"/>
  <c r="J29" i="48"/>
  <c r="K29" i="48"/>
  <c r="I29" i="48"/>
  <c r="K61" i="48"/>
  <c r="J61" i="48"/>
  <c r="I61" i="48"/>
  <c r="J45" i="48"/>
  <c r="K45" i="48"/>
  <c r="I45" i="48"/>
  <c r="K77" i="48"/>
  <c r="J77" i="48"/>
  <c r="I77" i="48"/>
  <c r="K79" i="48" l="1"/>
  <c r="I79" i="48"/>
  <c r="J79" i="48"/>
  <c r="J63" i="48"/>
  <c r="I63" i="48"/>
  <c r="K63" i="48"/>
  <c r="K47" i="48"/>
  <c r="I47" i="48"/>
  <c r="J47" i="48"/>
  <c r="K31" i="48"/>
  <c r="I31" i="48"/>
  <c r="J31" i="48"/>
  <c r="K12" i="48"/>
  <c r="I12" i="48"/>
  <c r="J12" i="48"/>
  <c r="K80" i="48" l="1"/>
  <c r="J80" i="48"/>
  <c r="I80" i="48"/>
  <c r="K64" i="48"/>
  <c r="I64" i="48"/>
  <c r="J64" i="48"/>
  <c r="K48" i="48"/>
  <c r="J48" i="48"/>
  <c r="I48" i="48"/>
  <c r="K32" i="48"/>
  <c r="J32" i="48"/>
  <c r="I32" i="48"/>
  <c r="J13" i="48"/>
  <c r="I13" i="48"/>
  <c r="K13" i="48"/>
  <c r="J81" i="48" l="1"/>
  <c r="I81" i="48"/>
  <c r="K81" i="48"/>
  <c r="K65" i="48"/>
  <c r="I65" i="48"/>
  <c r="J65" i="48"/>
  <c r="K49" i="48"/>
  <c r="I49" i="48"/>
  <c r="J49" i="48"/>
  <c r="J33" i="48"/>
  <c r="I33" i="48"/>
  <c r="K33" i="48"/>
  <c r="K14" i="48"/>
  <c r="J14" i="48"/>
  <c r="I14" i="48"/>
  <c r="K82" i="48" l="1"/>
  <c r="I82" i="48"/>
  <c r="J82" i="48"/>
  <c r="K66" i="48"/>
  <c r="I66" i="48"/>
  <c r="J66" i="48"/>
  <c r="K50" i="48"/>
  <c r="J50" i="48"/>
  <c r="I50" i="48"/>
  <c r="K34" i="48"/>
  <c r="I34" i="48"/>
  <c r="J34" i="48"/>
  <c r="K15" i="48"/>
  <c r="I15" i="48"/>
  <c r="J15" i="48"/>
  <c r="K83" i="48" l="1"/>
  <c r="I83" i="48"/>
  <c r="J83" i="48"/>
  <c r="K67" i="48"/>
  <c r="I67" i="48"/>
  <c r="J67" i="48"/>
  <c r="J51" i="48"/>
  <c r="I51" i="48"/>
  <c r="K51" i="48"/>
  <c r="K35" i="48"/>
  <c r="I35" i="48"/>
  <c r="J35" i="48"/>
</calcChain>
</file>

<file path=xl/sharedStrings.xml><?xml version="1.0" encoding="utf-8"?>
<sst xmlns="http://schemas.openxmlformats.org/spreadsheetml/2006/main" count="1378" uniqueCount="239">
  <si>
    <t>ALMAZARAS</t>
  </si>
  <si>
    <t>ENTRADAS</t>
  </si>
  <si>
    <t>SALIDAS TOTALES</t>
  </si>
  <si>
    <t>EXISTENCIAS FINALES</t>
  </si>
  <si>
    <t>PROVINCIA</t>
  </si>
  <si>
    <t>OTRAS E.</t>
  </si>
  <si>
    <t>GRANADA</t>
  </si>
  <si>
    <t>HUELVA</t>
  </si>
  <si>
    <t>SEVILLA</t>
  </si>
  <si>
    <t>TOTAL:</t>
  </si>
  <si>
    <t>HUESCA</t>
  </si>
  <si>
    <t>TERUEL</t>
  </si>
  <si>
    <t>ZARAGOZA</t>
  </si>
  <si>
    <t>BALEARES</t>
  </si>
  <si>
    <t>ALICANTE</t>
  </si>
  <si>
    <t>VALENCIA</t>
  </si>
  <si>
    <t>ALBACETE</t>
  </si>
  <si>
    <t>CIUDAD REAL</t>
  </si>
  <si>
    <t>CUENCA</t>
  </si>
  <si>
    <t>TOLEDO</t>
  </si>
  <si>
    <t>SALAMANCA</t>
  </si>
  <si>
    <t>OTRAS</t>
  </si>
  <si>
    <t>CATALUÑA</t>
  </si>
  <si>
    <t>BARCELONA</t>
  </si>
  <si>
    <t>GIRONA</t>
  </si>
  <si>
    <t>LLEIDA</t>
  </si>
  <si>
    <t>TARRAGONA</t>
  </si>
  <si>
    <t>EXTREMADURA</t>
  </si>
  <si>
    <t>BADAJOZ</t>
  </si>
  <si>
    <t>GALICIA</t>
  </si>
  <si>
    <t>TODAS</t>
  </si>
  <si>
    <t>LA RIOJA</t>
  </si>
  <si>
    <t>MADRID</t>
  </si>
  <si>
    <t>MURCIA</t>
  </si>
  <si>
    <t>NAVARRA</t>
  </si>
  <si>
    <t>TOTAL NACIONAL</t>
  </si>
  <si>
    <t>* Número de Almazaras Existentes en la Campaña</t>
  </si>
  <si>
    <t>** Número de Almazaras que han Declarado en la Campaña para el Mes Indicado</t>
  </si>
  <si>
    <t>Datos Expresados en Toneladas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</si>
  <si>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</si>
  <si>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</si>
  <si>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</si>
  <si>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</si>
  <si>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</si>
  <si>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</si>
  <si>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</si>
  <si>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</si>
  <si>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AJUSTES</t>
  </si>
  <si>
    <t>TOTAL</t>
  </si>
  <si>
    <t>TOTAL :</t>
  </si>
  <si>
    <t>GUADALAJARA</t>
  </si>
  <si>
    <t>*  Almazaras que han Notificado su Producción al Menos una Vez en la Campaña.</t>
  </si>
  <si>
    <t>** Almazaras que han notificado su producción en la Campaña para el mes Indicado.</t>
  </si>
  <si>
    <t>Salidas Netas de Aceite = Salidas Totales de Aceite - Salidas de Aceite a otras Almazaras</t>
  </si>
  <si>
    <t>COMUNIDAD AUTÓNOMA</t>
  </si>
  <si>
    <t>JUNIO</t>
  </si>
  <si>
    <t>JULIO</t>
  </si>
  <si>
    <t>AGOSTO</t>
  </si>
  <si>
    <t>SEPTIEMBRE</t>
  </si>
  <si>
    <t>EXISTENCIAS INICIALES</t>
  </si>
  <si>
    <t>TOTALES</t>
  </si>
  <si>
    <t>ENVASADORAS</t>
  </si>
  <si>
    <t>CON ALMAZARA</t>
  </si>
  <si>
    <t>SIN ALMAZARA</t>
  </si>
  <si>
    <t>AOVE</t>
  </si>
  <si>
    <t>AOV</t>
  </si>
  <si>
    <t>AO</t>
  </si>
  <si>
    <t>AOR</t>
  </si>
  <si>
    <t>OPERADORES</t>
  </si>
  <si>
    <t>*Nº TOTAL</t>
  </si>
  <si>
    <t>EXISTENCIAS A 1 DE OCTUBRE</t>
  </si>
  <si>
    <t>PRODUCCIÓN</t>
  </si>
  <si>
    <t xml:space="preserve">TOTAL: </t>
  </si>
  <si>
    <t>CASTILLA-LA MANCHA</t>
  </si>
  <si>
    <t>ANDALUCÍA</t>
  </si>
  <si>
    <t>ARAGÓN</t>
  </si>
  <si>
    <t>CASTILLA Y LEÓN</t>
  </si>
  <si>
    <t>PAÍS VASCO</t>
  </si>
  <si>
    <t>ÁVILA</t>
  </si>
  <si>
    <t>CÁCERES</t>
  </si>
  <si>
    <t>ALMERÍA</t>
  </si>
  <si>
    <t>CÁDIZ</t>
  </si>
  <si>
    <t>CÓRDOBA</t>
  </si>
  <si>
    <t>JAÉN</t>
  </si>
  <si>
    <t>MÁLAGA</t>
  </si>
  <si>
    <t>CASTELLÓN</t>
  </si>
  <si>
    <t>Datos expresados en Toneladas</t>
  </si>
  <si>
    <t>COMUNIDAD VALENCIANA</t>
  </si>
  <si>
    <t>GRANDES ENVASADORAS*</t>
  </si>
  <si>
    <t>*Las existencias finales corresponden a las existencias fisicas situadas en las envasadoras junto con las de sus refinerías correspondientes.</t>
  </si>
  <si>
    <t>ACEITES DE OLIVA</t>
  </si>
  <si>
    <t>NÚMERO DE EMPRESAS QUE ENVÍAN DATOS**</t>
  </si>
  <si>
    <t xml:space="preserve">* Las existencias finales corresponden a las existencias fisicas situadas en las envasadoras junto con las de sus refinerías correspondientes. </t>
  </si>
  <si>
    <t>** El número de empresas consideradas como grandes envasadoras corresponde al número de instalaciones de estas más sus refinerías correspondientes</t>
  </si>
  <si>
    <t>Descripción: ACEITES DE OLIVA</t>
  </si>
  <si>
    <t>Descripción: ACEITES DE ORUJO</t>
  </si>
  <si>
    <t>El número de empresas consideradas como grandes envasadoras corresponde al número de instalaciones de estas más sus refinerías correspondientes.</t>
  </si>
  <si>
    <t>%</t>
  </si>
  <si>
    <t>INDUSTRIALES</t>
  </si>
  <si>
    <t xml:space="preserve">TOTAL CCAA: </t>
  </si>
  <si>
    <t>DATOS</t>
  </si>
  <si>
    <t>COOPERATIVAS</t>
  </si>
  <si>
    <t>ALMAZARAS Nº</t>
  </si>
  <si>
    <t>* Almazaras que han notificado su producción al menos una vez en la campaña.</t>
  </si>
  <si>
    <t>Campaña</t>
  </si>
  <si>
    <t>20/21</t>
  </si>
  <si>
    <t>EXTRACTORAS</t>
  </si>
  <si>
    <t>FÍSICO</t>
  </si>
  <si>
    <t>QUÍMICO</t>
  </si>
  <si>
    <t>RESTO DE AUTONOMÍAS</t>
  </si>
  <si>
    <t>AOOC PRODUCIDO</t>
  </si>
  <si>
    <t>SALIDA DE AOOC</t>
  </si>
  <si>
    <t>AJUSTES (*)</t>
  </si>
  <si>
    <t>GRÁFICO ACEITE DE ORUJO DE OLIVA PRODUCIDO MES A MES</t>
  </si>
  <si>
    <t>Datos expresados en Toneladas.</t>
  </si>
  <si>
    <t xml:space="preserve">AJUSTES (*): Producidos por movimientos no declarados entre extractoras o entre instalaciones de una misma extractora (traspasos). </t>
  </si>
  <si>
    <t>GRÁFICO ORUJO GRASO ENTRADO MES A MES</t>
  </si>
  <si>
    <t>ENTRADA ORUJO</t>
  </si>
  <si>
    <t>SALIDA ORUJO</t>
  </si>
  <si>
    <t>HÚMEDO</t>
  </si>
  <si>
    <t>SECO</t>
  </si>
  <si>
    <t>Fuente: SIMO</t>
  </si>
  <si>
    <t xml:space="preserve"> 06_ALMAZARAS_BALANCE DE CAMPAÑA</t>
  </si>
  <si>
    <t>09_ALMAZARAS_PRODUCCIÓN POR CAMPAÑAS Y TIPO</t>
  </si>
  <si>
    <t>10_ALMAZARAS_RESUMEN ANUAL DE SALIDAS NETAS DE ACEITE</t>
  </si>
  <si>
    <t>16_EXTRACTORAS_EXISTENCIAS DE ACEITE DE ORUJO CRUDO_GRÁFICO</t>
  </si>
  <si>
    <t>17_EXTRACTORAS_EXISTENCIAS DE ORUJO GRASO_GRÁFICO</t>
  </si>
  <si>
    <t xml:space="preserve"> 08_ALMAZARAS_ALMAZARAS POR TIPO_PRODUCCIÓN</t>
  </si>
  <si>
    <t>11_ALMAZARAS_ACEITUNA MOLTURADA</t>
  </si>
  <si>
    <t xml:space="preserve"> 07_ALMAZARAS_ACEITE PRODUCIDO</t>
  </si>
  <si>
    <t xml:space="preserve"> 12_ENVASADORAS, REFINERÍAS Y OPERADORES_EXISTENCIAS TOTAL</t>
  </si>
  <si>
    <t>Nº</t>
  </si>
  <si>
    <t>**DATOS (-%)</t>
  </si>
  <si>
    <t>**Nº DATOS</t>
  </si>
  <si>
    <t>ALMAZARAS INDUSTRIALES</t>
  </si>
  <si>
    <t>ALMAZARAS COOPERATIVAS</t>
  </si>
  <si>
    <t>% Producción</t>
  </si>
  <si>
    <t>% Nº Empresas</t>
  </si>
  <si>
    <t>Toneladas</t>
  </si>
  <si>
    <t>** Nº de empresas que envían datos</t>
  </si>
  <si>
    <t>15_ENVASADORAS, REFINERÍAS Y OPERADORES</t>
  </si>
  <si>
    <t>Nº DE EMPRESAS QUE ENVÍAN DATOS</t>
  </si>
  <si>
    <t>14_ENVASADORAS, REFINERÍAS Y OPERADORES</t>
  </si>
  <si>
    <t>RESUMEN ANUAL DE EXISTENCIAS_TOTAL_ACEITES DE ORUJO</t>
  </si>
  <si>
    <t>13_ENVASADORAS, REFINERÍAS Y OPERADORES</t>
  </si>
  <si>
    <t>RESUMEN ANUAL DE EXISTENCIAS_TOTAL_ACEITES DE OLIVA</t>
  </si>
  <si>
    <t>21/22</t>
  </si>
  <si>
    <t>** El número de empresas consideradas como grandes envasadoras corresponde al número de instalaciones de estas más sus refinerías correspondientes.</t>
  </si>
  <si>
    <t xml:space="preserve"> </t>
  </si>
  <si>
    <t>22/23</t>
  </si>
  <si>
    <t>23/24</t>
  </si>
  <si>
    <t>SORIA</t>
  </si>
  <si>
    <t>24/25</t>
  </si>
  <si>
    <t>CANARIAS</t>
  </si>
  <si>
    <t>LAS PALMAS</t>
  </si>
  <si>
    <t>STA. CRUZ DE TENERIFE</t>
  </si>
  <si>
    <t>BURGOS</t>
  </si>
  <si>
    <t>0</t>
  </si>
  <si>
    <t>*1.829</t>
  </si>
  <si>
    <r>
      <t xml:space="preserve">El </t>
    </r>
    <r>
      <rPr>
        <b/>
        <sz val="12"/>
        <color theme="1"/>
        <rFont val="Calibri"/>
        <family val="2"/>
        <scheme val="minor"/>
      </rPr>
      <t xml:space="preserve">Sistema de Información de los Mercados Oleícolas (SIMO) </t>
    </r>
    <r>
      <rPr>
        <sz val="12"/>
        <color theme="1"/>
        <rFont val="Calibri"/>
        <family val="2"/>
        <scheme val="minor"/>
      </rPr>
      <t>es un sistema de información en base informática, gestionado por el MAPA a través de la Agencia de Información y Control Alimentarios (AICA), que contiene el censo nacional de instalaciones y operadores oleícolas y la información de mercados resultante de las declaraciones obligatorias establecidas en el Real Decreto 861/2018, de 13 de julio. El presente INFORME MENSUAL pone a disposición de la totalidad del sector olivarero los datos consolidados de mercado de aceite de oliva, aceite de orujo de oliva y aceituna de mesa relativos al mes anterior al que se realiza esta publicación.</t>
    </r>
  </si>
  <si>
    <r>
      <t>Aviso legal</t>
    </r>
    <r>
      <rPr>
        <sz val="11"/>
        <color theme="1"/>
        <rFont val="Calibri"/>
        <family val="2"/>
        <scheme val="minor"/>
      </rPr>
      <t xml:space="preserve">: Esta información puede ser utilizada en parte o en su integridad, sin necesidad de autorización expresa, siempre que se cite la fuente de los documentos objeto de la reutilización. </t>
    </r>
  </si>
  <si>
    <r>
      <t>Elaboración</t>
    </r>
    <r>
      <rPr>
        <sz val="11"/>
        <color theme="1"/>
        <rFont val="Calibri"/>
        <family val="2"/>
        <scheme val="minor"/>
      </rPr>
      <t>: Subdirección General de Cultivos Herbáceos, Industriales y Aceite de Oliva. Dirección General de Producciones y Mercados Agrarios. Ministerio de Agricultura, Pesca y Alimentación.</t>
    </r>
  </si>
  <si>
    <r>
      <rPr>
        <b/>
        <sz val="11"/>
        <color theme="1"/>
        <rFont val="Calibri"/>
        <family val="2"/>
        <scheme val="minor"/>
      </rPr>
      <t>Título</t>
    </r>
    <r>
      <rPr>
        <sz val="11"/>
        <color theme="1"/>
        <rFont val="Calibri"/>
        <family val="2"/>
        <scheme val="minor"/>
      </rPr>
      <t>: Informe Mensual de Situación de Mercado del Aceite de Oliva y la Aceituna de Mesa.</t>
    </r>
  </si>
  <si>
    <r>
      <t xml:space="preserve">NIPO: </t>
    </r>
    <r>
      <rPr>
        <sz val="11"/>
        <color rgb="FF000000"/>
        <rFont val="Calibri"/>
        <family val="2"/>
        <scheme val="minor"/>
      </rPr>
      <t>003-25-020-0</t>
    </r>
  </si>
  <si>
    <t>Catálogo de Publicaciones de la Administración General del Estado: https://cpage.mpr.gob.es/</t>
  </si>
  <si>
    <t xml:space="preserve"> 01_BALANCE DE EXISTENCIAS FÍSICAS</t>
  </si>
  <si>
    <t>MES</t>
  </si>
  <si>
    <t>EXIST. INICIALES</t>
  </si>
  <si>
    <t>PRODUCCION</t>
  </si>
  <si>
    <t>IMPORTACIONES</t>
  </si>
  <si>
    <t>CONSUMO INTERIOR</t>
  </si>
  <si>
    <t>EXPORTACIONES</t>
  </si>
  <si>
    <t>EXIST. FINALES</t>
  </si>
  <si>
    <t xml:space="preserve">JUNIO </t>
  </si>
  <si>
    <t>DATOS PROVISIONALES</t>
  </si>
  <si>
    <t>TOTAL MERCADO:</t>
  </si>
  <si>
    <t>PAÍSES TERCEROS</t>
  </si>
  <si>
    <t>UE</t>
  </si>
  <si>
    <t>ITALIA</t>
  </si>
  <si>
    <t>OTROS</t>
  </si>
  <si>
    <t>TOTAL MERCADO INTERIOR APARENTE</t>
  </si>
  <si>
    <t>EXISTENCIAS</t>
  </si>
  <si>
    <t>PATRIMONIO</t>
  </si>
  <si>
    <t>ENVASADORAS / OPERADORES</t>
  </si>
  <si>
    <t>Datos en miles de Toneladas</t>
  </si>
  <si>
    <t xml:space="preserve"> 02_CUADROS Y GRÁFICOS COMPARATIVOS</t>
  </si>
  <si>
    <t>2021/22</t>
  </si>
  <si>
    <t>2022/23</t>
  </si>
  <si>
    <t>2023/24</t>
  </si>
  <si>
    <t>2024/25</t>
  </si>
  <si>
    <t>MERCADO INTERIOR APARENTE</t>
  </si>
  <si>
    <t>MERCADO TOTAL</t>
  </si>
  <si>
    <t xml:space="preserve"> 03_CUADROS Y GRÁFICOS COMPARATIVOS </t>
  </si>
  <si>
    <t>EXISTENCIAS EN ALMAZARAS Y PATRIMONIO</t>
  </si>
  <si>
    <t>EXISTENCIAS EN ENVASADORAS Y PATRIMONIO</t>
  </si>
  <si>
    <t>EXISTENCIAS TOTALES</t>
  </si>
  <si>
    <t xml:space="preserve"> 04_CUADROS ACUMULADOS</t>
  </si>
  <si>
    <t>PRODUCCIÓN ACUMULADA</t>
  </si>
  <si>
    <t>IMPORTACIÓN ACUMULADA</t>
  </si>
  <si>
    <t>EXPORTACIÓN ACUMULADA</t>
  </si>
  <si>
    <t>MERCADO INTERIOR APARENTE ACUMULADO</t>
  </si>
  <si>
    <t>MERCADO TOTAL ACUMULADO</t>
  </si>
  <si>
    <t xml:space="preserve"> 05_GRÁFICOS COMPARATIVOS CON LA MEDIA DE LAS ÚLTIMAS CAMPAÑAS</t>
  </si>
  <si>
    <t>GRÁFICO PRODUCCIÓN</t>
  </si>
  <si>
    <t>GRÁFICO IMPORTACIONES</t>
  </si>
  <si>
    <t>Mes</t>
  </si>
  <si>
    <t>Media 4 últimas campañas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</si>
  <si>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</si>
  <si>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</si>
  <si>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</si>
  <si>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</si>
  <si>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</si>
  <si>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</si>
  <si>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</si>
  <si>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</si>
  <si>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</si>
  <si>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</si>
  <si>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</si>
  <si>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</si>
  <si>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Acumulado</t>
  </si>
  <si>
    <t>% VARIACIÓN:</t>
  </si>
  <si>
    <t xml:space="preserve">% VARIACIÓN: </t>
  </si>
  <si>
    <t>GRÁFICO MERCADO INTERIOR APARENTE</t>
  </si>
  <si>
    <t>GRÁFICO EXPORTACIONES</t>
  </si>
  <si>
    <t>% VARIACION :</t>
  </si>
  <si>
    <t>EXISTENCIAS ALMAZARAS (INCLUIDO FPCO)</t>
  </si>
  <si>
    <t>GRÁFICO EXISTENCIAS ALMAZARAS (INCLUIDO FPCO)</t>
  </si>
  <si>
    <t>GRÁFICO EXISTENCIAS TOTALES</t>
  </si>
  <si>
    <t>Último dato</t>
  </si>
  <si>
    <t>MERCADO TOTAL MENSUAL</t>
  </si>
  <si>
    <t xml:space="preserve">GRÁFICO MERCADO TOTAL MENSUAL </t>
  </si>
  <si>
    <t xml:space="preserve">MEDIA MENSUAL 25/26: </t>
  </si>
  <si>
    <t>CAMPAÑA 2024/25</t>
  </si>
  <si>
    <t>2020/21</t>
  </si>
  <si>
    <r>
      <t xml:space="preserve">% </t>
    </r>
    <r>
      <rPr>
        <b/>
        <sz val="8"/>
        <color theme="1"/>
        <rFont val="Arial"/>
        <family val="2"/>
      </rPr>
      <t>2024/25 s. 2023/24</t>
    </r>
  </si>
  <si>
    <r>
      <t xml:space="preserve">% </t>
    </r>
    <r>
      <rPr>
        <b/>
        <sz val="8"/>
        <color theme="1"/>
        <rFont val="Arial"/>
        <family val="2"/>
      </rPr>
      <t>2024/25 s. Media tres</t>
    </r>
  </si>
  <si>
    <r>
      <t xml:space="preserve">% </t>
    </r>
    <r>
      <rPr>
        <b/>
        <sz val="8"/>
        <color theme="1"/>
        <rFont val="Arial"/>
        <family val="2"/>
      </rPr>
      <t>2024/25 s. Media cuatro</t>
    </r>
  </si>
  <si>
    <t>INFORME DE CAMPAÑA DE LA SITUACIÓN DE MERCADO DEL SECTOR DEL ACEITE DE OLIVA</t>
  </si>
  <si>
    <r>
      <t xml:space="preserve">Datos a 30 de septiembre de 2025 con </t>
    </r>
    <r>
      <rPr>
        <b/>
        <u/>
        <sz val="22"/>
        <color rgb="FF385623"/>
        <rFont val="Calibri"/>
        <family val="2"/>
        <scheme val="minor"/>
      </rPr>
      <t>fecha de cierre</t>
    </r>
    <r>
      <rPr>
        <b/>
        <sz val="22"/>
        <color rgb="FF385623"/>
        <rFont val="Calibri"/>
        <family val="2"/>
        <scheme val="minor"/>
      </rPr>
      <t xml:space="preserve"> a 7 de mayo de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</si>
</sst>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#,##0.0"/>
    <numFmt numFmtId="165" formatCode="0.0"/>
    <numFmt numFmtId="166" formatCode="#0"/>
    <numFmt numFmtId="167" formatCode="#0.00"/>
    <numFmt numFmtId="168" formatCode="0.00000000"/>
    <numFmt numFmtId="169" formatCode="#,##0.000000000"/>
    <numFmt numFmtId="170" formatCode="#,##0.0000000000"/>
    <numFmt numFmtId="171" formatCode="#,##0.000"/>
    <numFmt numFmtId="172" formatCode="0.0%"/>
  </numFmts>
  <fonts count="5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color theme="1"/>
      <name val="Calibri"/>
      <family val="2"/>
      <scheme val="minor"/>
    </font>
    <font>
      <b/>
      <sz val="7"/>
      <name val="Arial"/>
      <family val="2"/>
    </font>
    <font>
      <sz val="1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2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Arial"/>
      <family val="2"/>
    </font>
    <font>
      <b/>
      <sz val="2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Calibri"/>
      <family val="2"/>
      <scheme val="minor"/>
    </font>
    <font>
      <b/>
      <sz val="12"/>
      <name val="Arial"/>
      <family val="2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6"/>
      <color rgb="FF385623"/>
      <name val="Calibri"/>
      <family val="2"/>
      <scheme val="minor"/>
    </font>
    <font>
      <b/>
      <sz val="22"/>
      <color rgb="FF385623"/>
      <name val="Calibri"/>
      <family val="2"/>
      <scheme val="minor"/>
    </font>
    <font>
      <b/>
      <sz val="20"/>
      <color rgb="FF38562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Aptos Display"/>
      <family val="2"/>
    </font>
    <font>
      <sz val="12"/>
      <name val="Arial"/>
      <family val="2"/>
    </font>
    <font>
      <b/>
      <sz val="8"/>
      <color rgb="FF008000"/>
      <name val="Arial"/>
      <family val="2"/>
    </font>
    <font>
      <b/>
      <sz val="8"/>
      <name val="Arial"/>
      <family val="2"/>
    </font>
    <font>
      <sz val="12"/>
      <color theme="1"/>
      <name val="Arial"/>
      <family val="2"/>
    </font>
    <font>
      <b/>
      <sz val="12"/>
      <color indexed="8"/>
      <name val="Arial"/>
      <family val="2"/>
    </font>
    <font>
      <b/>
      <sz val="10"/>
      <color rgb="FFC00000"/>
      <name val="Arial"/>
      <family val="2"/>
    </font>
    <font>
      <b/>
      <sz val="10"/>
      <color theme="4" tint="-0.499984740745262"/>
      <name val="Arial"/>
      <family val="2"/>
    </font>
    <font>
      <b/>
      <sz val="12"/>
      <color rgb="FFC00000"/>
      <name val="Arial"/>
      <family val="2"/>
    </font>
    <font>
      <b/>
      <sz val="12"/>
      <color theme="4" tint="-0.499984740745262"/>
      <name val="Arial"/>
      <family val="2"/>
    </font>
    <font>
      <sz val="11"/>
      <color theme="0" tint="-0.249977111117893"/>
      <name val="Calibri"/>
      <family val="2"/>
      <scheme val="minor"/>
    </font>
    <font>
      <b/>
      <u/>
      <sz val="22"/>
      <color rgb="FF385623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43"/>
        <bgColor indexed="64"/>
      </patternFill>
    </fill>
  </fills>
  <borders count="7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7" fillId="0" borderId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4" fillId="0" borderId="0"/>
    <xf numFmtId="0" fontId="39" fillId="0" borderId="0" applyNumberFormat="0" applyFill="0" applyBorder="0" applyAlignment="0" applyProtection="0"/>
    <xf numFmtId="0" fontId="1" fillId="0" borderId="0"/>
  </cellStyleXfs>
  <cellXfs count="605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0" fillId="0" borderId="36" xfId="0" applyBorder="1"/>
    <xf numFmtId="0" fontId="5" fillId="0" borderId="0" xfId="0" applyFont="1"/>
    <xf numFmtId="0" fontId="0" fillId="0" borderId="21" xfId="0" applyBorder="1"/>
    <xf numFmtId="0" fontId="10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/>
    <xf numFmtId="0" fontId="12" fillId="0" borderId="11" xfId="0" applyFont="1" applyBorder="1" applyAlignment="1">
      <alignment vertical="center" wrapText="1"/>
    </xf>
    <xf numFmtId="0" fontId="7" fillId="0" borderId="21" xfId="0" applyFont="1" applyBorder="1"/>
    <xf numFmtId="0" fontId="7" fillId="0" borderId="36" xfId="0" applyFont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21" fillId="0" borderId="21" xfId="0" applyFont="1" applyBorder="1"/>
    <xf numFmtId="0" fontId="21" fillId="0" borderId="0" xfId="0" applyFont="1"/>
    <xf numFmtId="0" fontId="19" fillId="0" borderId="11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3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4" fillId="0" borderId="11" xfId="0" applyFont="1" applyBorder="1" applyAlignment="1">
      <alignment vertical="center" wrapText="1"/>
    </xf>
    <xf numFmtId="164" fontId="6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164" fontId="10" fillId="0" borderId="28" xfId="0" applyNumberFormat="1" applyFont="1" applyBorder="1" applyAlignment="1">
      <alignment horizontal="center" vertical="center"/>
    </xf>
    <xf numFmtId="164" fontId="10" fillId="0" borderId="21" xfId="0" applyNumberFormat="1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4" fontId="10" fillId="0" borderId="32" xfId="0" applyNumberFormat="1" applyFont="1" applyBorder="1" applyAlignment="1">
      <alignment horizontal="center" vertical="center"/>
    </xf>
    <xf numFmtId="164" fontId="22" fillId="0" borderId="12" xfId="0" applyNumberFormat="1" applyFont="1" applyBorder="1" applyAlignment="1">
      <alignment horizontal="center" vertical="center"/>
    </xf>
    <xf numFmtId="164" fontId="22" fillId="0" borderId="42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22" fillId="0" borderId="22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164" fontId="10" fillId="0" borderId="35" xfId="0" applyNumberFormat="1" applyFont="1" applyBorder="1" applyAlignment="1">
      <alignment horizontal="center" vertical="center"/>
    </xf>
    <xf numFmtId="164" fontId="10" fillId="0" borderId="27" xfId="0" applyNumberFormat="1" applyFont="1" applyBorder="1" applyAlignment="1">
      <alignment horizontal="center" vertical="center"/>
    </xf>
    <xf numFmtId="164" fontId="10" fillId="0" borderId="38" xfId="0" applyNumberFormat="1" applyFont="1" applyBorder="1" applyAlignment="1">
      <alignment horizontal="center" vertical="center"/>
    </xf>
    <xf numFmtId="164" fontId="10" fillId="0" borderId="26" xfId="0" applyNumberFormat="1" applyFont="1" applyBorder="1" applyAlignment="1">
      <alignment horizontal="center" vertical="center"/>
    </xf>
    <xf numFmtId="164" fontId="10" fillId="0" borderId="24" xfId="0" applyNumberFormat="1" applyFont="1" applyBorder="1" applyAlignment="1">
      <alignment horizontal="center" vertical="center"/>
    </xf>
    <xf numFmtId="164" fontId="10" fillId="0" borderId="39" xfId="0" applyNumberFormat="1" applyFont="1" applyBorder="1" applyAlignment="1">
      <alignment horizontal="center" vertical="center"/>
    </xf>
    <xf numFmtId="164" fontId="10" fillId="0" borderId="37" xfId="0" applyNumberFormat="1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25" fillId="0" borderId="0" xfId="0" applyFont="1"/>
    <xf numFmtId="0" fontId="22" fillId="4" borderId="19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164" fontId="18" fillId="0" borderId="21" xfId="0" applyNumberFormat="1" applyFont="1" applyBorder="1" applyAlignment="1">
      <alignment horizontal="center" vertical="center"/>
    </xf>
    <xf numFmtId="164" fontId="9" fillId="0" borderId="42" xfId="0" applyNumberFormat="1" applyFont="1" applyBorder="1" applyAlignment="1">
      <alignment horizontal="center" vertical="center"/>
    </xf>
    <xf numFmtId="164" fontId="18" fillId="0" borderId="52" xfId="0" applyNumberFormat="1" applyFont="1" applyBorder="1" applyAlignment="1">
      <alignment horizontal="center" vertical="center"/>
    </xf>
    <xf numFmtId="164" fontId="18" fillId="0" borderId="24" xfId="0" applyNumberFormat="1" applyFont="1" applyBorder="1" applyAlignment="1">
      <alignment horizontal="center" vertical="center"/>
    </xf>
    <xf numFmtId="164" fontId="18" fillId="0" borderId="26" xfId="0" applyNumberFormat="1" applyFont="1" applyBorder="1" applyAlignment="1">
      <alignment horizontal="center" vertical="center"/>
    </xf>
    <xf numFmtId="164" fontId="18" fillId="0" borderId="37" xfId="0" applyNumberFormat="1" applyFont="1" applyBorder="1" applyAlignment="1">
      <alignment horizontal="center" vertical="center"/>
    </xf>
    <xf numFmtId="164" fontId="9" fillId="0" borderId="23" xfId="0" applyNumberFormat="1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164" fontId="9" fillId="4" borderId="16" xfId="0" applyNumberFormat="1" applyFont="1" applyFill="1" applyBorder="1" applyAlignment="1">
      <alignment horizontal="center" vertical="center"/>
    </xf>
    <xf numFmtId="0" fontId="10" fillId="0" borderId="0" xfId="0" applyFont="1"/>
    <xf numFmtId="0" fontId="18" fillId="0" borderId="0" xfId="0" applyFont="1"/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10" fillId="2" borderId="53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164" fontId="18" fillId="0" borderId="13" xfId="0" applyNumberFormat="1" applyFont="1" applyBorder="1" applyAlignment="1">
      <alignment horizontal="center" vertical="center"/>
    </xf>
    <xf numFmtId="164" fontId="18" fillId="0" borderId="39" xfId="0" applyNumberFormat="1" applyFont="1" applyBorder="1" applyAlignment="1">
      <alignment horizontal="center" vertical="center"/>
    </xf>
    <xf numFmtId="164" fontId="18" fillId="0" borderId="4" xfId="0" applyNumberFormat="1" applyFont="1" applyBorder="1" applyAlignment="1">
      <alignment horizontal="center" vertical="center"/>
    </xf>
    <xf numFmtId="164" fontId="18" fillId="0" borderId="6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164" fontId="18" fillId="0" borderId="9" xfId="0" applyNumberFormat="1" applyFont="1" applyBorder="1" applyAlignment="1">
      <alignment horizontal="center" vertical="center"/>
    </xf>
    <xf numFmtId="164" fontId="18" fillId="0" borderId="8" xfId="0" applyNumberFormat="1" applyFont="1" applyBorder="1" applyAlignment="1">
      <alignment horizontal="center" vertical="center"/>
    </xf>
    <xf numFmtId="3" fontId="9" fillId="0" borderId="46" xfId="0" applyNumberFormat="1" applyFont="1" applyBorder="1" applyAlignment="1">
      <alignment horizontal="center" vertical="center"/>
    </xf>
    <xf numFmtId="3" fontId="9" fillId="0" borderId="55" xfId="0" applyNumberFormat="1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center" vertical="center"/>
    </xf>
    <xf numFmtId="9" fontId="9" fillId="0" borderId="10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9" fontId="9" fillId="0" borderId="22" xfId="0" applyNumberFormat="1" applyFont="1" applyBorder="1" applyAlignment="1">
      <alignment horizontal="center" vertical="center"/>
    </xf>
    <xf numFmtId="3" fontId="9" fillId="0" borderId="12" xfId="0" applyNumberFormat="1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164" fontId="9" fillId="0" borderId="15" xfId="0" applyNumberFormat="1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164" fontId="18" fillId="0" borderId="27" xfId="0" applyNumberFormat="1" applyFont="1" applyBorder="1" applyAlignment="1">
      <alignment horizontal="center" vertical="center"/>
    </xf>
    <xf numFmtId="165" fontId="18" fillId="0" borderId="27" xfId="0" applyNumberFormat="1" applyFont="1" applyBorder="1" applyAlignment="1">
      <alignment horizontal="center" vertical="center"/>
    </xf>
    <xf numFmtId="3" fontId="9" fillId="4" borderId="19" xfId="0" applyNumberFormat="1" applyFont="1" applyFill="1" applyBorder="1" applyAlignment="1">
      <alignment horizontal="center" vertical="center"/>
    </xf>
    <xf numFmtId="9" fontId="9" fillId="4" borderId="19" xfId="0" applyNumberFormat="1" applyFont="1" applyFill="1" applyBorder="1" applyAlignment="1">
      <alignment horizontal="center" vertical="center"/>
    </xf>
    <xf numFmtId="164" fontId="9" fillId="4" borderId="19" xfId="0" applyNumberFormat="1" applyFont="1" applyFill="1" applyBorder="1" applyAlignment="1">
      <alignment horizontal="center" vertical="center"/>
    </xf>
    <xf numFmtId="9" fontId="9" fillId="4" borderId="16" xfId="0" applyNumberFormat="1" applyFont="1" applyFill="1" applyBorder="1" applyAlignment="1">
      <alignment horizontal="center" vertical="center"/>
    </xf>
    <xf numFmtId="9" fontId="25" fillId="0" borderId="0" xfId="4" applyFont="1" applyFill="1"/>
    <xf numFmtId="0" fontId="27" fillId="0" borderId="0" xfId="0" applyFont="1"/>
    <xf numFmtId="0" fontId="1" fillId="0" borderId="43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3" fontId="30" fillId="0" borderId="12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0" fillId="6" borderId="0" xfId="0" applyFill="1"/>
    <xf numFmtId="0" fontId="29" fillId="4" borderId="16" xfId="0" applyFont="1" applyFill="1" applyBorder="1" applyAlignment="1">
      <alignment horizontal="center"/>
    </xf>
    <xf numFmtId="167" fontId="11" fillId="0" borderId="16" xfId="0" applyNumberFormat="1" applyFont="1" applyBorder="1" applyAlignment="1">
      <alignment horizontal="center"/>
    </xf>
    <xf numFmtId="0" fontId="29" fillId="0" borderId="0" xfId="0" applyFont="1"/>
    <xf numFmtId="0" fontId="11" fillId="0" borderId="0" xfId="0" applyFont="1"/>
    <xf numFmtId="0" fontId="31" fillId="0" borderId="0" xfId="0" applyFont="1"/>
    <xf numFmtId="164" fontId="22" fillId="0" borderId="15" xfId="0" applyNumberFormat="1" applyFont="1" applyBorder="1" applyAlignment="1">
      <alignment horizontal="center" vertical="center"/>
    </xf>
    <xf numFmtId="164" fontId="22" fillId="0" borderId="42" xfId="0" applyNumberFormat="1" applyFont="1" applyBorder="1" applyAlignment="1">
      <alignment horizontal="center"/>
    </xf>
    <xf numFmtId="164" fontId="22" fillId="0" borderId="10" xfId="0" applyNumberFormat="1" applyFont="1" applyBorder="1" applyAlignment="1">
      <alignment horizontal="center" vertical="center"/>
    </xf>
    <xf numFmtId="164" fontId="22" fillId="0" borderId="55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164" fontId="22" fillId="4" borderId="16" xfId="0" applyNumberFormat="1" applyFont="1" applyFill="1" applyBorder="1" applyAlignment="1">
      <alignment horizontal="center"/>
    </xf>
    <xf numFmtId="0" fontId="26" fillId="0" borderId="0" xfId="0" applyFont="1"/>
    <xf numFmtId="0" fontId="9" fillId="0" borderId="53" xfId="0" applyFont="1" applyBorder="1" applyAlignment="1">
      <alignment horizontal="center" vertical="center"/>
    </xf>
    <xf numFmtId="164" fontId="22" fillId="0" borderId="23" xfId="0" applyNumberFormat="1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164" fontId="22" fillId="4" borderId="20" xfId="0" applyNumberFormat="1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164" fontId="22" fillId="2" borderId="16" xfId="0" applyNumberFormat="1" applyFont="1" applyFill="1" applyBorder="1" applyAlignment="1">
      <alignment horizontal="center" vertical="center"/>
    </xf>
    <xf numFmtId="164" fontId="22" fillId="2" borderId="20" xfId="0" applyNumberFormat="1" applyFont="1" applyFill="1" applyBorder="1" applyAlignment="1">
      <alignment horizontal="center" vertical="center"/>
    </xf>
    <xf numFmtId="164" fontId="22" fillId="2" borderId="48" xfId="0" applyNumberFormat="1" applyFont="1" applyFill="1" applyBorder="1" applyAlignment="1">
      <alignment horizontal="center" vertical="center"/>
    </xf>
    <xf numFmtId="164" fontId="22" fillId="4" borderId="16" xfId="0" applyNumberFormat="1" applyFont="1" applyFill="1" applyBorder="1" applyAlignment="1">
      <alignment horizontal="center" vertical="center"/>
    </xf>
    <xf numFmtId="0" fontId="22" fillId="4" borderId="43" xfId="0" applyFont="1" applyFill="1" applyBorder="1" applyAlignment="1">
      <alignment horizontal="center" vertical="center"/>
    </xf>
    <xf numFmtId="164" fontId="10" fillId="0" borderId="51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22" fillId="0" borderId="41" xfId="0" applyNumberFormat="1" applyFont="1" applyBorder="1" applyAlignment="1">
      <alignment horizontal="center" vertical="center"/>
    </xf>
    <xf numFmtId="164" fontId="10" fillId="0" borderId="49" xfId="0" applyNumberFormat="1" applyFont="1" applyBorder="1" applyAlignment="1">
      <alignment horizontal="center" vertical="center"/>
    </xf>
    <xf numFmtId="164" fontId="22" fillId="0" borderId="57" xfId="0" applyNumberFormat="1" applyFont="1" applyBorder="1" applyAlignment="1">
      <alignment horizontal="center" vertical="center"/>
    </xf>
    <xf numFmtId="164" fontId="10" fillId="0" borderId="50" xfId="0" applyNumberFormat="1" applyFont="1" applyBorder="1" applyAlignment="1">
      <alignment horizontal="center" vertical="center"/>
    </xf>
    <xf numFmtId="164" fontId="22" fillId="0" borderId="4" xfId="0" applyNumberFormat="1" applyFont="1" applyBorder="1" applyAlignment="1">
      <alignment horizontal="center" vertical="center"/>
    </xf>
    <xf numFmtId="164" fontId="22" fillId="4" borderId="19" xfId="0" applyNumberFormat="1" applyFont="1" applyFill="1" applyBorder="1" applyAlignment="1">
      <alignment horizontal="center" vertical="center"/>
    </xf>
    <xf numFmtId="3" fontId="22" fillId="2" borderId="16" xfId="0" applyNumberFormat="1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 wrapText="1"/>
    </xf>
    <xf numFmtId="164" fontId="10" fillId="0" borderId="56" xfId="0" applyNumberFormat="1" applyFont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30" fillId="2" borderId="16" xfId="0" applyFont="1" applyFill="1" applyBorder="1" applyAlignment="1">
      <alignment horizontal="center" vertical="center"/>
    </xf>
    <xf numFmtId="0" fontId="30" fillId="2" borderId="20" xfId="0" applyFont="1" applyFill="1" applyBorder="1" applyAlignment="1">
      <alignment horizontal="center" vertical="center"/>
    </xf>
    <xf numFmtId="3" fontId="34" fillId="0" borderId="13" xfId="0" applyNumberFormat="1" applyFont="1" applyBorder="1" applyAlignment="1">
      <alignment horizontal="center" vertical="center"/>
    </xf>
    <xf numFmtId="3" fontId="34" fillId="0" borderId="39" xfId="0" applyNumberFormat="1" applyFont="1" applyBorder="1" applyAlignment="1">
      <alignment horizontal="center" vertical="center"/>
    </xf>
    <xf numFmtId="3" fontId="34" fillId="0" borderId="28" xfId="0" applyNumberFormat="1" applyFont="1" applyBorder="1" applyAlignment="1">
      <alignment horizontal="center" vertical="center"/>
    </xf>
    <xf numFmtId="3" fontId="34" fillId="0" borderId="4" xfId="0" applyNumberFormat="1" applyFont="1" applyBorder="1" applyAlignment="1">
      <alignment horizontal="center" vertical="center"/>
    </xf>
    <xf numFmtId="3" fontId="34" fillId="0" borderId="6" xfId="0" applyNumberFormat="1" applyFont="1" applyBorder="1" applyAlignment="1">
      <alignment horizontal="center" vertical="center"/>
    </xf>
    <xf numFmtId="3" fontId="34" fillId="0" borderId="21" xfId="0" applyNumberFormat="1" applyFont="1" applyBorder="1" applyAlignment="1">
      <alignment horizontal="center" vertical="center"/>
    </xf>
    <xf numFmtId="3" fontId="34" fillId="0" borderId="9" xfId="0" applyNumberFormat="1" applyFont="1" applyBorder="1" applyAlignment="1">
      <alignment horizontal="center" vertical="center"/>
    </xf>
    <xf numFmtId="3" fontId="34" fillId="0" borderId="8" xfId="0" applyNumberFormat="1" applyFont="1" applyBorder="1" applyAlignment="1">
      <alignment horizontal="center" vertical="center"/>
    </xf>
    <xf numFmtId="3" fontId="34" fillId="0" borderId="32" xfId="0" applyNumberFormat="1" applyFont="1" applyBorder="1" applyAlignment="1">
      <alignment horizontal="center" vertical="center"/>
    </xf>
    <xf numFmtId="3" fontId="30" fillId="0" borderId="15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34" fillId="0" borderId="56" xfId="0" applyNumberFormat="1" applyFont="1" applyBorder="1" applyAlignment="1">
      <alignment horizontal="center" vertical="center"/>
    </xf>
    <xf numFmtId="3" fontId="34" fillId="0" borderId="27" xfId="0" applyNumberFormat="1" applyFont="1" applyBorder="1" applyAlignment="1">
      <alignment horizontal="center" vertical="center"/>
    </xf>
    <xf numFmtId="3" fontId="30" fillId="0" borderId="42" xfId="0" applyNumberFormat="1" applyFont="1" applyBorder="1" applyAlignment="1">
      <alignment horizontal="center" vertical="center"/>
    </xf>
    <xf numFmtId="3" fontId="30" fillId="0" borderId="55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4" fillId="0" borderId="54" xfId="0" applyNumberFormat="1" applyFont="1" applyBorder="1" applyAlignment="1">
      <alignment horizontal="center" vertical="center"/>
    </xf>
    <xf numFmtId="3" fontId="34" fillId="0" borderId="1" xfId="0" applyNumberFormat="1" applyFont="1" applyBorder="1" applyAlignment="1">
      <alignment horizontal="center" vertical="center"/>
    </xf>
    <xf numFmtId="3" fontId="34" fillId="0" borderId="35" xfId="0" applyNumberFormat="1" applyFont="1" applyBorder="1" applyAlignment="1">
      <alignment horizontal="center" vertical="center"/>
    </xf>
    <xf numFmtId="3" fontId="34" fillId="0" borderId="38" xfId="0" applyNumberFormat="1" applyFont="1" applyBorder="1" applyAlignment="1">
      <alignment horizontal="center" vertical="center"/>
    </xf>
    <xf numFmtId="3" fontId="30" fillId="0" borderId="11" xfId="0" applyNumberFormat="1" applyFont="1" applyBorder="1" applyAlignment="1">
      <alignment horizontal="center" vertical="center"/>
    </xf>
    <xf numFmtId="3" fontId="30" fillId="4" borderId="16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30" fillId="2" borderId="22" xfId="0" applyNumberFormat="1" applyFont="1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4" fontId="10" fillId="0" borderId="16" xfId="0" applyNumberFormat="1" applyFont="1" applyBorder="1" applyAlignment="1">
      <alignment horizontal="center" vertical="center"/>
    </xf>
    <xf numFmtId="4" fontId="22" fillId="4" borderId="16" xfId="0" applyNumberFormat="1" applyFont="1" applyFill="1" applyBorder="1" applyAlignment="1">
      <alignment horizontal="center" vertical="center"/>
    </xf>
    <xf numFmtId="0" fontId="16" fillId="0" borderId="0" xfId="0" applyFont="1"/>
    <xf numFmtId="0" fontId="22" fillId="3" borderId="30" xfId="0" applyFont="1" applyFill="1" applyBorder="1" applyAlignment="1">
      <alignment horizontal="center" vertical="center"/>
    </xf>
    <xf numFmtId="0" fontId="22" fillId="3" borderId="16" xfId="0" applyFont="1" applyFill="1" applyBorder="1" applyAlignment="1">
      <alignment horizontal="center" vertical="center"/>
    </xf>
    <xf numFmtId="164" fontId="10" fillId="0" borderId="52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164" fontId="22" fillId="0" borderId="61" xfId="0" applyNumberFormat="1" applyFont="1" applyBorder="1" applyAlignment="1">
      <alignment horizontal="center" vertical="center"/>
    </xf>
    <xf numFmtId="164" fontId="22" fillId="0" borderId="21" xfId="0" applyNumberFormat="1" applyFont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9" fillId="0" borderId="12" xfId="0" applyNumberFormat="1" applyFont="1" applyBorder="1" applyAlignment="1">
      <alignment horizontal="center" vertical="center"/>
    </xf>
    <xf numFmtId="164" fontId="18" fillId="0" borderId="35" xfId="0" applyNumberFormat="1" applyFont="1" applyBorder="1" applyAlignment="1">
      <alignment horizontal="center" vertical="center"/>
    </xf>
    <xf numFmtId="3" fontId="18" fillId="0" borderId="44" xfId="0" applyNumberFormat="1" applyFont="1" applyBorder="1" applyAlignment="1">
      <alignment horizontal="center" vertical="center"/>
    </xf>
    <xf numFmtId="3" fontId="18" fillId="0" borderId="13" xfId="0" applyNumberFormat="1" applyFont="1" applyBorder="1" applyAlignment="1">
      <alignment horizontal="center" vertical="center"/>
    </xf>
    <xf numFmtId="3" fontId="18" fillId="0" borderId="14" xfId="0" applyNumberFormat="1" applyFont="1" applyBorder="1" applyAlignment="1">
      <alignment horizontal="center" vertical="center"/>
    </xf>
    <xf numFmtId="9" fontId="18" fillId="0" borderId="6" xfId="0" applyNumberFormat="1" applyFont="1" applyBorder="1" applyAlignment="1">
      <alignment horizontal="center" vertical="center"/>
    </xf>
    <xf numFmtId="9" fontId="18" fillId="0" borderId="52" xfId="0" applyNumberFormat="1" applyFont="1" applyBorder="1" applyAlignment="1">
      <alignment horizontal="center" vertical="center"/>
    </xf>
    <xf numFmtId="3" fontId="18" fillId="0" borderId="45" xfId="0" applyNumberFormat="1" applyFont="1" applyBorder="1" applyAlignment="1">
      <alignment horizontal="center" vertical="center"/>
    </xf>
    <xf numFmtId="3" fontId="18" fillId="0" borderId="4" xfId="0" applyNumberFormat="1" applyFont="1" applyBorder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9" fontId="18" fillId="0" borderId="24" xfId="0" applyNumberFormat="1" applyFont="1" applyBorder="1" applyAlignment="1">
      <alignment horizontal="center" vertical="center"/>
    </xf>
    <xf numFmtId="3" fontId="18" fillId="0" borderId="59" xfId="0" applyNumberFormat="1" applyFont="1" applyBorder="1" applyAlignment="1">
      <alignment horizontal="center" vertical="center"/>
    </xf>
    <xf numFmtId="3" fontId="18" fillId="0" borderId="9" xfId="0" applyNumberFormat="1" applyFont="1" applyBorder="1" applyAlignment="1">
      <alignment horizontal="center" vertical="center"/>
    </xf>
    <xf numFmtId="3" fontId="18" fillId="0" borderId="3" xfId="0" applyNumberFormat="1" applyFont="1" applyBorder="1" applyAlignment="1">
      <alignment horizontal="center" vertical="center"/>
    </xf>
    <xf numFmtId="9" fontId="18" fillId="0" borderId="26" xfId="0" applyNumberFormat="1" applyFont="1" applyBorder="1" applyAlignment="1">
      <alignment horizontal="center" vertical="center"/>
    </xf>
    <xf numFmtId="9" fontId="18" fillId="0" borderId="21" xfId="0" applyNumberFormat="1" applyFont="1" applyBorder="1" applyAlignment="1">
      <alignment horizontal="center" vertical="center"/>
    </xf>
    <xf numFmtId="9" fontId="18" fillId="0" borderId="32" xfId="0" applyNumberFormat="1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9" fontId="18" fillId="0" borderId="4" xfId="0" applyNumberFormat="1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9" fontId="9" fillId="0" borderId="42" xfId="0" applyNumberFormat="1" applyFont="1" applyBorder="1" applyAlignment="1">
      <alignment horizontal="center" vertical="center"/>
    </xf>
    <xf numFmtId="9" fontId="18" fillId="0" borderId="8" xfId="0" applyNumberFormat="1" applyFont="1" applyBorder="1" applyAlignment="1">
      <alignment horizontal="center" vertical="center"/>
    </xf>
    <xf numFmtId="9" fontId="9" fillId="0" borderId="12" xfId="0" applyNumberFormat="1" applyFont="1" applyBorder="1" applyAlignment="1">
      <alignment horizontal="center" vertical="center"/>
    </xf>
    <xf numFmtId="3" fontId="9" fillId="0" borderId="57" xfId="0" applyNumberFormat="1" applyFont="1" applyBorder="1" applyAlignment="1">
      <alignment horizontal="center" vertical="center"/>
    </xf>
    <xf numFmtId="3" fontId="18" fillId="0" borderId="56" xfId="0" applyNumberFormat="1" applyFont="1" applyBorder="1" applyAlignment="1">
      <alignment horizontal="center" vertical="center"/>
    </xf>
    <xf numFmtId="3" fontId="18" fillId="0" borderId="35" xfId="0" applyNumberFormat="1" applyFont="1" applyBorder="1" applyAlignment="1">
      <alignment horizontal="center" vertical="center"/>
    </xf>
    <xf numFmtId="9" fontId="18" fillId="0" borderId="38" xfId="0" applyNumberFormat="1" applyFont="1" applyBorder="1" applyAlignment="1">
      <alignment horizontal="center" vertical="center"/>
    </xf>
    <xf numFmtId="3" fontId="18" fillId="0" borderId="27" xfId="0" applyNumberFormat="1" applyFont="1" applyBorder="1" applyAlignment="1">
      <alignment horizontal="center" vertical="center"/>
    </xf>
    <xf numFmtId="9" fontId="18" fillId="0" borderId="27" xfId="0" applyNumberFormat="1" applyFont="1" applyBorder="1" applyAlignment="1">
      <alignment horizontal="center" vertical="center"/>
    </xf>
    <xf numFmtId="9" fontId="9" fillId="0" borderId="25" xfId="0" applyNumberFormat="1" applyFont="1" applyBorder="1" applyAlignment="1">
      <alignment horizontal="center" vertical="center"/>
    </xf>
    <xf numFmtId="3" fontId="18" fillId="0" borderId="6" xfId="0" applyNumberFormat="1" applyFont="1" applyBorder="1" applyAlignment="1">
      <alignment horizontal="center" vertical="center"/>
    </xf>
    <xf numFmtId="3" fontId="18" fillId="0" borderId="8" xfId="0" applyNumberFormat="1" applyFont="1" applyBorder="1" applyAlignment="1">
      <alignment horizontal="center" vertical="center"/>
    </xf>
    <xf numFmtId="164" fontId="18" fillId="0" borderId="32" xfId="0" applyNumberFormat="1" applyFont="1" applyBorder="1" applyAlignment="1">
      <alignment horizontal="center" vertical="center"/>
    </xf>
    <xf numFmtId="164" fontId="9" fillId="0" borderId="22" xfId="0" applyNumberFormat="1" applyFont="1" applyBorder="1" applyAlignment="1">
      <alignment horizontal="center" vertical="center"/>
    </xf>
    <xf numFmtId="164" fontId="9" fillId="0" borderId="25" xfId="0" applyNumberFormat="1" applyFont="1" applyBorder="1" applyAlignment="1">
      <alignment horizontal="center" vertical="center"/>
    </xf>
    <xf numFmtId="164" fontId="9" fillId="0" borderId="55" xfId="0" applyNumberFormat="1" applyFont="1" applyBorder="1" applyAlignment="1">
      <alignment horizontal="center" vertical="center"/>
    </xf>
    <xf numFmtId="164" fontId="18" fillId="0" borderId="38" xfId="0" applyNumberFormat="1" applyFont="1" applyBorder="1" applyAlignment="1">
      <alignment horizontal="center" vertical="center"/>
    </xf>
    <xf numFmtId="164" fontId="9" fillId="4" borderId="16" xfId="0" applyNumberFormat="1" applyFont="1" applyFill="1" applyBorder="1" applyAlignment="1">
      <alignment horizontal="center"/>
    </xf>
    <xf numFmtId="164" fontId="9" fillId="4" borderId="20" xfId="0" applyNumberFormat="1" applyFont="1" applyFill="1" applyBorder="1" applyAlignment="1">
      <alignment horizontal="center" vertical="center"/>
    </xf>
    <xf numFmtId="164" fontId="18" fillId="0" borderId="28" xfId="0" applyNumberFormat="1" applyFont="1" applyBorder="1" applyAlignment="1">
      <alignment horizontal="center" vertical="center"/>
    </xf>
    <xf numFmtId="164" fontId="9" fillId="4" borderId="28" xfId="0" applyNumberFormat="1" applyFont="1" applyFill="1" applyBorder="1" applyAlignment="1">
      <alignment horizontal="center" vertical="center"/>
    </xf>
    <xf numFmtId="164" fontId="9" fillId="4" borderId="43" xfId="0" applyNumberFormat="1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164" fontId="9" fillId="2" borderId="16" xfId="0" applyNumberFormat="1" applyFont="1" applyFill="1" applyBorder="1" applyAlignment="1">
      <alignment horizontal="center" vertical="center"/>
    </xf>
    <xf numFmtId="164" fontId="9" fillId="2" borderId="20" xfId="0" applyNumberFormat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164" fontId="9" fillId="2" borderId="48" xfId="0" applyNumberFormat="1" applyFon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164" fontId="9" fillId="0" borderId="57" xfId="0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3" fontId="9" fillId="2" borderId="16" xfId="0" applyNumberFormat="1" applyFont="1" applyFill="1" applyBorder="1" applyAlignment="1">
      <alignment horizontal="center" vertical="center"/>
    </xf>
    <xf numFmtId="9" fontId="18" fillId="0" borderId="39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3" fontId="7" fillId="0" borderId="0" xfId="0" applyNumberFormat="1" applyFont="1"/>
    <xf numFmtId="4" fontId="0" fillId="0" borderId="0" xfId="0" applyNumberFormat="1"/>
    <xf numFmtId="164" fontId="18" fillId="0" borderId="4" xfId="3" applyNumberFormat="1" applyFont="1" applyBorder="1" applyAlignment="1">
      <alignment horizontal="center" vertical="center"/>
    </xf>
    <xf numFmtId="164" fontId="18" fillId="0" borderId="9" xfId="3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9" fontId="18" fillId="0" borderId="27" xfId="4" applyFont="1" applyBorder="1" applyAlignment="1">
      <alignment horizontal="center" vertical="center"/>
    </xf>
    <xf numFmtId="9" fontId="9" fillId="0" borderId="12" xfId="4" applyFont="1" applyBorder="1" applyAlignment="1">
      <alignment horizontal="center" vertical="center"/>
    </xf>
    <xf numFmtId="166" fontId="18" fillId="0" borderId="4" xfId="0" applyNumberFormat="1" applyFont="1" applyBorder="1" applyAlignment="1">
      <alignment horizontal="center" vertical="center"/>
    </xf>
    <xf numFmtId="166" fontId="18" fillId="0" borderId="9" xfId="0" applyNumberFormat="1" applyFont="1" applyBorder="1" applyAlignment="1">
      <alignment horizontal="center" vertical="center"/>
    </xf>
    <xf numFmtId="166" fontId="9" fillId="0" borderId="12" xfId="0" applyNumberFormat="1" applyFont="1" applyBorder="1" applyAlignment="1">
      <alignment horizontal="center" vertical="center"/>
    </xf>
    <xf numFmtId="166" fontId="18" fillId="0" borderId="59" xfId="0" applyNumberFormat="1" applyFont="1" applyBorder="1" applyAlignment="1">
      <alignment horizontal="center" vertical="center"/>
    </xf>
    <xf numFmtId="164" fontId="18" fillId="0" borderId="27" xfId="3" applyNumberFormat="1" applyFont="1" applyBorder="1" applyAlignment="1">
      <alignment horizontal="center" vertical="center"/>
    </xf>
    <xf numFmtId="164" fontId="9" fillId="7" borderId="16" xfId="0" applyNumberFormat="1" applyFont="1" applyFill="1" applyBorder="1" applyAlignment="1">
      <alignment horizontal="center" vertical="center"/>
    </xf>
    <xf numFmtId="4" fontId="25" fillId="0" borderId="0" xfId="0" applyNumberFormat="1" applyFont="1"/>
    <xf numFmtId="0" fontId="2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22" fillId="2" borderId="21" xfId="0" applyNumberFormat="1" applyFont="1" applyFill="1" applyBorder="1" applyAlignment="1">
      <alignment horizontal="center" vertical="center"/>
    </xf>
    <xf numFmtId="9" fontId="18" fillId="0" borderId="6" xfId="4" applyFont="1" applyBorder="1" applyAlignment="1" applyProtection="1">
      <alignment horizontal="center" vertical="center"/>
    </xf>
    <xf numFmtId="9" fontId="9" fillId="0" borderId="10" xfId="4" applyFont="1" applyBorder="1" applyAlignment="1" applyProtection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0" fillId="2" borderId="5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22" fillId="4" borderId="40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3" fontId="22" fillId="5" borderId="19" xfId="3" applyNumberFormat="1" applyFont="1" applyFill="1" applyBorder="1" applyAlignment="1">
      <alignment horizontal="center"/>
    </xf>
    <xf numFmtId="3" fontId="22" fillId="5" borderId="16" xfId="3" applyNumberFormat="1" applyFont="1" applyFill="1" applyBorder="1" applyAlignment="1">
      <alignment horizontal="center"/>
    </xf>
    <xf numFmtId="0" fontId="34" fillId="0" borderId="0" xfId="0" applyFont="1" applyAlignment="1">
      <alignment horizontal="center" vertical="center"/>
    </xf>
    <xf numFmtId="164" fontId="34" fillId="0" borderId="0" xfId="0" applyNumberFormat="1" applyFont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6" fontId="9" fillId="0" borderId="57" xfId="0" applyNumberFormat="1" applyFont="1" applyBorder="1" applyAlignment="1">
      <alignment horizontal="center" vertical="center"/>
    </xf>
    <xf numFmtId="9" fontId="9" fillId="0" borderId="55" xfId="4" applyFont="1" applyBorder="1" applyAlignment="1">
      <alignment horizontal="center" vertical="center"/>
    </xf>
    <xf numFmtId="164" fontId="22" fillId="0" borderId="25" xfId="0" applyNumberFormat="1" applyFont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164" fontId="38" fillId="0" borderId="0" xfId="0" applyNumberFormat="1" applyFont="1" applyAlignment="1">
      <alignment vertical="center"/>
    </xf>
    <xf numFmtId="0" fontId="37" fillId="0" borderId="0" xfId="0" applyFont="1" applyAlignment="1">
      <alignment horizontal="right" vertical="center"/>
    </xf>
    <xf numFmtId="0" fontId="25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9" fontId="18" fillId="0" borderId="4" xfId="4" applyFont="1" applyBorder="1" applyAlignment="1">
      <alignment horizontal="center" vertical="center"/>
    </xf>
    <xf numFmtId="3" fontId="30" fillId="0" borderId="25" xfId="0" applyNumberFormat="1" applyFont="1" applyBorder="1" applyAlignment="1">
      <alignment horizontal="center" vertical="center"/>
    </xf>
    <xf numFmtId="164" fontId="4" fillId="0" borderId="0" xfId="0" applyNumberFormat="1" applyFont="1"/>
    <xf numFmtId="164" fontId="10" fillId="0" borderId="21" xfId="0" applyNumberFormat="1" applyFont="1" applyBorder="1" applyAlignment="1">
      <alignment horizontal="center"/>
    </xf>
    <xf numFmtId="164" fontId="10" fillId="0" borderId="38" xfId="0" applyNumberFormat="1" applyFont="1" applyBorder="1" applyAlignment="1">
      <alignment horizontal="center"/>
    </xf>
    <xf numFmtId="164" fontId="10" fillId="0" borderId="37" xfId="0" applyNumberFormat="1" applyFont="1" applyBorder="1" applyAlignment="1">
      <alignment horizontal="center"/>
    </xf>
    <xf numFmtId="164" fontId="10" fillId="0" borderId="26" xfId="0" applyNumberFormat="1" applyFont="1" applyBorder="1" applyAlignment="1">
      <alignment horizontal="center"/>
    </xf>
    <xf numFmtId="165" fontId="0" fillId="0" borderId="0" xfId="0" applyNumberFormat="1"/>
    <xf numFmtId="165" fontId="7" fillId="0" borderId="0" xfId="0" applyNumberFormat="1" applyFont="1"/>
    <xf numFmtId="0" fontId="34" fillId="0" borderId="4" xfId="0" applyFont="1" applyBorder="1" applyAlignment="1">
      <alignment horizontal="center" vertical="center"/>
    </xf>
    <xf numFmtId="0" fontId="30" fillId="4" borderId="53" xfId="0" applyFont="1" applyFill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164" fontId="18" fillId="0" borderId="37" xfId="0" applyNumberFormat="1" applyFont="1" applyBorder="1" applyAlignment="1">
      <alignment horizontal="center"/>
    </xf>
    <xf numFmtId="0" fontId="0" fillId="8" borderId="0" xfId="0" applyFill="1"/>
    <xf numFmtId="0" fontId="40" fillId="0" borderId="0" xfId="0" applyFont="1" applyAlignment="1">
      <alignment vertical="center"/>
    </xf>
    <xf numFmtId="0" fontId="40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42" fillId="8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3" fillId="8" borderId="0" xfId="0" applyFont="1" applyFill="1" applyAlignment="1">
      <alignment vertical="center"/>
    </xf>
    <xf numFmtId="0" fontId="39" fillId="8" borderId="0" xfId="6" applyFill="1" applyAlignment="1">
      <alignment vertical="center"/>
    </xf>
    <xf numFmtId="0" fontId="45" fillId="8" borderId="0" xfId="0" applyFont="1" applyFill="1" applyAlignment="1">
      <alignment vertical="center"/>
    </xf>
    <xf numFmtId="0" fontId="12" fillId="0" borderId="0" xfId="0" applyFont="1" applyAlignment="1">
      <alignment vertical="center" wrapText="1"/>
    </xf>
    <xf numFmtId="0" fontId="0" fillId="0" borderId="11" xfId="0" applyBorder="1"/>
    <xf numFmtId="0" fontId="33" fillId="0" borderId="62" xfId="0" applyFont="1" applyBorder="1" applyAlignment="1">
      <alignment horizontal="left" vertical="center" indent="1"/>
    </xf>
    <xf numFmtId="0" fontId="33" fillId="0" borderId="63" xfId="0" applyFont="1" applyBorder="1" applyAlignment="1">
      <alignment horizontal="left" vertical="center" indent="1"/>
    </xf>
    <xf numFmtId="164" fontId="36" fillId="0" borderId="64" xfId="0" applyNumberFormat="1" applyFont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 vertical="center"/>
    </xf>
    <xf numFmtId="164" fontId="46" fillId="10" borderId="64" xfId="0" applyNumberFormat="1" applyFont="1" applyFill="1" applyBorder="1" applyAlignment="1">
      <alignment horizontal="center" vertical="center"/>
    </xf>
    <xf numFmtId="164" fontId="46" fillId="10" borderId="1" xfId="0" applyNumberFormat="1" applyFont="1" applyFill="1" applyBorder="1" applyAlignment="1">
      <alignment horizontal="center" vertical="center"/>
    </xf>
    <xf numFmtId="0" fontId="33" fillId="0" borderId="29" xfId="0" applyFont="1" applyBorder="1" applyAlignment="1">
      <alignment horizontal="left" vertical="center" indent="1"/>
    </xf>
    <xf numFmtId="164" fontId="36" fillId="0" borderId="34" xfId="0" applyNumberFormat="1" applyFont="1" applyBorder="1" applyAlignment="1">
      <alignment horizontal="center" vertical="center"/>
    </xf>
    <xf numFmtId="164" fontId="46" fillId="10" borderId="66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46" fillId="0" borderId="0" xfId="0" applyFont="1" applyAlignment="1">
      <alignment horizontal="center" vertical="center"/>
    </xf>
    <xf numFmtId="164" fontId="36" fillId="9" borderId="46" xfId="0" applyNumberFormat="1" applyFont="1" applyFill="1" applyBorder="1" applyAlignment="1">
      <alignment horizontal="center" vertical="center"/>
    </xf>
    <xf numFmtId="0" fontId="0" fillId="11" borderId="0" xfId="0" applyFill="1" applyAlignment="1">
      <alignment horizontal="left" indent="1"/>
    </xf>
    <xf numFmtId="0" fontId="47" fillId="0" borderId="0" xfId="0" applyFont="1"/>
    <xf numFmtId="0" fontId="48" fillId="0" borderId="0" xfId="0" applyFont="1"/>
    <xf numFmtId="0" fontId="48" fillId="0" borderId="0" xfId="0" applyFont="1" applyAlignment="1">
      <alignment horizontal="right" vertical="center"/>
    </xf>
    <xf numFmtId="164" fontId="9" fillId="0" borderId="0" xfId="0" applyNumberFormat="1" applyFont="1" applyAlignment="1">
      <alignment horizontal="left" vertical="center"/>
    </xf>
    <xf numFmtId="0" fontId="6" fillId="0" borderId="21" xfId="0" applyFont="1" applyBorder="1"/>
    <xf numFmtId="0" fontId="22" fillId="0" borderId="19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6" fillId="0" borderId="48" xfId="0" applyFont="1" applyBorder="1"/>
    <xf numFmtId="0" fontId="0" fillId="0" borderId="48" xfId="0" applyBorder="1"/>
    <xf numFmtId="0" fontId="25" fillId="12" borderId="19" xfId="0" applyFont="1" applyFill="1" applyBorder="1" applyAlignment="1">
      <alignment horizontal="center" vertical="center"/>
    </xf>
    <xf numFmtId="0" fontId="25" fillId="12" borderId="16" xfId="0" applyFont="1" applyFill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5" fontId="0" fillId="0" borderId="21" xfId="0" applyNumberFormat="1" applyBorder="1"/>
    <xf numFmtId="165" fontId="36" fillId="0" borderId="68" xfId="0" applyNumberFormat="1" applyFont="1" applyBorder="1" applyAlignment="1">
      <alignment horizontal="center" vertical="center"/>
    </xf>
    <xf numFmtId="164" fontId="36" fillId="0" borderId="33" xfId="7" applyNumberFormat="1" applyFont="1" applyBorder="1" applyAlignment="1">
      <alignment horizontal="center" vertical="center"/>
    </xf>
    <xf numFmtId="165" fontId="36" fillId="0" borderId="69" xfId="0" applyNumberFormat="1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165" fontId="36" fillId="0" borderId="62" xfId="0" applyNumberFormat="1" applyFont="1" applyBorder="1" applyAlignment="1">
      <alignment horizontal="center" vertical="center"/>
    </xf>
    <xf numFmtId="168" fontId="0" fillId="0" borderId="21" xfId="0" applyNumberFormat="1" applyBorder="1"/>
    <xf numFmtId="169" fontId="0" fillId="0" borderId="21" xfId="0" applyNumberFormat="1" applyBorder="1"/>
    <xf numFmtId="0" fontId="30" fillId="0" borderId="3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165" fontId="50" fillId="0" borderId="70" xfId="0" applyNumberFormat="1" applyFont="1" applyBorder="1" applyAlignment="1">
      <alignment horizontal="center" vertical="center"/>
    </xf>
    <xf numFmtId="170" fontId="0" fillId="0" borderId="0" xfId="0" applyNumberFormat="1"/>
    <xf numFmtId="169" fontId="0" fillId="0" borderId="0" xfId="0" applyNumberFormat="1"/>
    <xf numFmtId="165" fontId="36" fillId="0" borderId="74" xfId="0" applyNumberFormat="1" applyFont="1" applyBorder="1" applyAlignment="1">
      <alignment horizontal="center" vertical="center"/>
    </xf>
    <xf numFmtId="0" fontId="0" fillId="0" borderId="14" xfId="0" applyBorder="1"/>
    <xf numFmtId="0" fontId="51" fillId="12" borderId="16" xfId="0" applyFont="1" applyFill="1" applyBorder="1" applyAlignment="1">
      <alignment horizontal="center" vertical="center"/>
    </xf>
    <xf numFmtId="0" fontId="30" fillId="12" borderId="16" xfId="0" applyFont="1" applyFill="1" applyBorder="1" applyAlignment="1">
      <alignment horizontal="center" vertical="center"/>
    </xf>
    <xf numFmtId="0" fontId="52" fillId="12" borderId="16" xfId="0" applyFont="1" applyFill="1" applyBorder="1" applyAlignment="1">
      <alignment horizontal="center" vertical="center" wrapText="1"/>
    </xf>
    <xf numFmtId="164" fontId="53" fillId="0" borderId="33" xfId="0" applyNumberFormat="1" applyFont="1" applyBorder="1" applyAlignment="1">
      <alignment horizontal="center"/>
    </xf>
    <xf numFmtId="164" fontId="13" fillId="0" borderId="33" xfId="0" applyNumberFormat="1" applyFont="1" applyBorder="1" applyAlignment="1">
      <alignment horizontal="center"/>
    </xf>
    <xf numFmtId="164" fontId="54" fillId="0" borderId="33" xfId="0" applyNumberFormat="1" applyFont="1" applyBorder="1" applyAlignment="1">
      <alignment horizontal="center"/>
    </xf>
    <xf numFmtId="164" fontId="13" fillId="2" borderId="33" xfId="0" applyNumberFormat="1" applyFont="1" applyFill="1" applyBorder="1" applyAlignment="1">
      <alignment horizontal="center"/>
    </xf>
    <xf numFmtId="164" fontId="53" fillId="0" borderId="64" xfId="0" applyNumberFormat="1" applyFont="1" applyBorder="1" applyAlignment="1">
      <alignment horizontal="center"/>
    </xf>
    <xf numFmtId="164" fontId="13" fillId="0" borderId="64" xfId="0" applyNumberFormat="1" applyFont="1" applyBorder="1" applyAlignment="1">
      <alignment horizontal="center"/>
    </xf>
    <xf numFmtId="164" fontId="54" fillId="0" borderId="64" xfId="0" applyNumberFormat="1" applyFont="1" applyBorder="1" applyAlignment="1">
      <alignment horizontal="center"/>
    </xf>
    <xf numFmtId="164" fontId="13" fillId="2" borderId="64" xfId="0" applyNumberFormat="1" applyFont="1" applyFill="1" applyBorder="1" applyAlignment="1">
      <alignment horizontal="center"/>
    </xf>
    <xf numFmtId="10" fontId="0" fillId="0" borderId="0" xfId="4" applyNumberFormat="1" applyFont="1"/>
    <xf numFmtId="164" fontId="53" fillId="0" borderId="34" xfId="0" applyNumberFormat="1" applyFont="1" applyBorder="1" applyAlignment="1">
      <alignment horizontal="center"/>
    </xf>
    <xf numFmtId="164" fontId="13" fillId="0" borderId="34" xfId="0" applyNumberFormat="1" applyFont="1" applyBorder="1" applyAlignment="1">
      <alignment horizontal="center"/>
    </xf>
    <xf numFmtId="164" fontId="54" fillId="0" borderId="34" xfId="0" applyNumberFormat="1" applyFont="1" applyBorder="1" applyAlignment="1">
      <alignment horizontal="center"/>
    </xf>
    <xf numFmtId="164" fontId="13" fillId="2" borderId="34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13" borderId="0" xfId="0" applyFill="1"/>
    <xf numFmtId="164" fontId="30" fillId="0" borderId="56" xfId="0" applyNumberFormat="1" applyFont="1" applyBorder="1" applyAlignment="1">
      <alignment horizontal="center" vertical="center"/>
    </xf>
    <xf numFmtId="164" fontId="30" fillId="0" borderId="3" xfId="0" applyNumberFormat="1" applyFont="1" applyBorder="1" applyAlignment="1">
      <alignment horizontal="center" vertical="center"/>
    </xf>
    <xf numFmtId="164" fontId="30" fillId="0" borderId="75" xfId="0" applyNumberFormat="1" applyFont="1" applyBorder="1" applyAlignment="1">
      <alignment horizontal="center" vertical="center"/>
    </xf>
    <xf numFmtId="164" fontId="30" fillId="0" borderId="2" xfId="0" applyNumberFormat="1" applyFont="1" applyBorder="1" applyAlignment="1">
      <alignment horizontal="center" vertical="center"/>
    </xf>
    <xf numFmtId="164" fontId="30" fillId="0" borderId="54" xfId="0" applyNumberFormat="1" applyFont="1" applyBorder="1" applyAlignment="1">
      <alignment horizontal="center" vertical="center"/>
    </xf>
    <xf numFmtId="164" fontId="30" fillId="0" borderId="65" xfId="0" applyNumberFormat="1" applyFont="1" applyBorder="1" applyAlignment="1">
      <alignment horizontal="center" vertical="center"/>
    </xf>
    <xf numFmtId="164" fontId="34" fillId="14" borderId="75" xfId="0" applyNumberFormat="1" applyFont="1" applyFill="1" applyBorder="1" applyAlignment="1">
      <alignment horizontal="center" vertical="center"/>
    </xf>
    <xf numFmtId="164" fontId="34" fillId="14" borderId="2" xfId="0" applyNumberFormat="1" applyFont="1" applyFill="1" applyBorder="1" applyAlignment="1">
      <alignment horizontal="center" vertical="center"/>
    </xf>
    <xf numFmtId="164" fontId="34" fillId="14" borderId="54" xfId="0" applyNumberFormat="1" applyFont="1" applyFill="1" applyBorder="1" applyAlignment="1">
      <alignment horizontal="center" vertical="center"/>
    </xf>
    <xf numFmtId="164" fontId="34" fillId="14" borderId="65" xfId="0" applyNumberFormat="1" applyFont="1" applyFill="1" applyBorder="1" applyAlignment="1">
      <alignment horizontal="center" vertical="center"/>
    </xf>
    <xf numFmtId="164" fontId="34" fillId="14" borderId="21" xfId="0" applyNumberFormat="1" applyFont="1" applyFill="1" applyBorder="1" applyAlignment="1">
      <alignment horizontal="center" vertical="center"/>
    </xf>
    <xf numFmtId="164" fontId="34" fillId="14" borderId="76" xfId="0" applyNumberFormat="1" applyFont="1" applyFill="1" applyBorder="1" applyAlignment="1">
      <alignment horizontal="center" vertical="center"/>
    </xf>
    <xf numFmtId="164" fontId="34" fillId="14" borderId="46" xfId="0" applyNumberFormat="1" applyFont="1" applyFill="1" applyBorder="1" applyAlignment="1">
      <alignment horizontal="center" vertical="center"/>
    </xf>
    <xf numFmtId="164" fontId="34" fillId="14" borderId="15" xfId="0" applyNumberFormat="1" applyFont="1" applyFill="1" applyBorder="1" applyAlignment="1">
      <alignment horizontal="center" vertical="center"/>
    </xf>
    <xf numFmtId="164" fontId="34" fillId="14" borderId="11" xfId="0" applyNumberFormat="1" applyFont="1" applyFill="1" applyBorder="1" applyAlignment="1">
      <alignment horizontal="center" vertical="center"/>
    </xf>
    <xf numFmtId="164" fontId="34" fillId="14" borderId="22" xfId="0" applyNumberFormat="1" applyFont="1" applyFill="1" applyBorder="1" applyAlignment="1">
      <alignment horizontal="center" vertical="center"/>
    </xf>
    <xf numFmtId="0" fontId="31" fillId="0" borderId="28" xfId="0" applyFont="1" applyBorder="1"/>
    <xf numFmtId="164" fontId="30" fillId="12" borderId="19" xfId="0" applyNumberFormat="1" applyFont="1" applyFill="1" applyBorder="1" applyAlignment="1">
      <alignment horizontal="center"/>
    </xf>
    <xf numFmtId="171" fontId="0" fillId="0" borderId="0" xfId="0" applyNumberFormat="1"/>
    <xf numFmtId="164" fontId="33" fillId="0" borderId="56" xfId="0" applyNumberFormat="1" applyFont="1" applyBorder="1" applyAlignment="1">
      <alignment horizontal="center" vertical="center"/>
    </xf>
    <xf numFmtId="164" fontId="33" fillId="0" borderId="8" xfId="0" applyNumberFormat="1" applyFont="1" applyBorder="1" applyAlignment="1">
      <alignment horizontal="center" vertical="center"/>
    </xf>
    <xf numFmtId="164" fontId="33" fillId="0" borderId="9" xfId="0" applyNumberFormat="1" applyFont="1" applyBorder="1" applyAlignment="1">
      <alignment horizontal="center" vertical="center"/>
    </xf>
    <xf numFmtId="164" fontId="33" fillId="0" borderId="75" xfId="0" applyNumberFormat="1" applyFont="1" applyBorder="1" applyAlignment="1">
      <alignment horizontal="center" vertical="center"/>
    </xf>
    <xf numFmtId="164" fontId="33" fillId="0" borderId="2" xfId="0" applyNumberFormat="1" applyFont="1" applyBorder="1" applyAlignment="1">
      <alignment horizontal="center" vertical="center"/>
    </xf>
    <xf numFmtId="164" fontId="33" fillId="0" borderId="54" xfId="0" applyNumberFormat="1" applyFont="1" applyBorder="1" applyAlignment="1">
      <alignment horizontal="center" vertical="center"/>
    </xf>
    <xf numFmtId="164" fontId="33" fillId="0" borderId="65" xfId="0" applyNumberFormat="1" applyFont="1" applyBorder="1" applyAlignment="1">
      <alignment horizontal="center" vertical="center"/>
    </xf>
    <xf numFmtId="164" fontId="33" fillId="0" borderId="46" xfId="0" applyNumberFormat="1" applyFont="1" applyBorder="1" applyAlignment="1">
      <alignment horizontal="center" vertical="center"/>
    </xf>
    <xf numFmtId="164" fontId="33" fillId="0" borderId="15" xfId="0" applyNumberFormat="1" applyFont="1" applyBorder="1" applyAlignment="1">
      <alignment horizontal="center" vertical="center"/>
    </xf>
    <xf numFmtId="164" fontId="33" fillId="0" borderId="11" xfId="0" applyNumberFormat="1" applyFont="1" applyBorder="1" applyAlignment="1">
      <alignment horizontal="center" vertical="center"/>
    </xf>
    <xf numFmtId="0" fontId="32" fillId="0" borderId="28" xfId="0" applyFont="1" applyBorder="1"/>
    <xf numFmtId="164" fontId="33" fillId="12" borderId="19" xfId="0" applyNumberFormat="1" applyFont="1" applyFill="1" applyBorder="1" applyAlignment="1">
      <alignment horizontal="center"/>
    </xf>
    <xf numFmtId="0" fontId="30" fillId="0" borderId="0" xfId="0" applyFont="1" applyAlignment="1">
      <alignment horizontal="center" vertical="center"/>
    </xf>
    <xf numFmtId="164" fontId="30" fillId="0" borderId="33" xfId="0" applyNumberFormat="1" applyFont="1" applyBorder="1" applyAlignment="1">
      <alignment horizontal="center" vertical="center"/>
    </xf>
    <xf numFmtId="164" fontId="30" fillId="0" borderId="58" xfId="0" applyNumberFormat="1" applyFont="1" applyBorder="1" applyAlignment="1">
      <alignment horizontal="center" vertical="center"/>
    </xf>
    <xf numFmtId="164" fontId="30" fillId="0" borderId="64" xfId="0" applyNumberFormat="1" applyFont="1" applyBorder="1" applyAlignment="1">
      <alignment horizontal="center" vertical="center"/>
    </xf>
    <xf numFmtId="164" fontId="30" fillId="0" borderId="53" xfId="0" applyNumberFormat="1" applyFont="1" applyBorder="1" applyAlignment="1">
      <alignment horizontal="center" vertical="center"/>
    </xf>
    <xf numFmtId="164" fontId="38" fillId="0" borderId="14" xfId="0" applyNumberFormat="1" applyFont="1" applyBorder="1" applyAlignment="1">
      <alignment horizontal="center"/>
    </xf>
    <xf numFmtId="164" fontId="38" fillId="0" borderId="0" xfId="0" applyNumberFormat="1" applyFont="1" applyAlignment="1">
      <alignment horizontal="center"/>
    </xf>
    <xf numFmtId="164" fontId="30" fillId="0" borderId="37" xfId="0" applyNumberFormat="1" applyFont="1" applyBorder="1" applyAlignment="1">
      <alignment horizontal="center" vertical="center"/>
    </xf>
    <xf numFmtId="164" fontId="30" fillId="0" borderId="34" xfId="0" applyNumberFormat="1" applyFont="1" applyBorder="1" applyAlignment="1">
      <alignment horizontal="center" vertical="center"/>
    </xf>
    <xf numFmtId="164" fontId="30" fillId="0" borderId="25" xfId="0" applyNumberFormat="1" applyFont="1" applyBorder="1" applyAlignment="1">
      <alignment horizontal="center" vertical="center"/>
    </xf>
    <xf numFmtId="164" fontId="30" fillId="8" borderId="33" xfId="0" applyNumberFormat="1" applyFont="1" applyFill="1" applyBorder="1" applyAlignment="1">
      <alignment horizontal="center" vertical="center"/>
    </xf>
    <xf numFmtId="164" fontId="30" fillId="8" borderId="64" xfId="0" applyNumberFormat="1" applyFont="1" applyFill="1" applyBorder="1" applyAlignment="1">
      <alignment horizontal="center" vertical="center"/>
    </xf>
    <xf numFmtId="164" fontId="33" fillId="0" borderId="64" xfId="0" applyNumberFormat="1" applyFont="1" applyBorder="1" applyAlignment="1">
      <alignment horizontal="center" vertical="center"/>
    </xf>
    <xf numFmtId="0" fontId="30" fillId="8" borderId="16" xfId="0" applyFont="1" applyFill="1" applyBorder="1" applyAlignment="1">
      <alignment horizontal="center" vertical="center"/>
    </xf>
    <xf numFmtId="0" fontId="30" fillId="3" borderId="16" xfId="0" applyFont="1" applyFill="1" applyBorder="1" applyAlignment="1">
      <alignment horizontal="center" vertical="center" wrapText="1"/>
    </xf>
    <xf numFmtId="164" fontId="33" fillId="0" borderId="58" xfId="0" applyNumberFormat="1" applyFont="1" applyBorder="1" applyAlignment="1">
      <alignment horizontal="center" vertical="center"/>
    </xf>
    <xf numFmtId="164" fontId="33" fillId="0" borderId="33" xfId="1" applyNumberFormat="1" applyFont="1" applyBorder="1" applyAlignment="1">
      <alignment horizontal="center" vertical="center"/>
    </xf>
    <xf numFmtId="172" fontId="33" fillId="3" borderId="33" xfId="4" applyNumberFormat="1" applyFont="1" applyFill="1" applyBorder="1" applyAlignment="1">
      <alignment horizontal="center"/>
    </xf>
    <xf numFmtId="164" fontId="33" fillId="0" borderId="58" xfId="1" applyNumberFormat="1" applyFont="1" applyBorder="1" applyAlignment="1">
      <alignment horizontal="center" vertical="center"/>
    </xf>
    <xf numFmtId="172" fontId="33" fillId="3" borderId="64" xfId="4" applyNumberFormat="1" applyFont="1" applyFill="1" applyBorder="1" applyAlignment="1">
      <alignment horizontal="center"/>
    </xf>
    <xf numFmtId="164" fontId="33" fillId="0" borderId="53" xfId="0" applyNumberFormat="1" applyFont="1" applyBorder="1" applyAlignment="1">
      <alignment horizontal="center" vertical="center"/>
    </xf>
    <xf numFmtId="164" fontId="33" fillId="0" borderId="53" xfId="1" applyNumberFormat="1" applyFont="1" applyBorder="1" applyAlignment="1">
      <alignment horizontal="center" vertical="center"/>
    </xf>
    <xf numFmtId="172" fontId="33" fillId="3" borderId="34" xfId="4" applyNumberFormat="1" applyFont="1" applyFill="1" applyBorder="1" applyAlignment="1">
      <alignment horizontal="center"/>
    </xf>
    <xf numFmtId="164" fontId="33" fillId="0" borderId="33" xfId="0" applyNumberFormat="1" applyFont="1" applyBorder="1" applyAlignment="1">
      <alignment horizontal="center" vertical="center"/>
    </xf>
    <xf numFmtId="0" fontId="8" fillId="13" borderId="0" xfId="0" applyFont="1" applyFill="1"/>
    <xf numFmtId="0" fontId="55" fillId="13" borderId="0" xfId="0" applyFont="1" applyFill="1"/>
    <xf numFmtId="165" fontId="55" fillId="13" borderId="0" xfId="0" applyNumberFormat="1" applyFont="1" applyFill="1"/>
    <xf numFmtId="0" fontId="8" fillId="0" borderId="0" xfId="0" applyFont="1" applyAlignment="1">
      <alignment horizontal="right" vertical="center"/>
    </xf>
    <xf numFmtId="0" fontId="22" fillId="2" borderId="0" xfId="0" applyFont="1" applyFill="1" applyAlignment="1">
      <alignment horizontal="right" vertical="center"/>
    </xf>
    <xf numFmtId="172" fontId="33" fillId="15" borderId="0" xfId="4" applyNumberFormat="1" applyFont="1" applyFill="1" applyAlignment="1">
      <alignment horizontal="left"/>
    </xf>
    <xf numFmtId="0" fontId="8" fillId="0" borderId="0" xfId="0" applyFont="1"/>
    <xf numFmtId="0" fontId="8" fillId="2" borderId="0" xfId="0" applyFont="1" applyFill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right"/>
    </xf>
    <xf numFmtId="43" fontId="0" fillId="0" borderId="0" xfId="3" applyFont="1" applyAlignment="1"/>
    <xf numFmtId="43" fontId="22" fillId="2" borderId="0" xfId="3" applyFont="1" applyFill="1" applyAlignment="1">
      <alignment vertical="center"/>
    </xf>
    <xf numFmtId="2" fontId="33" fillId="15" borderId="0" xfId="4" applyNumberFormat="1" applyFont="1" applyFill="1" applyAlignment="1">
      <alignment horizontal="left"/>
    </xf>
    <xf numFmtId="164" fontId="36" fillId="9" borderId="58" xfId="0" applyNumberFormat="1" applyFont="1" applyFill="1" applyBorder="1" applyAlignment="1">
      <alignment horizontal="center" vertical="center"/>
    </xf>
    <xf numFmtId="164" fontId="36" fillId="0" borderId="3" xfId="0" applyNumberFormat="1" applyFont="1" applyBorder="1" applyAlignment="1">
      <alignment horizontal="center" vertical="center"/>
    </xf>
    <xf numFmtId="164" fontId="36" fillId="0" borderId="33" xfId="0" applyNumberFormat="1" applyFont="1" applyBorder="1" applyAlignment="1">
      <alignment horizontal="center" vertical="center"/>
    </xf>
    <xf numFmtId="164" fontId="36" fillId="0" borderId="32" xfId="0" applyNumberFormat="1" applyFont="1" applyBorder="1" applyAlignment="1">
      <alignment horizontal="center" vertical="center"/>
    </xf>
    <xf numFmtId="164" fontId="36" fillId="0" borderId="58" xfId="7" applyNumberFormat="1" applyFont="1" applyBorder="1" applyAlignment="1">
      <alignment horizontal="center" vertical="center"/>
    </xf>
    <xf numFmtId="164" fontId="36" fillId="0" borderId="65" xfId="0" applyNumberFormat="1" applyFont="1" applyBorder="1" applyAlignment="1">
      <alignment horizontal="center" vertical="center"/>
    </xf>
    <xf numFmtId="164" fontId="36" fillId="0" borderId="64" xfId="7" applyNumberFormat="1" applyFont="1" applyBorder="1" applyAlignment="1">
      <alignment horizontal="center" vertical="center"/>
    </xf>
    <xf numFmtId="164" fontId="36" fillId="0" borderId="34" xfId="7" applyNumberFormat="1" applyFont="1" applyBorder="1" applyAlignment="1">
      <alignment horizontal="center" vertical="center"/>
    </xf>
    <xf numFmtId="164" fontId="36" fillId="0" borderId="25" xfId="0" applyNumberFormat="1" applyFont="1" applyBorder="1" applyAlignment="1">
      <alignment horizontal="center" vertical="center"/>
    </xf>
    <xf numFmtId="164" fontId="13" fillId="0" borderId="34" xfId="7" applyNumberFormat="1" applyFont="1" applyBorder="1" applyAlignment="1">
      <alignment horizontal="center" vertical="center"/>
    </xf>
    <xf numFmtId="164" fontId="30" fillId="12" borderId="16" xfId="0" applyNumberFormat="1" applyFont="1" applyFill="1" applyBorder="1" applyAlignment="1">
      <alignment horizontal="center"/>
    </xf>
    <xf numFmtId="164" fontId="33" fillId="0" borderId="62" xfId="0" applyNumberFormat="1" applyFont="1" applyBorder="1" applyAlignment="1">
      <alignment horizontal="center" vertical="center"/>
    </xf>
    <xf numFmtId="164" fontId="33" fillId="8" borderId="58" xfId="0" applyNumberFormat="1" applyFont="1" applyFill="1" applyBorder="1" applyAlignment="1">
      <alignment horizontal="center" vertical="center"/>
    </xf>
    <xf numFmtId="164" fontId="30" fillId="0" borderId="27" xfId="0" applyNumberFormat="1" applyFont="1" applyBorder="1" applyAlignment="1">
      <alignment horizontal="center" vertical="center"/>
    </xf>
    <xf numFmtId="164" fontId="30" fillId="0" borderId="35" xfId="0" applyNumberFormat="1" applyFont="1" applyBorder="1" applyAlignment="1">
      <alignment horizontal="center" vertical="center"/>
    </xf>
    <xf numFmtId="164" fontId="30" fillId="0" borderId="46" xfId="0" applyNumberFormat="1" applyFont="1" applyBorder="1" applyAlignment="1">
      <alignment horizontal="center" vertical="center"/>
    </xf>
    <xf numFmtId="164" fontId="30" fillId="0" borderId="15" xfId="0" applyNumberFormat="1" applyFont="1" applyBorder="1" applyAlignment="1">
      <alignment horizontal="center" vertical="center"/>
    </xf>
    <xf numFmtId="164" fontId="30" fillId="0" borderId="11" xfId="0" applyNumberFormat="1" applyFont="1" applyBorder="1" applyAlignment="1">
      <alignment horizontal="center" vertical="center"/>
    </xf>
    <xf numFmtId="164" fontId="33" fillId="0" borderId="30" xfId="0" applyNumberFormat="1" applyFont="1" applyBorder="1" applyAlignment="1">
      <alignment horizontal="center" vertical="center"/>
    </xf>
    <xf numFmtId="164" fontId="33" fillId="8" borderId="53" xfId="0" applyNumberFormat="1" applyFont="1" applyFill="1" applyBorder="1" applyAlignment="1">
      <alignment horizontal="center" vertical="center"/>
    </xf>
    <xf numFmtId="164" fontId="30" fillId="0" borderId="76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7" fillId="8" borderId="0" xfId="0" applyFont="1" applyFill="1" applyAlignment="1">
      <alignment horizontal="left" vertical="center" wrapText="1"/>
    </xf>
    <xf numFmtId="164" fontId="36" fillId="0" borderId="71" xfId="0" applyNumberFormat="1" applyFont="1" applyBorder="1" applyAlignment="1">
      <alignment horizontal="center" vertical="center"/>
    </xf>
    <xf numFmtId="164" fontId="36" fillId="0" borderId="72" xfId="0" applyNumberFormat="1" applyFont="1" applyBorder="1" applyAlignment="1">
      <alignment horizontal="center" vertical="center"/>
    </xf>
    <xf numFmtId="164" fontId="36" fillId="0" borderId="73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22" fillId="0" borderId="19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2" fillId="12" borderId="43" xfId="0" applyFont="1" applyFill="1" applyBorder="1" applyAlignment="1">
      <alignment horizontal="center" vertical="center"/>
    </xf>
    <xf numFmtId="0" fontId="22" fillId="12" borderId="53" xfId="0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30" fillId="12" borderId="67" xfId="0" applyFont="1" applyFill="1" applyBorder="1" applyAlignment="1">
      <alignment horizontal="center" vertical="center"/>
    </xf>
    <xf numFmtId="0" fontId="30" fillId="12" borderId="5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9" fillId="9" borderId="43" xfId="0" applyFont="1" applyFill="1" applyBorder="1" applyAlignment="1">
      <alignment horizontal="center" vertical="center"/>
    </xf>
    <xf numFmtId="0" fontId="9" fillId="9" borderId="53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6" fillId="0" borderId="11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49" fontId="19" fillId="0" borderId="0" xfId="0" applyNumberFormat="1" applyFont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3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13" borderId="0" xfId="0" applyFont="1" applyFill="1" applyAlignment="1">
      <alignment horizontal="center"/>
    </xf>
    <xf numFmtId="0" fontId="13" fillId="0" borderId="0" xfId="0" applyFont="1" applyAlignment="1">
      <alignment horizontal="right"/>
    </xf>
    <xf numFmtId="0" fontId="9" fillId="0" borderId="28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2" fillId="4" borderId="28" xfId="0" applyFont="1" applyFill="1" applyBorder="1" applyAlignment="1">
      <alignment horizontal="center" vertical="center" wrapText="1"/>
    </xf>
    <xf numFmtId="0" fontId="22" fillId="4" borderId="21" xfId="0" applyFont="1" applyFill="1" applyBorder="1" applyAlignment="1">
      <alignment horizontal="center" vertical="center" wrapText="1"/>
    </xf>
    <xf numFmtId="0" fontId="25" fillId="4" borderId="22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/>
    </xf>
    <xf numFmtId="0" fontId="25" fillId="4" borderId="11" xfId="0" applyFont="1" applyFill="1" applyBorder="1" applyAlignment="1">
      <alignment horizontal="center" vertical="center"/>
    </xf>
    <xf numFmtId="0" fontId="22" fillId="4" borderId="47" xfId="0" applyFont="1" applyFill="1" applyBorder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30" xfId="0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0" fontId="22" fillId="4" borderId="22" xfId="0" applyFont="1" applyFill="1" applyBorder="1" applyAlignment="1">
      <alignment horizontal="center" vertical="center"/>
    </xf>
    <xf numFmtId="0" fontId="22" fillId="4" borderId="31" xfId="0" applyFont="1" applyFill="1" applyBorder="1" applyAlignment="1">
      <alignment horizontal="center" vertical="center" wrapText="1"/>
    </xf>
    <xf numFmtId="0" fontId="22" fillId="4" borderId="36" xfId="0" applyFont="1" applyFill="1" applyBorder="1" applyAlignment="1">
      <alignment horizontal="center" vertical="center" wrapText="1"/>
    </xf>
    <xf numFmtId="0" fontId="26" fillId="4" borderId="29" xfId="0" applyFont="1" applyFill="1" applyBorder="1" applyAlignment="1">
      <alignment horizontal="center" vertical="center" wrapText="1"/>
    </xf>
    <xf numFmtId="0" fontId="22" fillId="4" borderId="33" xfId="0" applyFont="1" applyFill="1" applyBorder="1" applyAlignment="1">
      <alignment horizontal="center" vertical="center" wrapText="1"/>
    </xf>
    <xf numFmtId="0" fontId="22" fillId="4" borderId="48" xfId="0" applyFont="1" applyFill="1" applyBorder="1" applyAlignment="1">
      <alignment horizontal="center" vertical="center" wrapText="1"/>
    </xf>
    <xf numFmtId="0" fontId="26" fillId="4" borderId="34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vertical="center"/>
    </xf>
    <xf numFmtId="0" fontId="27" fillId="0" borderId="53" xfId="0" applyFont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5" fillId="4" borderId="20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0" fontId="9" fillId="0" borderId="14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28" fillId="4" borderId="20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8" fillId="0" borderId="48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22" fillId="4" borderId="40" xfId="0" applyFont="1" applyFill="1" applyBorder="1" applyAlignment="1">
      <alignment horizontal="center" vertical="center"/>
    </xf>
    <xf numFmtId="0" fontId="22" fillId="4" borderId="20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8" fillId="2" borderId="40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7" fillId="0" borderId="0" xfId="0" applyFont="1"/>
    <xf numFmtId="0" fontId="15" fillId="0" borderId="0" xfId="0" applyFont="1" applyAlignment="1">
      <alignment horizontal="right"/>
    </xf>
    <xf numFmtId="0" fontId="26" fillId="4" borderId="14" xfId="0" applyFont="1" applyFill="1" applyBorder="1" applyAlignment="1">
      <alignment horizontal="center" vertical="center"/>
    </xf>
    <xf numFmtId="3" fontId="9" fillId="5" borderId="19" xfId="0" applyNumberFormat="1" applyFont="1" applyFill="1" applyBorder="1" applyAlignment="1">
      <alignment horizontal="center" vertical="center"/>
    </xf>
    <xf numFmtId="3" fontId="28" fillId="5" borderId="20" xfId="0" applyNumberFormat="1" applyFont="1" applyFill="1" applyBorder="1"/>
    <xf numFmtId="3" fontId="29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26" fillId="4" borderId="20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36" fillId="2" borderId="19" xfId="0" applyFont="1" applyFill="1" applyBorder="1" applyAlignment="1">
      <alignment horizontal="center" vertical="center"/>
    </xf>
    <xf numFmtId="0" fontId="36" fillId="2" borderId="40" xfId="0" applyFont="1" applyFill="1" applyBorder="1" applyAlignment="1">
      <alignment horizontal="center" vertical="center"/>
    </xf>
    <xf numFmtId="0" fontId="36" fillId="2" borderId="20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26" fillId="4" borderId="16" xfId="0" applyFont="1" applyFill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22" fillId="4" borderId="60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2" fillId="2" borderId="60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2" borderId="40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9" fillId="4" borderId="60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2" borderId="60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 wrapText="1"/>
    </xf>
    <xf numFmtId="0" fontId="30" fillId="4" borderId="11" xfId="0" applyFont="1" applyFill="1" applyBorder="1" applyAlignment="1">
      <alignment horizontal="center" vertical="center" wrapText="1"/>
    </xf>
    <xf numFmtId="0" fontId="30" fillId="4" borderId="43" xfId="0" applyFont="1" applyFill="1" applyBorder="1" applyAlignment="1">
      <alignment horizontal="center" vertical="center"/>
    </xf>
    <xf numFmtId="0" fontId="30" fillId="4" borderId="53" xfId="0" applyFont="1" applyFill="1" applyBorder="1" applyAlignment="1">
      <alignment horizontal="center" vertical="center"/>
    </xf>
    <xf numFmtId="0" fontId="30" fillId="4" borderId="47" xfId="0" applyFont="1" applyFill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/>
    </xf>
    <xf numFmtId="0" fontId="30" fillId="4" borderId="28" xfId="0" applyFont="1" applyFill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30" fillId="4" borderId="60" xfId="0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30" fillId="2" borderId="17" xfId="0" applyFont="1" applyFill="1" applyBorder="1" applyAlignment="1">
      <alignment horizontal="center" vertical="center"/>
    </xf>
    <xf numFmtId="0" fontId="30" fillId="2" borderId="18" xfId="0" applyFont="1" applyFill="1" applyBorder="1" applyAlignment="1">
      <alignment horizontal="center" vertical="center"/>
    </xf>
    <xf numFmtId="0" fontId="30" fillId="4" borderId="17" xfId="0" applyFont="1" applyFill="1" applyBorder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</cellXfs>
  <cellStyles count="8">
    <cellStyle name="Hipervínculo" xfId="6" builtinId="8"/>
    <cellStyle name="Millares" xfId="3" builtinId="3"/>
    <cellStyle name="Normal" xfId="0" builtinId="0"/>
    <cellStyle name="Normal 2" xfId="1" xr:uid="{00000000-0005-0000-0000-000002000000}"/>
    <cellStyle name="Normal 3" xfId="2" xr:uid="{00000000-0005-0000-0000-000003000000}"/>
    <cellStyle name="Normal 4" xfId="5" xr:uid="{00000000-0005-0000-0000-000004000000}"/>
    <cellStyle name="Normal 5" xfId="7" xr:uid="{E93B6868-53C1-4E0F-81B7-2D32C96BDFC3}"/>
    <cellStyle name="Porcentaje" xfId="4" builtinId="5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99FF99"/>
      <color rgb="FFFC0CEB"/>
      <color rgb="FF66FF66"/>
      <color rgb="FF2EFEF4"/>
      <color rgb="FFFFFF66"/>
      <color rgb="FF996633"/>
      <color rgb="FFFFFFCC"/>
      <color rgb="FFFFFF99"/>
      <color rgb="FFCCE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22770224890415E-2"/>
          <c:y val="8.6505336466899035E-2"/>
          <c:w val="0.72797071055344253"/>
          <c:h val="0.60207714180961724"/>
        </c:manualLayout>
      </c:layout>
      <c:lineChart>
        <c:grouping val="standard"/>
        <c:varyColors val="0"/>
        <c:ser>
          <c:idx val="2"/>
          <c:order val="0"/>
          <c:tx>
            <c:strRef>
              <c:f>'02_CUADRYGRÁF.COMP.ÚLT.5 CAMP.'!$C$24</c:f>
              <c:strCache>
                <c:ptCount val="1"/>
                <c:pt idx="0">
                  <c:v>2020/21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'02_CUADRYGRÁF.COMP.ÚLT.5 CAMP.'!$B$25:$B$36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CAMP.'!$C$25:$C$36</c:f>
              <c:numCache>
                <c:formatCode>#,##0.0</c:formatCode>
                <c:ptCount val="12"/>
                <c:pt idx="0">
                  <c:v>18.399999999999999</c:v>
                </c:pt>
                <c:pt idx="1">
                  <c:v>20.100000000000001</c:v>
                </c:pt>
                <c:pt idx="2">
                  <c:v>20.9</c:v>
                </c:pt>
                <c:pt idx="3">
                  <c:v>11.7</c:v>
                </c:pt>
                <c:pt idx="4">
                  <c:v>16.7</c:v>
                </c:pt>
                <c:pt idx="5">
                  <c:v>17.8</c:v>
                </c:pt>
                <c:pt idx="6">
                  <c:v>15.5</c:v>
                </c:pt>
                <c:pt idx="7">
                  <c:v>13.3</c:v>
                </c:pt>
                <c:pt idx="8">
                  <c:v>13.3</c:v>
                </c:pt>
                <c:pt idx="9">
                  <c:v>10.5</c:v>
                </c:pt>
                <c:pt idx="10">
                  <c:v>8.5</c:v>
                </c:pt>
                <c:pt idx="11">
                  <c:v>16.2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77-453E-BA2C-7CDF9CA2A6B9}"/>
            </c:ext>
          </c:extLst>
        </c:ser>
        <c:ser>
          <c:idx val="3"/>
          <c:order val="1"/>
          <c:tx>
            <c:strRef>
              <c:f>'02_CUADRYGRÁF.COMP.ÚLT.5 CAMP.'!$D$24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'02_CUADRYGRÁF.COMP.ÚLT.5 CAMP.'!$B$25:$B$36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CAMP.'!$D$25:$D$36</c:f>
              <c:numCache>
                <c:formatCode>#,##0.0</c:formatCode>
                <c:ptCount val="12"/>
                <c:pt idx="0">
                  <c:v>12.69769</c:v>
                </c:pt>
                <c:pt idx="1">
                  <c:v>18.94698</c:v>
                </c:pt>
                <c:pt idx="2">
                  <c:v>35.594239999999999</c:v>
                </c:pt>
                <c:pt idx="3">
                  <c:v>12.83714</c:v>
                </c:pt>
                <c:pt idx="4">
                  <c:v>17.419599999999999</c:v>
                </c:pt>
                <c:pt idx="5">
                  <c:v>12.03758</c:v>
                </c:pt>
                <c:pt idx="6">
                  <c:v>21.93187</c:v>
                </c:pt>
                <c:pt idx="7">
                  <c:v>20.429549999999999</c:v>
                </c:pt>
                <c:pt idx="8">
                  <c:v>16.474689999999999</c:v>
                </c:pt>
                <c:pt idx="9">
                  <c:v>12.6548</c:v>
                </c:pt>
                <c:pt idx="10">
                  <c:v>20.247869999999999</c:v>
                </c:pt>
                <c:pt idx="11">
                  <c:v>11.521409999999999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77-453E-BA2C-7CDF9CA2A6B9}"/>
            </c:ext>
          </c:extLst>
        </c:ser>
        <c:ser>
          <c:idx val="4"/>
          <c:order val="2"/>
          <c:tx>
            <c:strRef>
              <c:f>'02_CUADRYGRÁF.COMP.ÚLT.5 CAMP.'!$E$24</c:f>
              <c:strCache>
                <c:ptCount val="1"/>
                <c:pt idx="0">
                  <c:v>2022/23</c:v>
                </c:pt>
              </c:strCache>
            </c:strRef>
          </c:tx>
          <c:spPr>
            <a:ln w="12700">
              <a:solidFill>
                <a:srgbClr val="333333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333333"/>
                </a:solidFill>
                <a:prstDash val="solid"/>
              </a:ln>
            </c:spPr>
          </c:marker>
          <c:cat>
            <c:strRef>
              <c:f>'02_CUADRYGRÁF.COMP.ÚLT.5 CAMP.'!$B$25:$B$36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CAMP.'!$E$25:$E$36</c:f>
              <c:numCache>
                <c:formatCode>#,##0.0</c:formatCode>
                <c:ptCount val="12"/>
                <c:pt idx="0">
                  <c:v>13.250510999999999</c:v>
                </c:pt>
                <c:pt idx="1">
                  <c:v>22.196355000000001</c:v>
                </c:pt>
                <c:pt idx="2">
                  <c:v>35.413638999999996</c:v>
                </c:pt>
                <c:pt idx="3">
                  <c:v>13.040041</c:v>
                </c:pt>
                <c:pt idx="4">
                  <c:v>19.216601999999998</c:v>
                </c:pt>
                <c:pt idx="5">
                  <c:v>17.429421999999999</c:v>
                </c:pt>
                <c:pt idx="6">
                  <c:v>10.323653999999999</c:v>
                </c:pt>
                <c:pt idx="7">
                  <c:v>14.328992999999999</c:v>
                </c:pt>
                <c:pt idx="8">
                  <c:v>16.168545000000002</c:v>
                </c:pt>
                <c:pt idx="9">
                  <c:v>19.188001</c:v>
                </c:pt>
                <c:pt idx="10">
                  <c:v>14.861437000000002</c:v>
                </c:pt>
                <c:pt idx="11">
                  <c:v>19.744251999999999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77-453E-BA2C-7CDF9CA2A6B9}"/>
            </c:ext>
          </c:extLst>
        </c:ser>
        <c:ser>
          <c:idx val="0"/>
          <c:order val="3"/>
          <c:tx>
            <c:strRef>
              <c:f>'02_CUADRYGRÁF.COMP.ÚLT.5 CAMP.'!$F$24</c:f>
              <c:strCache>
                <c:ptCount val="1"/>
                <c:pt idx="0">
                  <c:v>2023/24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'02_CUADRYGRÁF.COMP.ÚLT.5 CAMP.'!$B$25:$B$36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CAMP.'!$F$25:$F$36</c:f>
              <c:numCache>
                <c:formatCode>#,##0.0</c:formatCode>
                <c:ptCount val="12"/>
                <c:pt idx="0">
                  <c:v>14.465849000000002</c:v>
                </c:pt>
                <c:pt idx="1">
                  <c:v>28.280684999999998</c:v>
                </c:pt>
                <c:pt idx="2">
                  <c:v>26.757531999999998</c:v>
                </c:pt>
                <c:pt idx="3">
                  <c:v>18.214635000000001</c:v>
                </c:pt>
                <c:pt idx="4">
                  <c:v>20.514472000000001</c:v>
                </c:pt>
                <c:pt idx="5">
                  <c:v>21.408030999999998</c:v>
                </c:pt>
                <c:pt idx="6">
                  <c:v>23.6309</c:v>
                </c:pt>
                <c:pt idx="7">
                  <c:v>20.321337000000003</c:v>
                </c:pt>
                <c:pt idx="8">
                  <c:v>17.351096999999999</c:v>
                </c:pt>
                <c:pt idx="9">
                  <c:v>21.684970999999997</c:v>
                </c:pt>
                <c:pt idx="10">
                  <c:v>15.398775999999998</c:v>
                </c:pt>
                <c:pt idx="11">
                  <c:v>15.206740000000002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77-453E-BA2C-7CDF9CA2A6B9}"/>
            </c:ext>
          </c:extLst>
        </c:ser>
        <c:ser>
          <c:idx val="1"/>
          <c:order val="4"/>
          <c:tx>
            <c:strRef>
              <c:f>'02_CUADRYGRÁF.COMP.ÚLT.5 CAMP.'!$G$24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CAMP.'!$B$25:$B$36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CAMP.'!$G$25:$G$36</c:f>
              <c:numCache>
                <c:formatCode>#,##0.0</c:formatCode>
                <c:ptCount val="12"/>
                <c:pt idx="0">
                  <c:v>15.916</c:v>
                </c:pt>
                <c:pt idx="1">
                  <c:v>23.576000000000001</c:v>
                </c:pt>
                <c:pt idx="2">
                  <c:v>30.591999999999999</c:v>
                </c:pt>
                <c:pt idx="3">
                  <c:v>17.385000000000002</c:v>
                </c:pt>
                <c:pt idx="4">
                  <c:v>19.042000000000002</c:v>
                </c:pt>
                <c:pt idx="5">
                  <c:v>22.052</c:v>
                </c:pt>
                <c:pt idx="6">
                  <c:v>16.635000000000002</c:v>
                </c:pt>
                <c:pt idx="7">
                  <c:v>15.276999999999999</c:v>
                </c:pt>
                <c:pt idx="8">
                  <c:v>14.541</c:v>
                </c:pt>
                <c:pt idx="9">
                  <c:v>13.11</c:v>
                </c:pt>
                <c:pt idx="10">
                  <c:v>6.7649999999999997</c:v>
                </c:pt>
                <c:pt idx="11">
                  <c:v>11.167999999999999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77-453E-BA2C-7CDF9CA2A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1921024"/>
        <c:axId val="-191920480"/>
      </c:lineChart>
      <c:catAx>
        <c:axId val="-19192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91920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91920480"/>
        <c:scaling>
          <c:orientation val="minMax"/>
        </c:scaling>
        <c:delete val="0"/>
        <c:axPos val="l"/>
        <c:majorGridlines>
          <c:spPr>
            <a:ln w="3175">
              <a:solidFill>
                <a:srgbClr val="808000"/>
              </a:solidFill>
              <a:prstDash val="solid"/>
            </a:ln>
          </c:spPr>
        </c:majorGridlines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91921024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71663599521324"/>
          <c:y val="0.22145365047362159"/>
          <c:w val="0.147509779668346"/>
          <c:h val="0.3321806573486271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1"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>
      <c:oddHeader>&amp;Z&amp;G&amp;D&amp;"Arial,Normal"&amp;9CAMPAÑA: 2020/2021. MES: JUNIO
Fecha de emisión de datos:  26/07/2021</c:oddHeader>
    </c:headerFooter>
    <c:pageMargins b="0.75" l="0.7" r="0.7" t="0.75" header="0.3" footer="0.3"/>
    <c:pageSetup paperSize="9" orientation="landscape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95256873617696"/>
          <c:y val="8.9965549925574997E-2"/>
          <c:w val="0.68762032667471484"/>
          <c:h val="0.63321906293770092"/>
        </c:manualLayout>
      </c:layout>
      <c:lineChart>
        <c:grouping val="standard"/>
        <c:varyColors val="0"/>
        <c:ser>
          <c:idx val="1"/>
          <c:order val="0"/>
          <c:tx>
            <c:strRef>
              <c:f>'02_CUADRYGRÁF.COMP.ÚLT.5 CAMP.'!$C$41</c:f>
              <c:strCache>
                <c:ptCount val="1"/>
                <c:pt idx="0">
                  <c:v>2020/21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'02_CUADRYGRÁF.COMP.ÚLT.5 CAMP.'!$B$42:$B$53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CAMP.'!$C$42:$C$53</c:f>
              <c:numCache>
                <c:formatCode>#,##0.0</c:formatCode>
                <c:ptCount val="12"/>
                <c:pt idx="0">
                  <c:v>95.7</c:v>
                </c:pt>
                <c:pt idx="1">
                  <c:v>95.7</c:v>
                </c:pt>
                <c:pt idx="2">
                  <c:v>83.5</c:v>
                </c:pt>
                <c:pt idx="3">
                  <c:v>82.5</c:v>
                </c:pt>
                <c:pt idx="4">
                  <c:v>104.2</c:v>
                </c:pt>
                <c:pt idx="5">
                  <c:v>106.8</c:v>
                </c:pt>
                <c:pt idx="6">
                  <c:v>99.4</c:v>
                </c:pt>
                <c:pt idx="7">
                  <c:v>90.3</c:v>
                </c:pt>
                <c:pt idx="8">
                  <c:v>87.8</c:v>
                </c:pt>
                <c:pt idx="9">
                  <c:v>81.900000000000006</c:v>
                </c:pt>
                <c:pt idx="10">
                  <c:v>66</c:v>
                </c:pt>
                <c:pt idx="11">
                  <c:v>103.8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3-446B-8701-D93C232A4171}"/>
            </c:ext>
          </c:extLst>
        </c:ser>
        <c:ser>
          <c:idx val="2"/>
          <c:order val="1"/>
          <c:tx>
            <c:strRef>
              <c:f>'02_CUADRYGRÁF.COMP.ÚLT.5 CAMP.'!$D$41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'02_CUADRYGRÁF.COMP.ÚLT.5 CAMP.'!$B$42:$B$53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CAMP.'!$D$42:$D$53</c:f>
              <c:numCache>
                <c:formatCode>#,##0.0</c:formatCode>
                <c:ptCount val="12"/>
                <c:pt idx="0">
                  <c:v>83.497780000000006</c:v>
                </c:pt>
                <c:pt idx="1">
                  <c:v>83.408450000000002</c:v>
                </c:pt>
                <c:pt idx="2">
                  <c:v>81.426829999999995</c:v>
                </c:pt>
                <c:pt idx="3">
                  <c:v>73.745919999999998</c:v>
                </c:pt>
                <c:pt idx="4">
                  <c:v>88.329570000000004</c:v>
                </c:pt>
                <c:pt idx="5">
                  <c:v>78.297970000000007</c:v>
                </c:pt>
                <c:pt idx="6">
                  <c:v>107.33327</c:v>
                </c:pt>
                <c:pt idx="7">
                  <c:v>117.81834000000001</c:v>
                </c:pt>
                <c:pt idx="8">
                  <c:v>103.44632</c:v>
                </c:pt>
                <c:pt idx="9">
                  <c:v>90.426969999999997</c:v>
                </c:pt>
                <c:pt idx="10">
                  <c:v>83.145229999999998</c:v>
                </c:pt>
                <c:pt idx="11">
                  <c:v>89.365840000000006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C3-446B-8701-D93C232A4171}"/>
            </c:ext>
          </c:extLst>
        </c:ser>
        <c:ser>
          <c:idx val="3"/>
          <c:order val="2"/>
          <c:tx>
            <c:strRef>
              <c:f>'02_CUADRYGRÁF.COMP.ÚLT.5 CAMP.'!$E$41</c:f>
              <c:strCache>
                <c:ptCount val="1"/>
                <c:pt idx="0">
                  <c:v>2022/23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CAMP.'!$B$42:$B$53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CAMP.'!$E$42:$E$53</c:f>
              <c:numCache>
                <c:formatCode>#,##0.0</c:formatCode>
                <c:ptCount val="12"/>
                <c:pt idx="0">
                  <c:v>88.527711999999994</c:v>
                </c:pt>
                <c:pt idx="1">
                  <c:v>67.690599000000006</c:v>
                </c:pt>
                <c:pt idx="2">
                  <c:v>63.568779999999997</c:v>
                </c:pt>
                <c:pt idx="3">
                  <c:v>55.971190999999997</c:v>
                </c:pt>
                <c:pt idx="4">
                  <c:v>48.263340999999997</c:v>
                </c:pt>
                <c:pt idx="5">
                  <c:v>64.195955999999995</c:v>
                </c:pt>
                <c:pt idx="6">
                  <c:v>51.589895999999996</c:v>
                </c:pt>
                <c:pt idx="7">
                  <c:v>68.252665999999991</c:v>
                </c:pt>
                <c:pt idx="8">
                  <c:v>65.064920000000001</c:v>
                </c:pt>
                <c:pt idx="9">
                  <c:v>58.873540999999996</c:v>
                </c:pt>
                <c:pt idx="10">
                  <c:v>48.126509000000006</c:v>
                </c:pt>
                <c:pt idx="11">
                  <c:v>58.72625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C3-446B-8701-D93C232A4171}"/>
            </c:ext>
          </c:extLst>
        </c:ser>
        <c:ser>
          <c:idx val="4"/>
          <c:order val="3"/>
          <c:tx>
            <c:strRef>
              <c:f>'02_CUADRYGRÁF.COMP.ÚLT.5 CAMP.'!$F$41</c:f>
              <c:strCache>
                <c:ptCount val="1"/>
                <c:pt idx="0">
                  <c:v>2023/24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'02_CUADRYGRÁF.COMP.ÚLT.5 CAMP.'!$B$42:$B$53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CAMP.'!$F$42:$F$53</c:f>
              <c:numCache>
                <c:formatCode>#,##0.0</c:formatCode>
                <c:ptCount val="12"/>
                <c:pt idx="0">
                  <c:v>55.755136</c:v>
                </c:pt>
                <c:pt idx="1">
                  <c:v>52.714599</c:v>
                </c:pt>
                <c:pt idx="2">
                  <c:v>59.829063000000005</c:v>
                </c:pt>
                <c:pt idx="3">
                  <c:v>69.545023999999998</c:v>
                </c:pt>
                <c:pt idx="4">
                  <c:v>64.995784</c:v>
                </c:pt>
                <c:pt idx="5">
                  <c:v>60.610639999999997</c:v>
                </c:pt>
                <c:pt idx="6">
                  <c:v>74.409193999999999</c:v>
                </c:pt>
                <c:pt idx="7">
                  <c:v>72.284805000000006</c:v>
                </c:pt>
                <c:pt idx="8">
                  <c:v>66.577892000000006</c:v>
                </c:pt>
                <c:pt idx="9">
                  <c:v>59.465797999999999</c:v>
                </c:pt>
                <c:pt idx="10">
                  <c:v>55.070331999999993</c:v>
                </c:pt>
                <c:pt idx="11">
                  <c:v>69.067084000000008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C3-446B-8701-D93C232A4171}"/>
            </c:ext>
          </c:extLst>
        </c:ser>
        <c:ser>
          <c:idx val="0"/>
          <c:order val="4"/>
          <c:tx>
            <c:strRef>
              <c:f>'02_CUADRYGRÁF.COMP.ÚLT.5 CAMP.'!$G$41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CAMP.'!$B$42:$B$53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CAMP.'!$G$42:$G$53</c:f>
              <c:numCache>
                <c:formatCode>#,##0.0</c:formatCode>
                <c:ptCount val="12"/>
                <c:pt idx="0">
                  <c:v>60.277999999999999</c:v>
                </c:pt>
                <c:pt idx="1">
                  <c:v>59.936999999999998</c:v>
                </c:pt>
                <c:pt idx="2">
                  <c:v>69.722999999999999</c:v>
                </c:pt>
                <c:pt idx="3">
                  <c:v>89.304000000000002</c:v>
                </c:pt>
                <c:pt idx="4">
                  <c:v>90.628</c:v>
                </c:pt>
                <c:pt idx="5">
                  <c:v>96.980999999999995</c:v>
                </c:pt>
                <c:pt idx="6">
                  <c:v>98.778000000000006</c:v>
                </c:pt>
                <c:pt idx="7">
                  <c:v>99.323999999999998</c:v>
                </c:pt>
                <c:pt idx="8">
                  <c:v>94.483000000000004</c:v>
                </c:pt>
                <c:pt idx="9">
                  <c:v>110.997</c:v>
                </c:pt>
                <c:pt idx="10">
                  <c:v>76.051000000000002</c:v>
                </c:pt>
                <c:pt idx="11">
                  <c:v>95.087000000000003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C3-446B-8701-D93C232A4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56800448"/>
        <c:axId val="-140617600"/>
      </c:lineChart>
      <c:catAx>
        <c:axId val="-356800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76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17600"/>
        <c:scaling>
          <c:orientation val="minMax"/>
        </c:scaling>
        <c:delete val="0"/>
        <c:axPos val="l"/>
        <c:majorGridlines>
          <c:spPr>
            <a:ln w="3175">
              <a:solidFill>
                <a:srgbClr val="808000"/>
              </a:solidFill>
              <a:prstDash val="solid"/>
            </a:ln>
          </c:spPr>
        </c:majorGridlines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356800448"/>
        <c:crosses val="autoZero"/>
        <c:crossBetween val="between"/>
        <c:majorUnit val="10"/>
        <c:minorUnit val="10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42873140857392"/>
          <c:y val="0.17993115912414062"/>
          <c:w val="0.14666686664166972"/>
          <c:h val="0.3321806573486272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1"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53275699824331"/>
          <c:y val="8.9655172413793102E-2"/>
          <c:w val="0.68582503783719062"/>
          <c:h val="0.6344827586206897"/>
        </c:manualLayout>
      </c:layout>
      <c:lineChart>
        <c:grouping val="standard"/>
        <c:varyColors val="0"/>
        <c:ser>
          <c:idx val="1"/>
          <c:order val="0"/>
          <c:tx>
            <c:strRef>
              <c:f>'02_CUADRYGRÁF.COMP.ÚLT.5 CAMP.'!$C$58</c:f>
              <c:strCache>
                <c:ptCount val="1"/>
                <c:pt idx="0">
                  <c:v>2020/21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'02_CUADRYGRÁF.COMP.ÚLT.5 CAMP.'!$B$59:$B$70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CAMP.'!$C$59:$C$70</c:f>
              <c:numCache>
                <c:formatCode>#,##0.0</c:formatCode>
                <c:ptCount val="12"/>
                <c:pt idx="0">
                  <c:v>51.3</c:v>
                </c:pt>
                <c:pt idx="1">
                  <c:v>50.560499999999934</c:v>
                </c:pt>
                <c:pt idx="2">
                  <c:v>62.651329999999803</c:v>
                </c:pt>
                <c:pt idx="3">
                  <c:v>42.707800000000134</c:v>
                </c:pt>
                <c:pt idx="4">
                  <c:v>49.396000000000186</c:v>
                </c:pt>
                <c:pt idx="5">
                  <c:v>51.598760000000084</c:v>
                </c:pt>
                <c:pt idx="6">
                  <c:v>44.472069999999917</c:v>
                </c:pt>
                <c:pt idx="7">
                  <c:v>47.783869999999865</c:v>
                </c:pt>
                <c:pt idx="8">
                  <c:v>33.109299999999962</c:v>
                </c:pt>
                <c:pt idx="9">
                  <c:v>37.55460000000005</c:v>
                </c:pt>
                <c:pt idx="10">
                  <c:v>37.081300000000056</c:v>
                </c:pt>
                <c:pt idx="11">
                  <c:v>34.63692999999995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5E-42A7-979C-F3694A9D2087}"/>
            </c:ext>
          </c:extLst>
        </c:ser>
        <c:ser>
          <c:idx val="2"/>
          <c:order val="1"/>
          <c:tx>
            <c:strRef>
              <c:f>'02_CUADRYGRÁF.COMP.ÚLT.5 CAMP.'!$D$58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'02_CUADRYGRÁF.COMP.ÚLT.5 CAMP.'!$B$59:$B$70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CAMP.'!$D$59:$D$70</c:f>
              <c:numCache>
                <c:formatCode>#,##0.0</c:formatCode>
                <c:ptCount val="12"/>
                <c:pt idx="0">
                  <c:v>39.580289999999991</c:v>
                </c:pt>
                <c:pt idx="1">
                  <c:v>47.737710000000106</c:v>
                </c:pt>
                <c:pt idx="2">
                  <c:v>51.740049999999883</c:v>
                </c:pt>
                <c:pt idx="3">
                  <c:v>54.079529999999977</c:v>
                </c:pt>
                <c:pt idx="4">
                  <c:v>44.300939999999855</c:v>
                </c:pt>
                <c:pt idx="5">
                  <c:v>70.669459999999845</c:v>
                </c:pt>
                <c:pt idx="6">
                  <c:v>56.208309999999756</c:v>
                </c:pt>
                <c:pt idx="7">
                  <c:v>40.9214300000001</c:v>
                </c:pt>
                <c:pt idx="8">
                  <c:v>53.415010000000166</c:v>
                </c:pt>
                <c:pt idx="9">
                  <c:v>33.554689999999937</c:v>
                </c:pt>
                <c:pt idx="10">
                  <c:v>53.860740000000078</c:v>
                </c:pt>
                <c:pt idx="11">
                  <c:v>48.50745999999998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5E-42A7-979C-F3694A9D2087}"/>
            </c:ext>
          </c:extLst>
        </c:ser>
        <c:ser>
          <c:idx val="3"/>
          <c:order val="2"/>
          <c:tx>
            <c:strRef>
              <c:f>'02_CUADRYGRÁF.COMP.ÚLT.5 CAMP.'!$E$58</c:f>
              <c:strCache>
                <c:ptCount val="1"/>
                <c:pt idx="0">
                  <c:v>2022/23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CAMP.'!$B$59:$B$70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CAMP.'!$E$59:$E$70</c:f>
              <c:numCache>
                <c:formatCode>#,##0.0</c:formatCode>
                <c:ptCount val="12"/>
                <c:pt idx="0">
                  <c:v>42.192538999999968</c:v>
                </c:pt>
                <c:pt idx="1">
                  <c:v>39.500586000000069</c:v>
                </c:pt>
                <c:pt idx="2">
                  <c:v>23.514308999999976</c:v>
                </c:pt>
                <c:pt idx="3">
                  <c:v>14.338199999999894</c:v>
                </c:pt>
                <c:pt idx="4">
                  <c:v>30.050971000000089</c:v>
                </c:pt>
                <c:pt idx="5">
                  <c:v>30.523865999999913</c:v>
                </c:pt>
                <c:pt idx="6">
                  <c:v>21.662618000000137</c:v>
                </c:pt>
                <c:pt idx="7">
                  <c:v>24.30773699999996</c:v>
                </c:pt>
                <c:pt idx="8">
                  <c:v>26.220445000000069</c:v>
                </c:pt>
                <c:pt idx="9">
                  <c:v>33.425129999999903</c:v>
                </c:pt>
                <c:pt idx="10">
                  <c:v>29.022998000000023</c:v>
                </c:pt>
                <c:pt idx="11">
                  <c:v>33.929872000000039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2A7-979C-F3694A9D2087}"/>
            </c:ext>
          </c:extLst>
        </c:ser>
        <c:ser>
          <c:idx val="4"/>
          <c:order val="3"/>
          <c:tx>
            <c:strRef>
              <c:f>'02_CUADRYGRÁF.COMP.ÚLT.5 CAMP.'!$F$58</c:f>
              <c:strCache>
                <c:ptCount val="1"/>
                <c:pt idx="0">
                  <c:v>2023/24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'02_CUADRYGRÁF.COMP.ÚLT.5 CAMP.'!$B$59:$B$70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CAMP.'!$F$59:$F$70</c:f>
              <c:numCache>
                <c:formatCode>#,##0.0</c:formatCode>
                <c:ptCount val="12"/>
                <c:pt idx="0">
                  <c:v>25.320353000000004</c:v>
                </c:pt>
                <c:pt idx="1">
                  <c:v>46.902145999999981</c:v>
                </c:pt>
                <c:pt idx="2">
                  <c:v>37.019948999999897</c:v>
                </c:pt>
                <c:pt idx="3">
                  <c:v>38.703651000000164</c:v>
                </c:pt>
                <c:pt idx="4">
                  <c:v>31.149568000000116</c:v>
                </c:pt>
                <c:pt idx="5">
                  <c:v>29.476640999999852</c:v>
                </c:pt>
                <c:pt idx="6">
                  <c:v>33.780936000000068</c:v>
                </c:pt>
                <c:pt idx="7">
                  <c:v>33.620891999999913</c:v>
                </c:pt>
                <c:pt idx="8">
                  <c:v>26.832244999999958</c:v>
                </c:pt>
                <c:pt idx="9">
                  <c:v>34.862613000000017</c:v>
                </c:pt>
                <c:pt idx="10">
                  <c:v>30.873044000000007</c:v>
                </c:pt>
                <c:pt idx="11">
                  <c:v>31.315436000000048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5E-42A7-979C-F3694A9D2087}"/>
            </c:ext>
          </c:extLst>
        </c:ser>
        <c:ser>
          <c:idx val="0"/>
          <c:order val="4"/>
          <c:tx>
            <c:strRef>
              <c:f>'02_CUADRYGRÁF.COMP.ÚLT.5 CAMP.'!$G$58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CAMP.'!$B$59:$B$70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CAMP.'!$G$59:$G$70</c:f>
              <c:numCache>
                <c:formatCode>#,##0.0</c:formatCode>
                <c:ptCount val="12"/>
                <c:pt idx="0">
                  <c:v>38.408901540294202</c:v>
                </c:pt>
                <c:pt idx="1">
                  <c:v>40.438747368009544</c:v>
                </c:pt>
                <c:pt idx="2">
                  <c:v>54.225039957053212</c:v>
                </c:pt>
                <c:pt idx="3">
                  <c:v>49.430284128360796</c:v>
                </c:pt>
                <c:pt idx="4">
                  <c:v>40.568916641591116</c:v>
                </c:pt>
                <c:pt idx="5">
                  <c:v>43.606513839920041</c:v>
                </c:pt>
                <c:pt idx="6">
                  <c:v>35.672966110545204</c:v>
                </c:pt>
                <c:pt idx="7">
                  <c:v>36.885763834672744</c:v>
                </c:pt>
                <c:pt idx="8">
                  <c:v>37.955560000000105</c:v>
                </c:pt>
                <c:pt idx="9">
                  <c:v>37.736179999999948</c:v>
                </c:pt>
                <c:pt idx="10">
                  <c:v>35.512659999999983</c:v>
                </c:pt>
                <c:pt idx="11">
                  <c:v>32.33750000000002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5E-42A7-979C-F3694A9D2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610528"/>
        <c:axId val="-140614336"/>
      </c:lineChart>
      <c:catAx>
        <c:axId val="-140610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4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14336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808000"/>
              </a:solidFill>
              <a:prstDash val="solid"/>
            </a:ln>
          </c:spPr>
        </c:majorGridlines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0528"/>
        <c:crosses val="autoZero"/>
        <c:crossBetween val="between"/>
        <c:majorUnit val="10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333494232761129"/>
          <c:y val="0.18275862068965518"/>
          <c:w val="0.147509779668346"/>
          <c:h val="0.331034482758620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53275699824331"/>
          <c:y val="8.9965549925574997E-2"/>
          <c:w val="0.66666791387525792"/>
          <c:h val="0.63321906293770092"/>
        </c:manualLayout>
      </c:layout>
      <c:lineChart>
        <c:grouping val="standard"/>
        <c:varyColors val="0"/>
        <c:ser>
          <c:idx val="1"/>
          <c:order val="0"/>
          <c:tx>
            <c:strRef>
              <c:f>'02_CUADRYGRÁF.COMP.ÚLT.5 CAMP.'!$C$75</c:f>
              <c:strCache>
                <c:ptCount val="1"/>
                <c:pt idx="0">
                  <c:v>2020/21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'02_CUADRYGRÁF.COMP.ÚLT.5 CAMP.'!$B$76:$B$87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CAMP.'!$C$76:$C$87</c:f>
              <c:numCache>
                <c:formatCode>#,##0.0</c:formatCode>
                <c:ptCount val="12"/>
                <c:pt idx="0">
                  <c:v>147</c:v>
                </c:pt>
                <c:pt idx="1">
                  <c:v>146.26049999999992</c:v>
                </c:pt>
                <c:pt idx="2">
                  <c:v>146.1513299999998</c:v>
                </c:pt>
                <c:pt idx="3">
                  <c:v>125.20780000000013</c:v>
                </c:pt>
                <c:pt idx="4">
                  <c:v>153.59600000000017</c:v>
                </c:pt>
                <c:pt idx="5">
                  <c:v>158.3987600000001</c:v>
                </c:pt>
                <c:pt idx="6">
                  <c:v>143.87206999999992</c:v>
                </c:pt>
                <c:pt idx="7">
                  <c:v>138.08386999999988</c:v>
                </c:pt>
                <c:pt idx="8">
                  <c:v>120.90929999999996</c:v>
                </c:pt>
                <c:pt idx="9">
                  <c:v>119.45460000000006</c:v>
                </c:pt>
                <c:pt idx="10">
                  <c:v>103.08130000000006</c:v>
                </c:pt>
                <c:pt idx="11">
                  <c:v>138.43692999999996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3-4DF7-8AA6-9B06CEE81D46}"/>
            </c:ext>
          </c:extLst>
        </c:ser>
        <c:ser>
          <c:idx val="2"/>
          <c:order val="1"/>
          <c:tx>
            <c:strRef>
              <c:f>'02_CUADRYGRÁF.COMP.ÚLT.5 CAMP.'!$D$75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'02_CUADRYGRÁF.COMP.ÚLT.5 CAMP.'!$B$76:$B$87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CAMP.'!$D$76:$D$87</c:f>
              <c:numCache>
                <c:formatCode>#,##0.0</c:formatCode>
                <c:ptCount val="12"/>
                <c:pt idx="0">
                  <c:v>123.07807</c:v>
                </c:pt>
                <c:pt idx="1">
                  <c:v>131.14616000000012</c:v>
                </c:pt>
                <c:pt idx="2">
                  <c:v>133.16687999999988</c:v>
                </c:pt>
                <c:pt idx="3">
                  <c:v>127.82544999999998</c:v>
                </c:pt>
                <c:pt idx="4">
                  <c:v>132.63050999999984</c:v>
                </c:pt>
                <c:pt idx="5">
                  <c:v>148.96742999999987</c:v>
                </c:pt>
                <c:pt idx="6">
                  <c:v>163.54157999999975</c:v>
                </c:pt>
                <c:pt idx="7">
                  <c:v>158.73977000000011</c:v>
                </c:pt>
                <c:pt idx="8">
                  <c:v>156.86133000000018</c:v>
                </c:pt>
                <c:pt idx="9">
                  <c:v>123.98165999999993</c:v>
                </c:pt>
                <c:pt idx="10">
                  <c:v>137.00597000000008</c:v>
                </c:pt>
                <c:pt idx="11">
                  <c:v>137.87329999999997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33-4DF7-8AA6-9B06CEE81D46}"/>
            </c:ext>
          </c:extLst>
        </c:ser>
        <c:ser>
          <c:idx val="3"/>
          <c:order val="2"/>
          <c:tx>
            <c:strRef>
              <c:f>'02_CUADRYGRÁF.COMP.ÚLT.5 CAMP.'!$E$75</c:f>
              <c:strCache>
                <c:ptCount val="1"/>
                <c:pt idx="0">
                  <c:v>2022/23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CAMP.'!$B$76:$B$87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CAMP.'!$E$76:$E$87</c:f>
              <c:numCache>
                <c:formatCode>#,##0.0</c:formatCode>
                <c:ptCount val="12"/>
                <c:pt idx="0">
                  <c:v>130.72025099999996</c:v>
                </c:pt>
                <c:pt idx="1">
                  <c:v>107.19118500000008</c:v>
                </c:pt>
                <c:pt idx="2">
                  <c:v>87.083088999999973</c:v>
                </c:pt>
                <c:pt idx="3">
                  <c:v>70.309390999999891</c:v>
                </c:pt>
                <c:pt idx="4">
                  <c:v>78.314312000000086</c:v>
                </c:pt>
                <c:pt idx="5">
                  <c:v>94.719821999999908</c:v>
                </c:pt>
                <c:pt idx="6">
                  <c:v>73.252514000000133</c:v>
                </c:pt>
                <c:pt idx="7">
                  <c:v>92.560402999999951</c:v>
                </c:pt>
                <c:pt idx="8">
                  <c:v>91.28536500000007</c:v>
                </c:pt>
                <c:pt idx="9">
                  <c:v>92.298670999999899</c:v>
                </c:pt>
                <c:pt idx="10">
                  <c:v>77.149507000000028</c:v>
                </c:pt>
                <c:pt idx="11">
                  <c:v>92.656122000000039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33-4DF7-8AA6-9B06CEE81D46}"/>
            </c:ext>
          </c:extLst>
        </c:ser>
        <c:ser>
          <c:idx val="4"/>
          <c:order val="3"/>
          <c:tx>
            <c:strRef>
              <c:f>'02_CUADRYGRÁF.COMP.ÚLT.5 CAMP.'!$F$75</c:f>
              <c:strCache>
                <c:ptCount val="1"/>
                <c:pt idx="0">
                  <c:v>2023/24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'02_CUADRYGRÁF.COMP.ÚLT.5 CAMP.'!$B$76:$B$87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CAMP.'!$F$76:$F$87</c:f>
              <c:numCache>
                <c:formatCode>#,##0.0</c:formatCode>
                <c:ptCount val="12"/>
                <c:pt idx="0">
                  <c:v>81.075489000000005</c:v>
                </c:pt>
                <c:pt idx="1">
                  <c:v>99.61674499999998</c:v>
                </c:pt>
                <c:pt idx="2">
                  <c:v>96.849011999999902</c:v>
                </c:pt>
                <c:pt idx="3">
                  <c:v>108.24867500000016</c:v>
                </c:pt>
                <c:pt idx="4">
                  <c:v>96.145352000000116</c:v>
                </c:pt>
                <c:pt idx="5">
                  <c:v>90.087280999999848</c:v>
                </c:pt>
                <c:pt idx="6">
                  <c:v>108.19013000000007</c:v>
                </c:pt>
                <c:pt idx="7">
                  <c:v>105.90569699999992</c:v>
                </c:pt>
                <c:pt idx="8">
                  <c:v>93.410136999999963</c:v>
                </c:pt>
                <c:pt idx="9">
                  <c:v>94.328411000000017</c:v>
                </c:pt>
                <c:pt idx="10">
                  <c:v>85.943376000000001</c:v>
                </c:pt>
                <c:pt idx="11">
                  <c:v>100.38252000000006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33-4DF7-8AA6-9B06CEE81D46}"/>
            </c:ext>
          </c:extLst>
        </c:ser>
        <c:ser>
          <c:idx val="0"/>
          <c:order val="4"/>
          <c:tx>
            <c:strRef>
              <c:f>'02_CUADRYGRÁF.COMP.ÚLT.5 CAMP.'!$G$75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CAMP.'!$B$76:$B$87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CAMP.'!$G$76:$G$87</c:f>
              <c:numCache>
                <c:formatCode>#,##0.0</c:formatCode>
                <c:ptCount val="12"/>
                <c:pt idx="0">
                  <c:v>98.686901540294201</c:v>
                </c:pt>
                <c:pt idx="1">
                  <c:v>100.37574736800954</c:v>
                </c:pt>
                <c:pt idx="2">
                  <c:v>123.94803995705321</c:v>
                </c:pt>
                <c:pt idx="3">
                  <c:v>138.7342841283608</c:v>
                </c:pt>
                <c:pt idx="4">
                  <c:v>131.19691664159112</c:v>
                </c:pt>
                <c:pt idx="5">
                  <c:v>140.58751383992004</c:v>
                </c:pt>
                <c:pt idx="6">
                  <c:v>134.45096611054521</c:v>
                </c:pt>
                <c:pt idx="7">
                  <c:v>136.20976383467274</c:v>
                </c:pt>
                <c:pt idx="8">
                  <c:v>132.43856000000011</c:v>
                </c:pt>
                <c:pt idx="9">
                  <c:v>148.73317999999995</c:v>
                </c:pt>
                <c:pt idx="10">
                  <c:v>111.56365999999998</c:v>
                </c:pt>
                <c:pt idx="11">
                  <c:v>127.42450000000002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33-4DF7-8AA6-9B06CEE81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620320"/>
        <c:axId val="-140615424"/>
      </c:lineChart>
      <c:catAx>
        <c:axId val="-140620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54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15424"/>
        <c:scaling>
          <c:orientation val="minMax"/>
          <c:max val="180"/>
        </c:scaling>
        <c:delete val="0"/>
        <c:axPos val="l"/>
        <c:majorGridlines>
          <c:spPr>
            <a:ln w="3175">
              <a:solidFill>
                <a:srgbClr val="808000"/>
              </a:solidFill>
              <a:prstDash val="solid"/>
            </a:ln>
          </c:spPr>
        </c:majorGridlines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20320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333494232761129"/>
          <c:y val="0.17993115912414062"/>
          <c:w val="0.147509779668346"/>
          <c:h val="0.3321806573486272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9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617044602050037E-2"/>
          <c:y val="8.6206896551724144E-2"/>
          <c:w val="0.71647643617628298"/>
          <c:h val="0.60344827586206895"/>
        </c:manualLayout>
      </c:layout>
      <c:lineChart>
        <c:grouping val="standard"/>
        <c:varyColors val="0"/>
        <c:ser>
          <c:idx val="2"/>
          <c:order val="0"/>
          <c:tx>
            <c:strRef>
              <c:f>'02_CUADRYGRÁF.COMP.ÚLT.5 CAMP.'!$C$7</c:f>
              <c:strCache>
                <c:ptCount val="1"/>
                <c:pt idx="0">
                  <c:v>2020/21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'02_CUADRYGRÁF.COMP.ÚLT.5 CAMP.'!$B$8:$B$19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CAMP.'!$C$8:$C$19</c:f>
              <c:numCache>
                <c:formatCode>#,##0.0</c:formatCode>
                <c:ptCount val="12"/>
                <c:pt idx="0">
                  <c:v>38.299999999999997</c:v>
                </c:pt>
                <c:pt idx="1">
                  <c:v>244.7</c:v>
                </c:pt>
                <c:pt idx="2">
                  <c:v>475.3</c:v>
                </c:pt>
                <c:pt idx="3">
                  <c:v>352.1</c:v>
                </c:pt>
                <c:pt idx="4">
                  <c:v>227.4</c:v>
                </c:pt>
                <c:pt idx="5">
                  <c:v>44.6</c:v>
                </c:pt>
                <c:pt idx="6">
                  <c:v>3.1</c:v>
                </c:pt>
                <c:pt idx="7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FA-4ED0-A249-32EAE22E2F07}"/>
            </c:ext>
          </c:extLst>
        </c:ser>
        <c:ser>
          <c:idx val="3"/>
          <c:order val="1"/>
          <c:tx>
            <c:strRef>
              <c:f>'02_CUADRYGRÁF.COMP.ÚLT.5 CAMP.'!$D$7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'02_CUADRYGRÁF.COMP.ÚLT.5 CAMP.'!$B$8:$B$19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CAMP.'!$D$8:$D$19</c:f>
              <c:numCache>
                <c:formatCode>#,##0.0</c:formatCode>
                <c:ptCount val="12"/>
                <c:pt idx="0">
                  <c:v>51.3461</c:v>
                </c:pt>
                <c:pt idx="1">
                  <c:v>288.16980000000001</c:v>
                </c:pt>
                <c:pt idx="2">
                  <c:v>542.71</c:v>
                </c:pt>
                <c:pt idx="3">
                  <c:v>471.18740000000003</c:v>
                </c:pt>
                <c:pt idx="4">
                  <c:v>108.80719999999999</c:v>
                </c:pt>
                <c:pt idx="5">
                  <c:v>20.7576</c:v>
                </c:pt>
                <c:pt idx="6">
                  <c:v>7.1166999999999998</c:v>
                </c:pt>
                <c:pt idx="7">
                  <c:v>2.9136000000000002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FA-4ED0-A249-32EAE22E2F07}"/>
            </c:ext>
          </c:extLst>
        </c:ser>
        <c:ser>
          <c:idx val="4"/>
          <c:order val="2"/>
          <c:tx>
            <c:strRef>
              <c:f>'02_CUADRYGRÁF.COMP.ÚLT.5 CAMP.'!$E$7</c:f>
              <c:strCache>
                <c:ptCount val="1"/>
                <c:pt idx="0">
                  <c:v>2022/23</c:v>
                </c:pt>
              </c:strCache>
            </c:strRef>
          </c:tx>
          <c:spPr>
            <a:ln w="12700">
              <a:solidFill>
                <a:srgbClr val="333333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333333"/>
                </a:solidFill>
                <a:prstDash val="solid"/>
              </a:ln>
            </c:spPr>
          </c:marker>
          <c:cat>
            <c:strRef>
              <c:f>'02_CUADRYGRÁF.COMP.ÚLT.5 CAMP.'!$B$8:$B$19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CAMP.'!$E$8:$E$19</c:f>
              <c:numCache>
                <c:formatCode>#,##0.0</c:formatCode>
                <c:ptCount val="12"/>
                <c:pt idx="0">
                  <c:v>30.671399999999998</c:v>
                </c:pt>
                <c:pt idx="1">
                  <c:v>169.01759999999999</c:v>
                </c:pt>
                <c:pt idx="2">
                  <c:v>238.86349999999999</c:v>
                </c:pt>
                <c:pt idx="3">
                  <c:v>182.35240000000002</c:v>
                </c:pt>
                <c:pt idx="4">
                  <c:v>36.077399999999997</c:v>
                </c:pt>
                <c:pt idx="5">
                  <c:v>8.0173000000000005</c:v>
                </c:pt>
                <c:pt idx="6">
                  <c:v>0.97220000000000006</c:v>
                </c:pt>
                <c:pt idx="7">
                  <c:v>4.0899999999999999E-2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FA-4ED0-A249-32EAE22E2F07}"/>
            </c:ext>
          </c:extLst>
        </c:ser>
        <c:ser>
          <c:idx val="0"/>
          <c:order val="3"/>
          <c:tx>
            <c:strRef>
              <c:f>'02_CUADRYGRÁF.COMP.ÚLT.5 CAMP.'!$F$7</c:f>
              <c:strCache>
                <c:ptCount val="1"/>
                <c:pt idx="0">
                  <c:v>2023/24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'02_CUADRYGRÁF.COMP.ÚLT.5 CAMP.'!$B$8:$B$19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CAMP.'!$F$8:$F$19</c:f>
              <c:numCache>
                <c:formatCode>#,##0.0</c:formatCode>
                <c:ptCount val="12"/>
                <c:pt idx="0">
                  <c:v>38.6693</c:v>
                </c:pt>
                <c:pt idx="1">
                  <c:v>230.01429999999999</c:v>
                </c:pt>
                <c:pt idx="2">
                  <c:v>328.48059999999998</c:v>
                </c:pt>
                <c:pt idx="3">
                  <c:v>188.18690000000001</c:v>
                </c:pt>
                <c:pt idx="4">
                  <c:v>53.141999999999996</c:v>
                </c:pt>
                <c:pt idx="5">
                  <c:v>14.097100000000001</c:v>
                </c:pt>
                <c:pt idx="6">
                  <c:v>2.7940999999999998</c:v>
                </c:pt>
                <c:pt idx="7">
                  <c:v>0.19240000000000002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FA-4ED0-A249-32EAE22E2F07}"/>
            </c:ext>
          </c:extLst>
        </c:ser>
        <c:ser>
          <c:idx val="1"/>
          <c:order val="4"/>
          <c:tx>
            <c:strRef>
              <c:f>'02_CUADRYGRÁF.COMP.ÚLT.5 CAMP.'!$G$7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CAMP.'!$B$8:$B$19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CAMP.'!$G$8:$G$19</c:f>
              <c:numCache>
                <c:formatCode>#,##0.0</c:formatCode>
                <c:ptCount val="12"/>
                <c:pt idx="0">
                  <c:v>36.869638065065338</c:v>
                </c:pt>
                <c:pt idx="1">
                  <c:v>266.67028736800955</c:v>
                </c:pt>
                <c:pt idx="2">
                  <c:v>596.43099995705325</c:v>
                </c:pt>
                <c:pt idx="3">
                  <c:v>351.48090412836069</c:v>
                </c:pt>
                <c:pt idx="4">
                  <c:v>154.07039664159123</c:v>
                </c:pt>
                <c:pt idx="5">
                  <c:v>12.203773839919968</c:v>
                </c:pt>
                <c:pt idx="6">
                  <c:v>3.1651061105452594</c:v>
                </c:pt>
                <c:pt idx="7">
                  <c:v>0.2216438346728094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FA-4ED0-A249-32EAE22E2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606176"/>
        <c:axId val="-140617056"/>
      </c:lineChart>
      <c:catAx>
        <c:axId val="-14060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70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17056"/>
        <c:scaling>
          <c:orientation val="minMax"/>
        </c:scaling>
        <c:delete val="0"/>
        <c:axPos val="l"/>
        <c:majorGridlines>
          <c:spPr>
            <a:ln w="3175">
              <a:solidFill>
                <a:srgbClr val="808000"/>
              </a:solidFill>
              <a:prstDash val="solid"/>
            </a:ln>
          </c:spPr>
        </c:majorGridlines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06176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71663599521324"/>
          <c:y val="0.22413793103448276"/>
          <c:w val="0.147509779668346"/>
          <c:h val="0.331034482758620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1"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981366459627328E-2"/>
          <c:y val="7.4626865671641784E-2"/>
          <c:w val="0.74534161490683226"/>
          <c:h val="0.68059701492537317"/>
        </c:manualLayout>
      </c:layout>
      <c:lineChart>
        <c:grouping val="standard"/>
        <c:varyColors val="0"/>
        <c:ser>
          <c:idx val="1"/>
          <c:order val="0"/>
          <c:tx>
            <c:strRef>
              <c:f>'03_CUADRYGRÁF.COMP.5 ÚLT.CAMP.'!$F$7</c:f>
              <c:strCache>
                <c:ptCount val="1"/>
                <c:pt idx="0">
                  <c:v>2020/21</c:v>
                </c:pt>
              </c:strCache>
            </c:strRef>
          </c:tx>
          <c:spPr>
            <a:ln w="12700">
              <a:solidFill>
                <a:srgbClr val="2EFEF4"/>
              </a:solidFill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'03_CUADRYGRÁF.COMP.5 ÚLT.CAMP.'!$E$8:$E$19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ÚLT.CAMP.'!$F$8:$F$19</c:f>
              <c:numCache>
                <c:formatCode>#,##0.0</c:formatCode>
                <c:ptCount val="12"/>
                <c:pt idx="0">
                  <c:v>195.2081</c:v>
                </c:pt>
                <c:pt idx="1">
                  <c:v>328.36399999999998</c:v>
                </c:pt>
                <c:pt idx="2">
                  <c:v>666.36200000000008</c:v>
                </c:pt>
                <c:pt idx="3">
                  <c:v>873.18310000000008</c:v>
                </c:pt>
                <c:pt idx="4">
                  <c:v>937.91409999999996</c:v>
                </c:pt>
                <c:pt idx="5">
                  <c:v>824.06679999999994</c:v>
                </c:pt>
                <c:pt idx="6">
                  <c:v>689.44269999999995</c:v>
                </c:pt>
                <c:pt idx="7">
                  <c:v>566.95100000000002</c:v>
                </c:pt>
                <c:pt idx="8">
                  <c:v>470.09520000000003</c:v>
                </c:pt>
                <c:pt idx="9">
                  <c:v>383.92019999999997</c:v>
                </c:pt>
                <c:pt idx="10">
                  <c:v>315.07299999999998</c:v>
                </c:pt>
                <c:pt idx="11">
                  <c:v>213.12287000000001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5D-4B22-BBA7-22C2542C27D9}"/>
            </c:ext>
          </c:extLst>
        </c:ser>
        <c:ser>
          <c:idx val="2"/>
          <c:order val="1"/>
          <c:tx>
            <c:strRef>
              <c:f>'03_CUADRYGRÁF.COMP.5 ÚLT.CAMP.'!$G$7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66FF66"/>
              </a:solidFill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'03_CUADRYGRÁF.COMP.5 ÚLT.CAMP.'!$E$8:$E$19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ÚLT.CAMP.'!$G$8:$G$19</c:f>
              <c:numCache>
                <c:formatCode>#,##0.0</c:formatCode>
                <c:ptCount val="12"/>
                <c:pt idx="0">
                  <c:v>171.77331999999998</c:v>
                </c:pt>
                <c:pt idx="1">
                  <c:v>345.36573999999996</c:v>
                </c:pt>
                <c:pt idx="2">
                  <c:v>740.33460000000002</c:v>
                </c:pt>
                <c:pt idx="3">
                  <c:v>1055.0070900000001</c:v>
                </c:pt>
                <c:pt idx="4">
                  <c:v>1024.68668</c:v>
                </c:pt>
                <c:pt idx="5">
                  <c:v>931.13413000000003</c:v>
                </c:pt>
                <c:pt idx="6">
                  <c:v>796.21762000000001</c:v>
                </c:pt>
                <c:pt idx="7">
                  <c:v>664.76520000000005</c:v>
                </c:pt>
                <c:pt idx="8">
                  <c:v>534.84075999999993</c:v>
                </c:pt>
                <c:pt idx="9">
                  <c:v>425.15010000000001</c:v>
                </c:pt>
                <c:pt idx="10">
                  <c:v>331.14209999999997</c:v>
                </c:pt>
                <c:pt idx="11">
                  <c:v>227.69511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C5D-4B22-BBA7-22C2542C27D9}"/>
            </c:ext>
          </c:extLst>
        </c:ser>
        <c:ser>
          <c:idx val="3"/>
          <c:order val="2"/>
          <c:tx>
            <c:strRef>
              <c:f>'03_CUADRYGRÁF.COMP.5 ÚLT.CAMP.'!$H$7</c:f>
              <c:strCache>
                <c:ptCount val="1"/>
                <c:pt idx="0">
                  <c:v>2022/23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'03_CUADRYGRÁF.COMP.5 ÚLT.CAMP.'!$E$8:$E$19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ÚLT.CAMP.'!$H$8:$H$19</c:f>
              <c:numCache>
                <c:formatCode>#,##0.0</c:formatCode>
                <c:ptCount val="12"/>
                <c:pt idx="0">
                  <c:v>155.70436999999998</c:v>
                </c:pt>
                <c:pt idx="1">
                  <c:v>234.30274</c:v>
                </c:pt>
                <c:pt idx="2">
                  <c:v>396.56389000000001</c:v>
                </c:pt>
                <c:pt idx="3">
                  <c:v>503.45074</c:v>
                </c:pt>
                <c:pt idx="4">
                  <c:v>474.38193000000001</c:v>
                </c:pt>
                <c:pt idx="5">
                  <c:v>409.40063000000004</c:v>
                </c:pt>
                <c:pt idx="6">
                  <c:v>350.80296999999996</c:v>
                </c:pt>
                <c:pt idx="7">
                  <c:v>271.39996000000002</c:v>
                </c:pt>
                <c:pt idx="8">
                  <c:v>211.13153999999997</c:v>
                </c:pt>
                <c:pt idx="9">
                  <c:v>159.67197000000002</c:v>
                </c:pt>
                <c:pt idx="10">
                  <c:v>125.45559999999999</c:v>
                </c:pt>
                <c:pt idx="11">
                  <c:v>84.41313000000001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C5D-4B22-BBA7-22C2542C27D9}"/>
            </c:ext>
          </c:extLst>
        </c:ser>
        <c:ser>
          <c:idx val="4"/>
          <c:order val="3"/>
          <c:tx>
            <c:strRef>
              <c:f>'03_CUADRYGRÁF.COMP.5 ÚLT.CAMP.'!$I$7</c:f>
              <c:strCache>
                <c:ptCount val="1"/>
                <c:pt idx="0">
                  <c:v>2023/24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'03_CUADRYGRÁF.COMP.5 ÚLT.CAMP.'!$E$8:$E$19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ÚLT.CAMP.'!$I$8:$I$19</c:f>
              <c:numCache>
                <c:formatCode>#,##0.0</c:formatCode>
                <c:ptCount val="12"/>
                <c:pt idx="0">
                  <c:v>82.324390000000008</c:v>
                </c:pt>
                <c:pt idx="1">
                  <c:v>236.68863000000002</c:v>
                </c:pt>
                <c:pt idx="2">
                  <c:v>471.98804999999999</c:v>
                </c:pt>
                <c:pt idx="3">
                  <c:v>554.38471000000004</c:v>
                </c:pt>
                <c:pt idx="4">
                  <c:v>527.90192999999999</c:v>
                </c:pt>
                <c:pt idx="5">
                  <c:v>474.62288000000001</c:v>
                </c:pt>
                <c:pt idx="6">
                  <c:v>399.02364999999998</c:v>
                </c:pt>
                <c:pt idx="7">
                  <c:v>320.47838999999999</c:v>
                </c:pt>
                <c:pt idx="8">
                  <c:v>252.31005000000002</c:v>
                </c:pt>
                <c:pt idx="9">
                  <c:v>189.36770999999999</c:v>
                </c:pt>
                <c:pt idx="10">
                  <c:v>139.47251</c:v>
                </c:pt>
                <c:pt idx="11">
                  <c:v>78.305929999999989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C5D-4B22-BBA7-22C2542C27D9}"/>
            </c:ext>
          </c:extLst>
        </c:ser>
        <c:ser>
          <c:idx val="0"/>
          <c:order val="4"/>
          <c:tx>
            <c:strRef>
              <c:f>'03_CUADRYGRÁF.COMP.5 ÚLT.CAMP.'!$J$7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FC0CEB"/>
              </a:solidFill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'03_CUADRYGRÁF.COMP.5 ÚLT.CAMP.'!$E$8:$E$19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ÚLT.CAMP.'!$J$8:$J$19</c:f>
              <c:numCache>
                <c:formatCode>#,##0.0</c:formatCode>
                <c:ptCount val="12"/>
                <c:pt idx="0">
                  <c:v>54.821289999999998</c:v>
                </c:pt>
                <c:pt idx="1">
                  <c:v>236.50212999999997</c:v>
                </c:pt>
                <c:pt idx="2">
                  <c:v>697.73919000000001</c:v>
                </c:pt>
                <c:pt idx="3">
                  <c:v>888.37991</c:v>
                </c:pt>
                <c:pt idx="4">
                  <c:v>905.64439000000004</c:v>
                </c:pt>
                <c:pt idx="5">
                  <c:v>788.05705</c:v>
                </c:pt>
                <c:pt idx="6">
                  <c:v>678.02169000000004</c:v>
                </c:pt>
                <c:pt idx="7">
                  <c:v>563.77396999999996</c:v>
                </c:pt>
                <c:pt idx="8">
                  <c:v>449.60960999999998</c:v>
                </c:pt>
                <c:pt idx="9">
                  <c:v>321.44963000000001</c:v>
                </c:pt>
                <c:pt idx="10">
                  <c:v>239.81246999999999</c:v>
                </c:pt>
                <c:pt idx="11">
                  <c:v>141.15647000000001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C5D-4B22-BBA7-22C2542C2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614880"/>
        <c:axId val="-140609984"/>
      </c:lineChart>
      <c:catAx>
        <c:axId val="-14061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74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09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09984"/>
        <c:scaling>
          <c:orientation val="minMax"/>
          <c:max val="1300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4880"/>
        <c:crosses val="autoZero"/>
        <c:crossBetween val="between"/>
        <c:majorUnit val="100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373801284738925"/>
          <c:y val="0.22686567164179106"/>
          <c:w val="0.13611525832237847"/>
          <c:h val="0.3164179104477612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4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307692307692309E-2"/>
          <c:y val="7.7611940298507459E-2"/>
          <c:w val="0.74923076923076926"/>
          <c:h val="0.67761194029850746"/>
        </c:manualLayout>
      </c:layout>
      <c:lineChart>
        <c:grouping val="standard"/>
        <c:varyColors val="0"/>
        <c:ser>
          <c:idx val="1"/>
          <c:order val="0"/>
          <c:tx>
            <c:strRef>
              <c:f>'03_CUADRYGRÁF.COMP.5 ÚLT.CAMP.'!$F$24</c:f>
              <c:strCache>
                <c:ptCount val="1"/>
                <c:pt idx="0">
                  <c:v>2020/21</c:v>
                </c:pt>
              </c:strCache>
            </c:strRef>
          </c:tx>
          <c:spPr>
            <a:ln w="12700">
              <a:solidFill>
                <a:srgbClr val="2EFEF4"/>
              </a:solidFill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'03_CUADRYGRÁF.COMP.5 ÚLT.CAMP.'!$E$25:$E$36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ÚLT.CAMP.'!$F$25:$F$36</c:f>
              <c:numCache>
                <c:formatCode>#,##0.0</c:formatCode>
                <c:ptCount val="12"/>
                <c:pt idx="0">
                  <c:v>205.66722999999999</c:v>
                </c:pt>
                <c:pt idx="1">
                  <c:v>191.05082999999999</c:v>
                </c:pt>
                <c:pt idx="2">
                  <c:v>203.10149999999999</c:v>
                </c:pt>
                <c:pt idx="3">
                  <c:v>234.87260000000001</c:v>
                </c:pt>
                <c:pt idx="4">
                  <c:v>260.6456</c:v>
                </c:pt>
                <c:pt idx="5">
                  <c:v>278.49414000000002</c:v>
                </c:pt>
                <c:pt idx="6">
                  <c:v>287.84616999999997</c:v>
                </c:pt>
                <c:pt idx="7">
                  <c:v>290.05399999999997</c:v>
                </c:pt>
                <c:pt idx="8">
                  <c:v>279.3005</c:v>
                </c:pt>
                <c:pt idx="9">
                  <c:v>256.52089999999998</c:v>
                </c:pt>
                <c:pt idx="10">
                  <c:v>230.7868</c:v>
                </c:pt>
                <c:pt idx="11">
                  <c:v>210.5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BB-47EB-9EBA-453D4ED7CE4B}"/>
            </c:ext>
          </c:extLst>
        </c:ser>
        <c:ser>
          <c:idx val="2"/>
          <c:order val="1"/>
          <c:tx>
            <c:strRef>
              <c:f>'03_CUADRYGRÁF.COMP.5 ÚLT.CAMP.'!$G$24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66FF66"/>
              </a:solidFill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'03_CUADRYGRÁF.COMP.5 ÚLT.CAMP.'!$E$25:$E$36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ÚLT.CAMP.'!$G$25:$G$36</c:f>
              <c:numCache>
                <c:formatCode>#,##0.0</c:formatCode>
                <c:ptCount val="12"/>
                <c:pt idx="0">
                  <c:v>192.8152</c:v>
                </c:pt>
                <c:pt idx="1">
                  <c:v>195.1934</c:v>
                </c:pt>
                <c:pt idx="2">
                  <c:v>245.36189999999999</c:v>
                </c:pt>
                <c:pt idx="3">
                  <c:v>286.88850000000002</c:v>
                </c:pt>
                <c:pt idx="4">
                  <c:v>310.80520000000001</c:v>
                </c:pt>
                <c:pt idx="5">
                  <c:v>288.18549999999999</c:v>
                </c:pt>
                <c:pt idx="6">
                  <c:v>288.60899999999998</c:v>
                </c:pt>
                <c:pt idx="7">
                  <c:v>284.66480000000001</c:v>
                </c:pt>
                <c:pt idx="8">
                  <c:v>274.20260000000002</c:v>
                </c:pt>
                <c:pt idx="9">
                  <c:v>272.56639999999999</c:v>
                </c:pt>
                <c:pt idx="10">
                  <c:v>249.81630000000001</c:v>
                </c:pt>
                <c:pt idx="11">
                  <c:v>226.91139999999999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5BB-47EB-9EBA-453D4ED7CE4B}"/>
            </c:ext>
          </c:extLst>
        </c:ser>
        <c:ser>
          <c:idx val="3"/>
          <c:order val="2"/>
          <c:tx>
            <c:strRef>
              <c:f>'03_CUADRYGRÁF.COMP.5 ÚLT.CAMP.'!$H$24</c:f>
              <c:strCache>
                <c:ptCount val="1"/>
                <c:pt idx="0">
                  <c:v>2022/23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'03_CUADRYGRÁF.COMP.5 ÚLT.CAMP.'!$E$25:$E$36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ÚLT.CAMP.'!$H$25:$H$36</c:f>
              <c:numCache>
                <c:formatCode>#,##0.0</c:formatCode>
                <c:ptCount val="12"/>
                <c:pt idx="0">
                  <c:v>212.10380000000001</c:v>
                </c:pt>
                <c:pt idx="1">
                  <c:v>217.5282</c:v>
                </c:pt>
                <c:pt idx="2">
                  <c:v>242.46109999999999</c:v>
                </c:pt>
                <c:pt idx="3">
                  <c:v>260.65730000000002</c:v>
                </c:pt>
                <c:pt idx="4">
                  <c:v>266.70580000000001</c:v>
                </c:pt>
                <c:pt idx="5">
                  <c:v>262.41399999999999</c:v>
                </c:pt>
                <c:pt idx="6">
                  <c:v>259.05500000000001</c:v>
                </c:pt>
                <c:pt idx="7">
                  <c:v>260.26749999999998</c:v>
                </c:pt>
                <c:pt idx="8">
                  <c:v>245.41909999999999</c:v>
                </c:pt>
                <c:pt idx="9">
                  <c:v>223.768</c:v>
                </c:pt>
                <c:pt idx="10">
                  <c:v>195.69630000000001</c:v>
                </c:pt>
                <c:pt idx="11">
                  <c:v>163.82689999999999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5BB-47EB-9EBA-453D4ED7CE4B}"/>
            </c:ext>
          </c:extLst>
        </c:ser>
        <c:ser>
          <c:idx val="4"/>
          <c:order val="3"/>
          <c:tx>
            <c:strRef>
              <c:f>'03_CUADRYGRÁF.COMP.5 ÚLT.CAMP.'!$I$24</c:f>
              <c:strCache>
                <c:ptCount val="1"/>
                <c:pt idx="0">
                  <c:v>2023/24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'03_CUADRYGRÁF.COMP.5 ÚLT.CAMP.'!$E$25:$E$36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ÚLT.CAMP.'!$I$25:$I$36</c:f>
              <c:numCache>
                <c:formatCode>#,##0.0</c:formatCode>
                <c:ptCount val="12"/>
                <c:pt idx="0">
                  <c:v>137.9716</c:v>
                </c:pt>
                <c:pt idx="1">
                  <c:v>142.23269999999999</c:v>
                </c:pt>
                <c:pt idx="2">
                  <c:v>165.08199999999999</c:v>
                </c:pt>
                <c:pt idx="3">
                  <c:v>180.8159</c:v>
                </c:pt>
                <c:pt idx="4">
                  <c:v>184.75970000000001</c:v>
                </c:pt>
                <c:pt idx="5">
                  <c:v>183.45050000000001</c:v>
                </c:pt>
                <c:pt idx="6">
                  <c:v>177.31720000000001</c:v>
                </c:pt>
                <c:pt idx="7">
                  <c:v>170.4718</c:v>
                </c:pt>
                <c:pt idx="8">
                  <c:v>162.5891</c:v>
                </c:pt>
                <c:pt idx="9">
                  <c:v>152.9032</c:v>
                </c:pt>
                <c:pt idx="10">
                  <c:v>132.1592</c:v>
                </c:pt>
                <c:pt idx="11">
                  <c:v>108.563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5BB-47EB-9EBA-453D4ED7CE4B}"/>
            </c:ext>
          </c:extLst>
        </c:ser>
        <c:ser>
          <c:idx val="0"/>
          <c:order val="4"/>
          <c:tx>
            <c:strRef>
              <c:f>'03_CUADRYGRÁF.COMP.5 ÚLT.CAMP.'!$J$24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FC0CEB"/>
              </a:solidFill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'03_CUADRYGRÁF.COMP.5 ÚLT.CAMP.'!$E$25:$E$36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ÚLT.CAMP.'!$J$25:$J$36</c:f>
              <c:numCache>
                <c:formatCode>#,##0.0</c:formatCode>
                <c:ptCount val="12"/>
                <c:pt idx="0">
                  <c:v>86.128100000000003</c:v>
                </c:pt>
                <c:pt idx="1">
                  <c:v>94.317800000000005</c:v>
                </c:pt>
                <c:pt idx="2">
                  <c:v>136.1557</c:v>
                </c:pt>
                <c:pt idx="3">
                  <c:v>175.64659999999998</c:v>
                </c:pt>
                <c:pt idx="4">
                  <c:v>200.29760000000005</c:v>
                </c:pt>
                <c:pt idx="5">
                  <c:v>211.55319999999998</c:v>
                </c:pt>
                <c:pt idx="6">
                  <c:v>206.93770000000001</c:v>
                </c:pt>
                <c:pt idx="7">
                  <c:v>200.47430000000003</c:v>
                </c:pt>
                <c:pt idx="8">
                  <c:v>196.74110000000002</c:v>
                </c:pt>
                <c:pt idx="9">
                  <c:v>189.27790000000002</c:v>
                </c:pt>
                <c:pt idx="10">
                  <c:v>166.11640000000003</c:v>
                </c:pt>
                <c:pt idx="11">
                  <c:v>148.51589999999999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5BB-47EB-9EBA-453D4ED7C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608896"/>
        <c:axId val="-140612160"/>
      </c:lineChart>
      <c:catAx>
        <c:axId val="-14060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74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2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12160"/>
        <c:scaling>
          <c:orientation val="minMax"/>
          <c:max val="350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08896"/>
        <c:crosses val="autoZero"/>
        <c:crossBetween val="between"/>
        <c:majorUnit val="25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488055577306364"/>
          <c:y val="0.20895522388059701"/>
          <c:w val="0.15127335061378988"/>
          <c:h val="0.30149253731343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4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687372024486647E-2"/>
          <c:y val="8.2596108142365357E-2"/>
          <c:w val="0.7306507070635303"/>
          <c:h val="0.62832039408299367"/>
        </c:manualLayout>
      </c:layout>
      <c:lineChart>
        <c:grouping val="standard"/>
        <c:varyColors val="0"/>
        <c:ser>
          <c:idx val="1"/>
          <c:order val="0"/>
          <c:tx>
            <c:strRef>
              <c:f>'03_CUADRYGRÁF.COMP.5 ÚLT.CAMP.'!$F$41</c:f>
              <c:strCache>
                <c:ptCount val="1"/>
                <c:pt idx="0">
                  <c:v>2020/21</c:v>
                </c:pt>
              </c:strCache>
            </c:strRef>
          </c:tx>
          <c:spPr>
            <a:ln w="12700">
              <a:solidFill>
                <a:srgbClr val="2EFEF4"/>
              </a:solidFill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'03_CUADRYGRÁF.COMP.5 ÚLT.CAMP.'!$E$42:$E$53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ÚLT.CAMP.'!$F$42:$F$53</c:f>
              <c:numCache>
                <c:formatCode>#,##0.0</c:formatCode>
                <c:ptCount val="12"/>
                <c:pt idx="0">
                  <c:v>400.87532999999996</c:v>
                </c:pt>
                <c:pt idx="1">
                  <c:v>519.41482999999994</c:v>
                </c:pt>
                <c:pt idx="2">
                  <c:v>869.46350000000007</c:v>
                </c:pt>
                <c:pt idx="3">
                  <c:v>1108.0557000000001</c:v>
                </c:pt>
                <c:pt idx="4">
                  <c:v>1198.5597</c:v>
                </c:pt>
                <c:pt idx="5">
                  <c:v>1102.5609399999998</c:v>
                </c:pt>
                <c:pt idx="6">
                  <c:v>977.28886999999986</c:v>
                </c:pt>
                <c:pt idx="7">
                  <c:v>857.005</c:v>
                </c:pt>
                <c:pt idx="8">
                  <c:v>749.39570000000003</c:v>
                </c:pt>
                <c:pt idx="9">
                  <c:v>640.44110000000001</c:v>
                </c:pt>
                <c:pt idx="10">
                  <c:v>545.85979999999995</c:v>
                </c:pt>
                <c:pt idx="11">
                  <c:v>423.62287000000003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87-421E-91AF-8DAFC1773D4B}"/>
            </c:ext>
          </c:extLst>
        </c:ser>
        <c:ser>
          <c:idx val="2"/>
          <c:order val="1"/>
          <c:tx>
            <c:strRef>
              <c:f>'03_CUADRYGRÁF.COMP.5 ÚLT.CAMP.'!$G$41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66FF66"/>
              </a:solidFill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'03_CUADRYGRÁF.COMP.5 ÚLT.CAMP.'!$E$42:$E$53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ÚLT.CAMP.'!$G$42:$G$53</c:f>
              <c:numCache>
                <c:formatCode>#,##0.0</c:formatCode>
                <c:ptCount val="12"/>
                <c:pt idx="0">
                  <c:v>364.58852000000002</c:v>
                </c:pt>
                <c:pt idx="1">
                  <c:v>540.55913999999996</c:v>
                </c:pt>
                <c:pt idx="2">
                  <c:v>985.69650000000001</c:v>
                </c:pt>
                <c:pt idx="3">
                  <c:v>1341.8955900000001</c:v>
                </c:pt>
                <c:pt idx="4">
                  <c:v>1335.49188</c:v>
                </c:pt>
                <c:pt idx="5">
                  <c:v>1219.31963</c:v>
                </c:pt>
                <c:pt idx="6">
                  <c:v>1084.82662</c:v>
                </c:pt>
                <c:pt idx="7">
                  <c:v>949.43000000000006</c:v>
                </c:pt>
                <c:pt idx="8">
                  <c:v>809.04335999999989</c:v>
                </c:pt>
                <c:pt idx="9">
                  <c:v>697.7165</c:v>
                </c:pt>
                <c:pt idx="10">
                  <c:v>580.95839999999998</c:v>
                </c:pt>
                <c:pt idx="11">
                  <c:v>454.60650999999996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387-421E-91AF-8DAFC1773D4B}"/>
            </c:ext>
          </c:extLst>
        </c:ser>
        <c:ser>
          <c:idx val="3"/>
          <c:order val="2"/>
          <c:tx>
            <c:strRef>
              <c:f>'03_CUADRYGRÁF.COMP.5 ÚLT.CAMP.'!$H$41</c:f>
              <c:strCache>
                <c:ptCount val="1"/>
                <c:pt idx="0">
                  <c:v>2022/23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'03_CUADRYGRÁF.COMP.5 ÚLT.CAMP.'!$E$42:$E$53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ÚLT.CAMP.'!$H$42:$H$53</c:f>
              <c:numCache>
                <c:formatCode>#,##0.0</c:formatCode>
                <c:ptCount val="12"/>
                <c:pt idx="0">
                  <c:v>367.80817000000002</c:v>
                </c:pt>
                <c:pt idx="1">
                  <c:v>451.83094</c:v>
                </c:pt>
                <c:pt idx="2">
                  <c:v>639.02499</c:v>
                </c:pt>
                <c:pt idx="3">
                  <c:v>764.10804000000007</c:v>
                </c:pt>
                <c:pt idx="4">
                  <c:v>741.08772999999997</c:v>
                </c:pt>
                <c:pt idx="5">
                  <c:v>671.81463000000008</c:v>
                </c:pt>
                <c:pt idx="6">
                  <c:v>609.85797000000002</c:v>
                </c:pt>
                <c:pt idx="7">
                  <c:v>531.66746000000001</c:v>
                </c:pt>
                <c:pt idx="8">
                  <c:v>456.55063999999993</c:v>
                </c:pt>
                <c:pt idx="9">
                  <c:v>383.43997000000002</c:v>
                </c:pt>
                <c:pt idx="10">
                  <c:v>321.15190000000001</c:v>
                </c:pt>
                <c:pt idx="11">
                  <c:v>248.24002999999999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387-421E-91AF-8DAFC1773D4B}"/>
            </c:ext>
          </c:extLst>
        </c:ser>
        <c:ser>
          <c:idx val="4"/>
          <c:order val="3"/>
          <c:tx>
            <c:strRef>
              <c:f>'03_CUADRYGRÁF.COMP.5 ÚLT.CAMP.'!$I$41</c:f>
              <c:strCache>
                <c:ptCount val="1"/>
                <c:pt idx="0">
                  <c:v>2023/24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'03_CUADRYGRÁF.COMP.5 ÚLT.CAMP.'!$E$42:$E$53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ÚLT.CAMP.'!$I$42:$I$53</c:f>
              <c:numCache>
                <c:formatCode>#,##0.0</c:formatCode>
                <c:ptCount val="12"/>
                <c:pt idx="0">
                  <c:v>220.29599000000002</c:v>
                </c:pt>
                <c:pt idx="1">
                  <c:v>378.92133000000001</c:v>
                </c:pt>
                <c:pt idx="2">
                  <c:v>637.07005000000004</c:v>
                </c:pt>
                <c:pt idx="3">
                  <c:v>735.2006100000001</c:v>
                </c:pt>
                <c:pt idx="4">
                  <c:v>712.66163000000006</c:v>
                </c:pt>
                <c:pt idx="5">
                  <c:v>658.07338000000004</c:v>
                </c:pt>
                <c:pt idx="6">
                  <c:v>576.34085000000005</c:v>
                </c:pt>
                <c:pt idx="7">
                  <c:v>490.95019000000002</c:v>
                </c:pt>
                <c:pt idx="8">
                  <c:v>414.89915000000002</c:v>
                </c:pt>
                <c:pt idx="9">
                  <c:v>342.27090999999996</c:v>
                </c:pt>
                <c:pt idx="10">
                  <c:v>271.63171</c:v>
                </c:pt>
                <c:pt idx="11">
                  <c:v>186.86892999999998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387-421E-91AF-8DAFC1773D4B}"/>
            </c:ext>
          </c:extLst>
        </c:ser>
        <c:ser>
          <c:idx val="0"/>
          <c:order val="4"/>
          <c:tx>
            <c:strRef>
              <c:f>'03_CUADRYGRÁF.COMP.5 ÚLT.CAMP.'!$J$41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FC0CEB"/>
              </a:solidFill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'03_CUADRYGRÁF.COMP.5 ÚLT.CAMP.'!$E$42:$E$53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ÚLT.CAMP.'!$J$42:$J$53</c:f>
              <c:numCache>
                <c:formatCode>#,##0.0</c:formatCode>
                <c:ptCount val="12"/>
                <c:pt idx="0">
                  <c:v>140.94938999999999</c:v>
                </c:pt>
                <c:pt idx="1">
                  <c:v>330.81993</c:v>
                </c:pt>
                <c:pt idx="2">
                  <c:v>833.89489000000003</c:v>
                </c:pt>
                <c:pt idx="3">
                  <c:v>1064.0265099999999</c:v>
                </c:pt>
                <c:pt idx="4">
                  <c:v>1105.94199</c:v>
                </c:pt>
                <c:pt idx="5">
                  <c:v>999.61024999999995</c:v>
                </c:pt>
                <c:pt idx="6">
                  <c:v>884.95938999999998</c:v>
                </c:pt>
                <c:pt idx="7">
                  <c:v>764.24827000000005</c:v>
                </c:pt>
                <c:pt idx="8">
                  <c:v>646.35070999999994</c:v>
                </c:pt>
                <c:pt idx="9">
                  <c:v>510.72753</c:v>
                </c:pt>
                <c:pt idx="10">
                  <c:v>405.92887000000002</c:v>
                </c:pt>
                <c:pt idx="11">
                  <c:v>289.67237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387-421E-91AF-8DAFC1773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613792"/>
        <c:axId val="-140619776"/>
      </c:lineChart>
      <c:catAx>
        <c:axId val="-14061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74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9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19776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3792"/>
        <c:crosses val="autoZero"/>
        <c:crossBetween val="between"/>
        <c:majorUnit val="100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20581061339325"/>
          <c:y val="0.23008923442500701"/>
          <c:w val="0.14703804095888429"/>
          <c:h val="0.2979360323322417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64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840474988450816E-2"/>
          <c:y val="5.2805450718887682E-2"/>
          <c:w val="0.8143728448821983"/>
          <c:h val="0.7523354700059367"/>
        </c:manualLayout>
      </c:layout>
      <c:lineChart>
        <c:grouping val="standard"/>
        <c:varyColors val="0"/>
        <c:ser>
          <c:idx val="0"/>
          <c:order val="0"/>
          <c:tx>
            <c:strRef>
              <c:f>'05_GRÁF.COMP.MEDIA 4 ÚLT.CAMPAÑ'!$D$8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dPt>
            <c:idx val="4"/>
            <c:bubble3D val="0"/>
            <c:spPr>
              <a:ln w="12700">
                <a:solidFill>
                  <a:srgbClr val="00FF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1-A8FC-46A2-9144-EECF10CF67D8}"/>
              </c:ext>
            </c:extLst>
          </c:dPt>
          <c:cat>
            <c:strRef>
              <c:f>'05_GRÁF.COMP.MEDIA 4 ÚLT.CAMPAÑ'!$C$9:$C$16</c:f>
              <c:strCache>
                <c:ptCount val="8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</c:strCache>
            </c:strRef>
          </c:cat>
          <c:val>
            <c:numRef>
              <c:f>'05_GRÁF.COMP.MEDIA 4 ÚLT.CAMPAÑ'!$D$9:$D$16</c:f>
              <c:numCache>
                <c:formatCode>General</c:formatCode>
                <c:ptCount val="8"/>
                <c:pt idx="0">
                  <c:v>36.869638065065338</c:v>
                </c:pt>
                <c:pt idx="1">
                  <c:v>266.67028736800955</c:v>
                </c:pt>
                <c:pt idx="2">
                  <c:v>596.43099995705325</c:v>
                </c:pt>
                <c:pt idx="3">
                  <c:v>351.48090412836069</c:v>
                </c:pt>
                <c:pt idx="4">
                  <c:v>154.07039664159123</c:v>
                </c:pt>
                <c:pt idx="5">
                  <c:v>12.203773839919968</c:v>
                </c:pt>
                <c:pt idx="6">
                  <c:v>3.1651061105452594</c:v>
                </c:pt>
                <c:pt idx="7">
                  <c:v>0.2216438346728094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8FC-46A2-9144-EECF10CF67D8}"/>
            </c:ext>
          </c:extLst>
        </c:ser>
        <c:ser>
          <c:idx val="2"/>
          <c:order val="1"/>
          <c:tx>
            <c:strRef>
              <c:f>'05_GRÁF.COMP.MEDIA 4 ÚLT.CAMPAÑ'!$E$8</c:f>
              <c:strCache>
                <c:ptCount val="1"/>
                <c:pt idx="0">
                  <c:v>Media 4 últimas campañas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strRef>
              <c:f>'05_GRÁF.COMP.MEDIA 4 ÚLT.CAMPAÑ'!$C$9:$C$16</c:f>
              <c:strCache>
                <c:ptCount val="8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</c:strCache>
            </c:strRef>
          </c:cat>
          <c:val>
            <c:numRef>
              <c:f>'05_GRÁF.COMP.MEDIA 4 ÚLT.CAMPAÑ'!$E$9:$E$16</c:f>
              <c:numCache>
                <c:formatCode>General</c:formatCode>
                <c:ptCount val="8"/>
                <c:pt idx="0">
                  <c:v>39.746699999999997</c:v>
                </c:pt>
                <c:pt idx="1">
                  <c:v>232.97542499999997</c:v>
                </c:pt>
                <c:pt idx="2">
                  <c:v>396.338525</c:v>
                </c:pt>
                <c:pt idx="3">
                  <c:v>298.45667500000002</c:v>
                </c:pt>
                <c:pt idx="4">
                  <c:v>106.35665</c:v>
                </c:pt>
                <c:pt idx="5">
                  <c:v>21.868000000000002</c:v>
                </c:pt>
                <c:pt idx="6">
                  <c:v>3.4957500000000001</c:v>
                </c:pt>
                <c:pt idx="7">
                  <c:v>1.9117250000000001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8FC-46A2-9144-EECF10CF6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736431"/>
        <c:axId val="1"/>
      </c:lineChart>
      <c:catAx>
        <c:axId val="212873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8736431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850508514997091"/>
          <c:y val="6.1335193860261136E-2"/>
          <c:w val="0.37813257162352171"/>
          <c:h val="0.200870911212098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840474988450816E-2"/>
          <c:y val="5.2805450718887682E-2"/>
          <c:w val="0.8143728448821983"/>
          <c:h val="0.7523354700059367"/>
        </c:manualLayout>
      </c:layout>
      <c:lineChart>
        <c:grouping val="standard"/>
        <c:varyColors val="0"/>
        <c:ser>
          <c:idx val="0"/>
          <c:order val="0"/>
          <c:tx>
            <c:strRef>
              <c:f>'05_GRÁF.COMP.MEDIA 4 ÚLT.CAMPAÑ'!$K$8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dPt>
            <c:idx val="4"/>
            <c:bubble3D val="0"/>
            <c:spPr>
              <a:ln w="12700">
                <a:solidFill>
                  <a:srgbClr val="00FF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1-0D28-4A74-923B-DD9273E1C727}"/>
              </c:ext>
            </c:extLst>
          </c:dPt>
          <c:cat>
            <c:strRef>
              <c:f>'05_GRÁF.COMP.MEDIA 4 ÚLT.CAMPAÑ'!$J$9:$J$20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ÚLT.CAMPAÑ'!$K$9:$K$20</c:f>
              <c:numCache>
                <c:formatCode>0.0</c:formatCode>
                <c:ptCount val="12"/>
                <c:pt idx="0">
                  <c:v>15.916</c:v>
                </c:pt>
                <c:pt idx="1">
                  <c:v>23.576000000000001</c:v>
                </c:pt>
                <c:pt idx="2">
                  <c:v>30.591999999999999</c:v>
                </c:pt>
                <c:pt idx="3">
                  <c:v>17.385000000000002</c:v>
                </c:pt>
                <c:pt idx="4">
                  <c:v>19.042000000000002</c:v>
                </c:pt>
                <c:pt idx="5">
                  <c:v>22.052</c:v>
                </c:pt>
                <c:pt idx="6">
                  <c:v>16.635000000000002</c:v>
                </c:pt>
                <c:pt idx="7">
                  <c:v>15.276999999999999</c:v>
                </c:pt>
                <c:pt idx="8">
                  <c:v>14.541</c:v>
                </c:pt>
                <c:pt idx="9">
                  <c:v>13.11</c:v>
                </c:pt>
                <c:pt idx="10">
                  <c:v>6.7649999999999997</c:v>
                </c:pt>
                <c:pt idx="11">
                  <c:v>11.167999999999999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D28-4A74-923B-DD9273E1C727}"/>
            </c:ext>
          </c:extLst>
        </c:ser>
        <c:ser>
          <c:idx val="2"/>
          <c:order val="1"/>
          <c:tx>
            <c:strRef>
              <c:f>'05_GRÁF.COMP.MEDIA 4 ÚLT.CAMPAÑ'!$L$8</c:f>
              <c:strCache>
                <c:ptCount val="1"/>
                <c:pt idx="0">
                  <c:v>Media 4 últimas campañas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strRef>
              <c:f>'05_GRÁF.COMP.MEDIA 4 ÚLT.CAMPAÑ'!$J$9:$J$20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ÚLT.CAMPAÑ'!$L$9:$L$20</c:f>
              <c:numCache>
                <c:formatCode>0.0</c:formatCode>
                <c:ptCount val="12"/>
                <c:pt idx="0">
                  <c:v>14.703512500000002</c:v>
                </c:pt>
                <c:pt idx="1">
                  <c:v>22.381005000000002</c:v>
                </c:pt>
                <c:pt idx="2">
                  <c:v>29.666352749999998</c:v>
                </c:pt>
                <c:pt idx="3">
                  <c:v>13.947954000000001</c:v>
                </c:pt>
                <c:pt idx="4">
                  <c:v>18.462668499999999</c:v>
                </c:pt>
                <c:pt idx="5">
                  <c:v>17.16875825</c:v>
                </c:pt>
                <c:pt idx="6">
                  <c:v>17.846606000000001</c:v>
                </c:pt>
                <c:pt idx="7">
                  <c:v>17.09497</c:v>
                </c:pt>
                <c:pt idx="8">
                  <c:v>15.823582999999999</c:v>
                </c:pt>
                <c:pt idx="9">
                  <c:v>16.006943</c:v>
                </c:pt>
                <c:pt idx="10">
                  <c:v>14.75202075</c:v>
                </c:pt>
                <c:pt idx="11">
                  <c:v>15.6681005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D28-4A74-923B-DD9273E1C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736431"/>
        <c:axId val="1"/>
      </c:lineChart>
      <c:catAx>
        <c:axId val="212873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50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8736431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850508514997091"/>
          <c:y val="6.1335193860261136E-2"/>
          <c:w val="0.37813257162352171"/>
          <c:h val="0.200870911212098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840474988450816E-2"/>
          <c:y val="5.2805450718887682E-2"/>
          <c:w val="0.8143728448821983"/>
          <c:h val="0.7523354700059367"/>
        </c:manualLayout>
      </c:layout>
      <c:lineChart>
        <c:grouping val="standard"/>
        <c:varyColors val="0"/>
        <c:ser>
          <c:idx val="0"/>
          <c:order val="0"/>
          <c:tx>
            <c:strRef>
              <c:f>'05_GRÁF.COMP.MEDIA 4 ÚLT.CAMPAÑ'!$K$26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dPt>
            <c:idx val="4"/>
            <c:bubble3D val="0"/>
            <c:spPr>
              <a:ln w="12700">
                <a:solidFill>
                  <a:srgbClr val="00FF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1-1AFB-485A-8289-836F12E9E9DA}"/>
              </c:ext>
            </c:extLst>
          </c:dPt>
          <c:cat>
            <c:strRef>
              <c:f>'05_GRÁF.COMP.MEDIA 4 ÚLT.CAMPAÑ'!$J$27:$J$38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ÚLT.CAMPAÑ'!$K$27:$K$38</c:f>
              <c:numCache>
                <c:formatCode>0.0</c:formatCode>
                <c:ptCount val="12"/>
                <c:pt idx="0">
                  <c:v>60.277999999999999</c:v>
                </c:pt>
                <c:pt idx="1">
                  <c:v>59.936999999999998</c:v>
                </c:pt>
                <c:pt idx="2">
                  <c:v>69.722999999999999</c:v>
                </c:pt>
                <c:pt idx="3">
                  <c:v>89.304000000000002</c:v>
                </c:pt>
                <c:pt idx="4">
                  <c:v>90.628</c:v>
                </c:pt>
                <c:pt idx="5">
                  <c:v>96.980999999999995</c:v>
                </c:pt>
                <c:pt idx="6">
                  <c:v>98.778000000000006</c:v>
                </c:pt>
                <c:pt idx="7">
                  <c:v>99.323999999999998</c:v>
                </c:pt>
                <c:pt idx="8">
                  <c:v>94.483000000000004</c:v>
                </c:pt>
                <c:pt idx="9">
                  <c:v>110.997</c:v>
                </c:pt>
                <c:pt idx="10">
                  <c:v>76.051000000000002</c:v>
                </c:pt>
                <c:pt idx="11">
                  <c:v>95.087000000000003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AFB-485A-8289-836F12E9E9DA}"/>
            </c:ext>
          </c:extLst>
        </c:ser>
        <c:ser>
          <c:idx val="2"/>
          <c:order val="1"/>
          <c:tx>
            <c:strRef>
              <c:f>'05_GRÁF.COMP.MEDIA 4 ÚLT.CAMPAÑ'!$L$26</c:f>
              <c:strCache>
                <c:ptCount val="1"/>
                <c:pt idx="0">
                  <c:v>Media 4 últimas campañas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strRef>
              <c:f>'05_GRÁF.COMP.MEDIA 4 ÚLT.CAMPAÑ'!$J$27:$J$38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ÚLT.CAMPAÑ'!$L$27:$L$38</c:f>
              <c:numCache>
                <c:formatCode>0.0</c:formatCode>
                <c:ptCount val="12"/>
                <c:pt idx="0">
                  <c:v>80.870157000000006</c:v>
                </c:pt>
                <c:pt idx="1">
                  <c:v>74.878412000000012</c:v>
                </c:pt>
                <c:pt idx="2">
                  <c:v>72.081168250000005</c:v>
                </c:pt>
                <c:pt idx="3">
                  <c:v>70.44053375</c:v>
                </c:pt>
                <c:pt idx="4">
                  <c:v>76.447173750000005</c:v>
                </c:pt>
                <c:pt idx="5">
                  <c:v>77.476141499999997</c:v>
                </c:pt>
                <c:pt idx="6">
                  <c:v>83.183090000000007</c:v>
                </c:pt>
                <c:pt idx="7">
                  <c:v>87.163952749999993</c:v>
                </c:pt>
                <c:pt idx="8">
                  <c:v>80.722283000000004</c:v>
                </c:pt>
                <c:pt idx="9">
                  <c:v>72.666577250000003</c:v>
                </c:pt>
                <c:pt idx="10">
                  <c:v>63.085517749999994</c:v>
                </c:pt>
                <c:pt idx="11">
                  <c:v>80.239793500000005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AFB-485A-8289-836F12E9E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736431"/>
        <c:axId val="1"/>
      </c:lineChart>
      <c:catAx>
        <c:axId val="212873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40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8736431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850508514997091"/>
          <c:y val="6.1335193860261136E-2"/>
          <c:w val="0.37813257162352171"/>
          <c:h val="0.200870911212098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840474988450816E-2"/>
          <c:y val="5.2805450718887682E-2"/>
          <c:w val="0.8143728448821983"/>
          <c:h val="0.7523354700059367"/>
        </c:manualLayout>
      </c:layout>
      <c:lineChart>
        <c:grouping val="standard"/>
        <c:varyColors val="0"/>
        <c:ser>
          <c:idx val="0"/>
          <c:order val="0"/>
          <c:tx>
            <c:strRef>
              <c:f>'05_GRÁF.COMP.MEDIA 4 ÚLT.CAMPAÑ'!$K$26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dPt>
            <c:idx val="4"/>
            <c:bubble3D val="0"/>
            <c:spPr>
              <a:ln w="12700">
                <a:solidFill>
                  <a:srgbClr val="00FF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1-1DCB-4761-9179-ED86BB41918B}"/>
              </c:ext>
            </c:extLst>
          </c:dPt>
          <c:cat>
            <c:strRef>
              <c:f>'05_GRÁF.COMP.MEDIA 4 ÚLT.CAMPAÑ'!$J$45:$J$56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ÚLT.CAMPAÑ'!$K$45:$K$56</c:f>
              <c:numCache>
                <c:formatCode>0.0</c:formatCode>
                <c:ptCount val="12"/>
                <c:pt idx="0">
                  <c:v>140.94938999999999</c:v>
                </c:pt>
                <c:pt idx="1">
                  <c:v>330.81993</c:v>
                </c:pt>
                <c:pt idx="2">
                  <c:v>833.89489000000003</c:v>
                </c:pt>
                <c:pt idx="3">
                  <c:v>1064.0265099999999</c:v>
                </c:pt>
                <c:pt idx="4">
                  <c:v>1105.94199</c:v>
                </c:pt>
                <c:pt idx="5">
                  <c:v>999.61024999999995</c:v>
                </c:pt>
                <c:pt idx="6">
                  <c:v>884.95938999999998</c:v>
                </c:pt>
                <c:pt idx="7">
                  <c:v>764.24827000000005</c:v>
                </c:pt>
                <c:pt idx="8">
                  <c:v>646.35070999999994</c:v>
                </c:pt>
                <c:pt idx="9">
                  <c:v>510.72753</c:v>
                </c:pt>
                <c:pt idx="10">
                  <c:v>405.92887000000002</c:v>
                </c:pt>
                <c:pt idx="11">
                  <c:v>289.67237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DCB-4761-9179-ED86BB41918B}"/>
            </c:ext>
          </c:extLst>
        </c:ser>
        <c:ser>
          <c:idx val="2"/>
          <c:order val="1"/>
          <c:tx>
            <c:strRef>
              <c:f>'05_GRÁF.COMP.MEDIA 4 ÚLT.CAMPAÑ'!$L$26</c:f>
              <c:strCache>
                <c:ptCount val="1"/>
                <c:pt idx="0">
                  <c:v>Media 4 últimas campañas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strRef>
              <c:f>'05_GRÁF.COMP.MEDIA 4 ÚLT.CAMPAÑ'!$J$45:$J$56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ÚLT.CAMPAÑ'!$L$45:$L$56</c:f>
              <c:numCache>
                <c:formatCode>0.0</c:formatCode>
                <c:ptCount val="12"/>
                <c:pt idx="0">
                  <c:v>338.39200249999999</c:v>
                </c:pt>
                <c:pt idx="1">
                  <c:v>472.68155999999999</c:v>
                </c:pt>
                <c:pt idx="2">
                  <c:v>782.81376</c:v>
                </c:pt>
                <c:pt idx="3">
                  <c:v>987.31498499999998</c:v>
                </c:pt>
                <c:pt idx="4">
                  <c:v>996.95023500000013</c:v>
                </c:pt>
                <c:pt idx="5">
                  <c:v>912.94214499999998</c:v>
                </c:pt>
                <c:pt idx="6">
                  <c:v>812.07857750000005</c:v>
                </c:pt>
                <c:pt idx="7">
                  <c:v>707.26316250000002</c:v>
                </c:pt>
                <c:pt idx="8">
                  <c:v>607.47221249999996</c:v>
                </c:pt>
                <c:pt idx="9">
                  <c:v>515.96712000000002</c:v>
                </c:pt>
                <c:pt idx="10">
                  <c:v>429.90045250000003</c:v>
                </c:pt>
                <c:pt idx="11">
                  <c:v>328.33458499999995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DCB-4761-9179-ED86BB419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736431"/>
        <c:axId val="1"/>
      </c:lineChart>
      <c:catAx>
        <c:axId val="212873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8736431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850508514997091"/>
          <c:y val="6.1335193860261136E-2"/>
          <c:w val="0.37813257162352171"/>
          <c:h val="0.200870911212098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840474988450816E-2"/>
          <c:y val="5.2805450718887682E-2"/>
          <c:w val="0.8143728448821983"/>
          <c:h val="0.7523354700059367"/>
        </c:manualLayout>
      </c:layout>
      <c:lineChart>
        <c:grouping val="standard"/>
        <c:varyColors val="0"/>
        <c:ser>
          <c:idx val="0"/>
          <c:order val="0"/>
          <c:tx>
            <c:strRef>
              <c:f>'05_GRÁF.COMP.MEDIA 4 ÚLT.CAMPAÑ'!$K$26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dPt>
            <c:idx val="4"/>
            <c:bubble3D val="0"/>
            <c:spPr>
              <a:ln w="12700">
                <a:solidFill>
                  <a:srgbClr val="00FF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1-E8F1-4EF3-9E2A-8B4F340915ED}"/>
              </c:ext>
            </c:extLst>
          </c:dPt>
          <c:cat>
            <c:strRef>
              <c:f>'05_GRÁF.COMP.MEDIA 4 ÚLT.CAMPAÑ'!$J$63:$J$74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ÚLT.CAMPAÑ'!$K$63:$K$74</c:f>
              <c:numCache>
                <c:formatCode>0.0</c:formatCode>
                <c:ptCount val="12"/>
                <c:pt idx="0">
                  <c:v>98.686901540294201</c:v>
                </c:pt>
                <c:pt idx="1">
                  <c:v>199.06264890830374</c:v>
                </c:pt>
                <c:pt idx="2">
                  <c:v>323.01068886535694</c:v>
                </c:pt>
                <c:pt idx="3">
                  <c:v>461.74497299371774</c:v>
                </c:pt>
                <c:pt idx="4">
                  <c:v>592.94188963530883</c:v>
                </c:pt>
                <c:pt idx="5">
                  <c:v>733.52940347522883</c:v>
                </c:pt>
                <c:pt idx="6">
                  <c:v>867.98036958577404</c:v>
                </c:pt>
                <c:pt idx="7">
                  <c:v>1004.1901334204467</c:v>
                </c:pt>
                <c:pt idx="8">
                  <c:v>1136.6286934204468</c:v>
                </c:pt>
                <c:pt idx="9">
                  <c:v>1285.3618734204467</c:v>
                </c:pt>
                <c:pt idx="10">
                  <c:v>1396.9255334204468</c:v>
                </c:pt>
                <c:pt idx="11">
                  <c:v>1524.3500334204468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8F1-4EF3-9E2A-8B4F340915ED}"/>
            </c:ext>
          </c:extLst>
        </c:ser>
        <c:ser>
          <c:idx val="2"/>
          <c:order val="1"/>
          <c:tx>
            <c:strRef>
              <c:f>'05_GRÁF.COMP.MEDIA 4 ÚLT.CAMPAÑ'!$L$26</c:f>
              <c:strCache>
                <c:ptCount val="1"/>
                <c:pt idx="0">
                  <c:v>Media 4 últimas campañas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strRef>
              <c:f>'05_GRÁF.COMP.MEDIA 4 ÚLT.CAMPAÑ'!$J$63:$J$74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ÚLT.CAMPAÑ'!$L$63:$L$74</c:f>
              <c:numCache>
                <c:formatCode>0.0</c:formatCode>
                <c:ptCount val="12"/>
                <c:pt idx="0">
                  <c:v>120.4684525</c:v>
                </c:pt>
                <c:pt idx="1">
                  <c:v>241.52210000000002</c:v>
                </c:pt>
                <c:pt idx="2">
                  <c:v>357.33467774999991</c:v>
                </c:pt>
                <c:pt idx="3">
                  <c:v>465.23250674999997</c:v>
                </c:pt>
                <c:pt idx="4">
                  <c:v>580.40405025000007</c:v>
                </c:pt>
                <c:pt idx="5">
                  <c:v>703.44737350000003</c:v>
                </c:pt>
                <c:pt idx="6">
                  <c:v>825.66144699999995</c:v>
                </c:pt>
                <c:pt idx="7">
                  <c:v>949.48388199999988</c:v>
                </c:pt>
                <c:pt idx="8">
                  <c:v>1065.1004149999999</c:v>
                </c:pt>
                <c:pt idx="9">
                  <c:v>1172.6162504999998</c:v>
                </c:pt>
                <c:pt idx="10">
                  <c:v>1273.4112887499998</c:v>
                </c:pt>
                <c:pt idx="11">
                  <c:v>1390.7485067499997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8F1-4EF3-9E2A-8B4F34091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736431"/>
        <c:axId val="1"/>
      </c:lineChart>
      <c:catAx>
        <c:axId val="212873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8736431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850508514997091"/>
          <c:y val="6.1335193860261136E-2"/>
          <c:w val="0.37813257162352171"/>
          <c:h val="0.200870911212098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840474988450816E-2"/>
          <c:y val="5.2805450718887682E-2"/>
          <c:w val="0.8143728448821983"/>
          <c:h val="0.7523354700059367"/>
        </c:manualLayout>
      </c:layout>
      <c:lineChart>
        <c:grouping val="standard"/>
        <c:varyColors val="0"/>
        <c:ser>
          <c:idx val="0"/>
          <c:order val="0"/>
          <c:tx>
            <c:strRef>
              <c:f>'05_GRÁF.COMP.MEDIA 4 ÚLT.CAMPAÑ'!$D$62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dPt>
            <c:idx val="4"/>
            <c:bubble3D val="0"/>
            <c:spPr>
              <a:ln w="12700">
                <a:solidFill>
                  <a:srgbClr val="00FF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1-19E6-468A-8D4D-D31E103C16D6}"/>
              </c:ext>
            </c:extLst>
          </c:dPt>
          <c:cat>
            <c:strRef>
              <c:f>'05_GRÁF.COMP.MEDIA 4 ÚLT.CAMPAÑ'!$C$63:$C$74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ÚLT.CAMPAÑ'!$D$63:$D$74</c:f>
              <c:numCache>
                <c:formatCode>0.0</c:formatCode>
                <c:ptCount val="12"/>
                <c:pt idx="0">
                  <c:v>98.686901540294201</c:v>
                </c:pt>
                <c:pt idx="1">
                  <c:v>100.37574736800954</c:v>
                </c:pt>
                <c:pt idx="2">
                  <c:v>123.94803995705321</c:v>
                </c:pt>
                <c:pt idx="3">
                  <c:v>138.7342841283608</c:v>
                </c:pt>
                <c:pt idx="4">
                  <c:v>131.19691664159112</c:v>
                </c:pt>
                <c:pt idx="5">
                  <c:v>140.58751383992004</c:v>
                </c:pt>
                <c:pt idx="6">
                  <c:v>134.45096611054521</c:v>
                </c:pt>
                <c:pt idx="7">
                  <c:v>136.20976383467274</c:v>
                </c:pt>
                <c:pt idx="8">
                  <c:v>132.43856000000011</c:v>
                </c:pt>
                <c:pt idx="9">
                  <c:v>148.73317999999995</c:v>
                </c:pt>
                <c:pt idx="10">
                  <c:v>111.56365999999998</c:v>
                </c:pt>
                <c:pt idx="11">
                  <c:v>127.42450000000002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9E6-468A-8D4D-D31E103C16D6}"/>
            </c:ext>
          </c:extLst>
        </c:ser>
        <c:ser>
          <c:idx val="2"/>
          <c:order val="1"/>
          <c:tx>
            <c:strRef>
              <c:f>'05_GRÁF.COMP.MEDIA 4 ÚLT.CAMPAÑ'!$E$62</c:f>
              <c:strCache>
                <c:ptCount val="1"/>
                <c:pt idx="0">
                  <c:v>Media 4 últimas campañas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strRef>
              <c:f>'05_GRÁF.COMP.MEDIA 4 ÚLT.CAMPAÑ'!$C$63:$C$74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ÚLT.CAMPAÑ'!$E$63:$E$74</c:f>
              <c:numCache>
                <c:formatCode>0.0</c:formatCode>
                <c:ptCount val="12"/>
                <c:pt idx="0">
                  <c:v>120.4684525</c:v>
                </c:pt>
                <c:pt idx="1">
                  <c:v>121.05364750000003</c:v>
                </c:pt>
                <c:pt idx="2">
                  <c:v>115.81257774999989</c:v>
                </c:pt>
                <c:pt idx="3">
                  <c:v>107.89782900000004</c:v>
                </c:pt>
                <c:pt idx="4">
                  <c:v>115.17154350000006</c:v>
                </c:pt>
                <c:pt idx="5">
                  <c:v>123.04332324999993</c:v>
                </c:pt>
                <c:pt idx="6">
                  <c:v>122.21407349999997</c:v>
                </c:pt>
                <c:pt idx="7">
                  <c:v>123.82243499999996</c:v>
                </c:pt>
                <c:pt idx="8">
                  <c:v>115.61653300000005</c:v>
                </c:pt>
                <c:pt idx="9">
                  <c:v>107.51583549999998</c:v>
                </c:pt>
                <c:pt idx="10">
                  <c:v>100.79503825000005</c:v>
                </c:pt>
                <c:pt idx="11">
                  <c:v>117.33721800000001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9E6-468A-8D4D-D31E103C1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736431"/>
        <c:axId val="1"/>
      </c:lineChart>
      <c:catAx>
        <c:axId val="212873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00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8736431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850508514997091"/>
          <c:y val="6.1335193860261136E-2"/>
          <c:w val="0.37813257162352171"/>
          <c:h val="0.200870911212098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840474988450816E-2"/>
          <c:y val="5.2805450718887682E-2"/>
          <c:w val="0.8143728448821983"/>
          <c:h val="0.7523354700059367"/>
        </c:manualLayout>
      </c:layout>
      <c:lineChart>
        <c:grouping val="standard"/>
        <c:varyColors val="0"/>
        <c:ser>
          <c:idx val="0"/>
          <c:order val="0"/>
          <c:tx>
            <c:strRef>
              <c:f>'05_GRÁF.COMP.MEDIA 4 ÚLT.CAMPAÑ'!$D$44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dPt>
            <c:idx val="4"/>
            <c:bubble3D val="0"/>
            <c:spPr>
              <a:ln w="12700">
                <a:solidFill>
                  <a:srgbClr val="00FF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1-FDF5-449F-AD14-FA0FEFD586A8}"/>
              </c:ext>
            </c:extLst>
          </c:dPt>
          <c:cat>
            <c:strRef>
              <c:f>'05_GRÁF.COMP.MEDIA 4 ÚLT.CAMPAÑ'!$C$45:$C$56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ÚLT.CAMPAÑ'!$D$45:$D$56</c:f>
              <c:numCache>
                <c:formatCode>0.0</c:formatCode>
                <c:ptCount val="12"/>
                <c:pt idx="0">
                  <c:v>54.821289999999998</c:v>
                </c:pt>
                <c:pt idx="1">
                  <c:v>236.50212999999997</c:v>
                </c:pt>
                <c:pt idx="2">
                  <c:v>697.73919000000001</c:v>
                </c:pt>
                <c:pt idx="3">
                  <c:v>888.37991</c:v>
                </c:pt>
                <c:pt idx="4">
                  <c:v>905.64439000000004</c:v>
                </c:pt>
                <c:pt idx="5">
                  <c:v>788.05705</c:v>
                </c:pt>
                <c:pt idx="6">
                  <c:v>678.02169000000004</c:v>
                </c:pt>
                <c:pt idx="7">
                  <c:v>563.77396999999996</c:v>
                </c:pt>
                <c:pt idx="8">
                  <c:v>449.60960999999998</c:v>
                </c:pt>
                <c:pt idx="9">
                  <c:v>321.44963000000001</c:v>
                </c:pt>
                <c:pt idx="10">
                  <c:v>239.81246999999999</c:v>
                </c:pt>
                <c:pt idx="11">
                  <c:v>141.15647000000001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DF5-449F-AD14-FA0FEFD586A8}"/>
            </c:ext>
          </c:extLst>
        </c:ser>
        <c:ser>
          <c:idx val="2"/>
          <c:order val="1"/>
          <c:tx>
            <c:strRef>
              <c:f>'05_GRÁF.COMP.MEDIA 4 ÚLT.CAMPAÑ'!$E$44</c:f>
              <c:strCache>
                <c:ptCount val="1"/>
                <c:pt idx="0">
                  <c:v>Media 4 últimas campañas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strRef>
              <c:f>'05_GRÁF.COMP.MEDIA 4 ÚLT.CAMPAÑ'!$C$45:$C$56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ÚLT.CAMPAÑ'!$E$45:$E$56</c:f>
              <c:numCache>
                <c:formatCode>0.0</c:formatCode>
                <c:ptCount val="12"/>
                <c:pt idx="0">
                  <c:v>151.252545</c:v>
                </c:pt>
                <c:pt idx="1">
                  <c:v>286.18027749999999</c:v>
                </c:pt>
                <c:pt idx="2">
                  <c:v>568.81213500000001</c:v>
                </c:pt>
                <c:pt idx="3">
                  <c:v>746.50641000000019</c:v>
                </c:pt>
                <c:pt idx="4">
                  <c:v>741.22116000000005</c:v>
                </c:pt>
                <c:pt idx="5">
                  <c:v>659.80610999999999</c:v>
                </c:pt>
                <c:pt idx="6">
                  <c:v>558.87173499999994</c:v>
                </c:pt>
                <c:pt idx="7">
                  <c:v>455.89863750000001</c:v>
                </c:pt>
                <c:pt idx="8">
                  <c:v>367.09438750000004</c:v>
                </c:pt>
                <c:pt idx="9">
                  <c:v>289.52749499999999</c:v>
                </c:pt>
                <c:pt idx="10">
                  <c:v>227.78580249999999</c:v>
                </c:pt>
                <c:pt idx="11">
                  <c:v>150.88426000000001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DF5-449F-AD14-FA0FEFD58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736431"/>
        <c:axId val="1"/>
      </c:lineChart>
      <c:catAx>
        <c:axId val="212873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8736431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850508514997091"/>
          <c:y val="6.1335193860261136E-2"/>
          <c:w val="0.37813257162352171"/>
          <c:h val="0.200870911212098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840474988450816E-2"/>
          <c:y val="5.2805450718887682E-2"/>
          <c:w val="0.8143728448821983"/>
          <c:h val="0.7523354700059367"/>
        </c:manualLayout>
      </c:layout>
      <c:lineChart>
        <c:grouping val="standard"/>
        <c:varyColors val="0"/>
        <c:ser>
          <c:idx val="0"/>
          <c:order val="0"/>
          <c:tx>
            <c:strRef>
              <c:f>'05_GRÁF.COMP.MEDIA 4 ÚLT.CAMPAÑ'!$D$26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dPt>
            <c:idx val="4"/>
            <c:bubble3D val="0"/>
            <c:spPr>
              <a:ln w="12700">
                <a:solidFill>
                  <a:srgbClr val="00FF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1-7FE0-42D6-8D58-45728DF9B092}"/>
              </c:ext>
            </c:extLst>
          </c:dPt>
          <c:cat>
            <c:strRef>
              <c:f>'05_GRÁF.COMP.MEDIA 4 ÚLT.CAMPAÑ'!$C$27:$C$38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ÚLT.CAMPAÑ'!$D$27:$D$38</c:f>
              <c:numCache>
                <c:formatCode>0.0</c:formatCode>
                <c:ptCount val="12"/>
                <c:pt idx="0">
                  <c:v>38.408901540294202</c:v>
                </c:pt>
                <c:pt idx="1">
                  <c:v>40.438747368009544</c:v>
                </c:pt>
                <c:pt idx="2">
                  <c:v>54.225039957053212</c:v>
                </c:pt>
                <c:pt idx="3">
                  <c:v>49.430284128360796</c:v>
                </c:pt>
                <c:pt idx="4">
                  <c:v>40.568916641591116</c:v>
                </c:pt>
                <c:pt idx="5">
                  <c:v>43.606513839920041</c:v>
                </c:pt>
                <c:pt idx="6">
                  <c:v>35.672966110545204</c:v>
                </c:pt>
                <c:pt idx="7">
                  <c:v>36.885763834672744</c:v>
                </c:pt>
                <c:pt idx="8">
                  <c:v>37.955560000000105</c:v>
                </c:pt>
                <c:pt idx="9">
                  <c:v>37.736179999999948</c:v>
                </c:pt>
                <c:pt idx="10">
                  <c:v>35.512659999999983</c:v>
                </c:pt>
                <c:pt idx="11">
                  <c:v>32.33750000000002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FE0-42D6-8D58-45728DF9B092}"/>
            </c:ext>
          </c:extLst>
        </c:ser>
        <c:ser>
          <c:idx val="2"/>
          <c:order val="1"/>
          <c:tx>
            <c:strRef>
              <c:f>'05_GRÁF.COMP.MEDIA 4 ÚLT.CAMPAÑ'!$E$26</c:f>
              <c:strCache>
                <c:ptCount val="1"/>
                <c:pt idx="0">
                  <c:v>Media 4 últimas campañas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strRef>
              <c:f>'05_GRÁF.COMP.MEDIA 4 ÚLT.CAMPAÑ'!$C$27:$C$38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ÚLT.CAMPAÑ'!$E$27:$E$38</c:f>
              <c:numCache>
                <c:formatCode>0.0</c:formatCode>
                <c:ptCount val="12"/>
                <c:pt idx="0">
                  <c:v>39.598295499999992</c:v>
                </c:pt>
                <c:pt idx="1">
                  <c:v>46.175235500000021</c:v>
                </c:pt>
                <c:pt idx="2">
                  <c:v>43.731409499999884</c:v>
                </c:pt>
                <c:pt idx="3">
                  <c:v>37.457295250000044</c:v>
                </c:pt>
                <c:pt idx="4">
                  <c:v>38.724369750000065</c:v>
                </c:pt>
                <c:pt idx="5">
                  <c:v>45.567181749999925</c:v>
                </c:pt>
                <c:pt idx="6">
                  <c:v>39.030983499999969</c:v>
                </c:pt>
                <c:pt idx="7">
                  <c:v>36.658482249999963</c:v>
                </c:pt>
                <c:pt idx="8">
                  <c:v>34.894250000000042</c:v>
                </c:pt>
                <c:pt idx="9">
                  <c:v>34.849258249999977</c:v>
                </c:pt>
                <c:pt idx="10">
                  <c:v>37.709520500000039</c:v>
                </c:pt>
                <c:pt idx="11">
                  <c:v>37.097424500000002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FE0-42D6-8D58-45728DF9B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736431"/>
        <c:axId val="1"/>
      </c:lineChart>
      <c:catAx>
        <c:axId val="212873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40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8736431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850508514997091"/>
          <c:y val="6.1335193860261136E-2"/>
          <c:w val="0.37813257162352171"/>
          <c:h val="0.200870911212098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083639545056885E-2"/>
          <c:y val="5.2434055958715281E-2"/>
          <c:w val="0.76278118501518966"/>
          <c:h val="0.818083068563797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'09_ALMAZ.PROD. POR CAMYTIPO '!$B$40</c:f>
              <c:strCache>
                <c:ptCount val="1"/>
                <c:pt idx="0">
                  <c:v>% Nº Empresas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chemeClr val="accent2">
                  <a:lumMod val="50000"/>
                </a:schemeClr>
              </a:solidFill>
              <a:prstDash val="solid"/>
            </a:ln>
          </c:spPr>
          <c:invertIfNegative val="0"/>
          <c:cat>
            <c:strRef>
              <c:f>'09_ALMAZ.PROD. POR CAMYTIPO '!$C$39:$G$39</c:f>
              <c:strCache>
                <c:ptCount val="5"/>
                <c:pt idx="0">
                  <c:v>20/21</c:v>
                </c:pt>
                <c:pt idx="1">
                  <c:v>21/22</c:v>
                </c:pt>
                <c:pt idx="2">
                  <c:v>22/23</c:v>
                </c:pt>
                <c:pt idx="3">
                  <c:v>23/24</c:v>
                </c:pt>
                <c:pt idx="4">
                  <c:v>24/25</c:v>
                </c:pt>
              </c:strCache>
            </c:strRef>
          </c:cat>
          <c:val>
            <c:numRef>
              <c:f>'09_ALMAZ.PROD. POR CAMYTIPO '!$C$40:$G$40</c:f>
              <c:numCache>
                <c:formatCode>#0.00</c:formatCode>
                <c:ptCount val="5"/>
                <c:pt idx="0">
                  <c:v>49.890470974808323</c:v>
                </c:pt>
                <c:pt idx="1">
                  <c:v>50.244698205546491</c:v>
                </c:pt>
                <c:pt idx="2">
                  <c:v>50.109170305676855</c:v>
                </c:pt>
                <c:pt idx="3">
                  <c:v>50.59912854030501</c:v>
                </c:pt>
                <c:pt idx="4">
                  <c:v>50.847457627118644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B-4478-A3AB-6122509A8998}"/>
            </c:ext>
          </c:extLst>
        </c:ser>
        <c:ser>
          <c:idx val="1"/>
          <c:order val="1"/>
          <c:tx>
            <c:strRef>
              <c:f>'09_ALMAZ.PROD. POR CAMYTIPO '!$B$41</c:f>
              <c:strCache>
                <c:ptCount val="1"/>
                <c:pt idx="0">
                  <c:v>% Producción</c:v>
                </c:pt>
              </c:strCache>
            </c:strRef>
          </c:tx>
          <c:spPr>
            <a:solidFill>
              <a:schemeClr val="accent4"/>
            </a:solidFill>
            <a:ln w="9525">
              <a:solidFill>
                <a:schemeClr val="accent4"/>
              </a:solidFill>
              <a:prstDash val="solid"/>
            </a:ln>
          </c:spPr>
          <c:invertIfNegative val="0"/>
          <c:cat>
            <c:strRef>
              <c:f>'09_ALMAZ.PROD. POR CAMYTIPO '!$C$39:$G$39</c:f>
              <c:strCache>
                <c:ptCount val="5"/>
                <c:pt idx="0">
                  <c:v>20/21</c:v>
                </c:pt>
                <c:pt idx="1">
                  <c:v>21/22</c:v>
                </c:pt>
                <c:pt idx="2">
                  <c:v>22/23</c:v>
                </c:pt>
                <c:pt idx="3">
                  <c:v>23/24</c:v>
                </c:pt>
                <c:pt idx="4">
                  <c:v>24/25</c:v>
                </c:pt>
              </c:strCache>
            </c:strRef>
          </c:cat>
          <c:val>
            <c:numRef>
              <c:f>'09_ALMAZ.PROD. POR CAMYTIPO '!$C$41:$G$41</c:f>
              <c:numCache>
                <c:formatCode>#0.00</c:formatCode>
                <c:ptCount val="5"/>
                <c:pt idx="0">
                  <c:v>34.581687792528108</c:v>
                </c:pt>
                <c:pt idx="1">
                  <c:v>35.30689886600527</c:v>
                </c:pt>
                <c:pt idx="2">
                  <c:v>40.960746697965241</c:v>
                </c:pt>
                <c:pt idx="3">
                  <c:v>41.148596864490401</c:v>
                </c:pt>
                <c:pt idx="4">
                  <c:v>36.446664682706015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B-4478-A3AB-6122509A8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53032512"/>
        <c:axId val="1653030336"/>
      </c:barChart>
      <c:catAx>
        <c:axId val="165303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 anchor="t" anchorCtr="0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653030336"/>
        <c:crosses val="autoZero"/>
        <c:auto val="1"/>
        <c:lblAlgn val="ctr"/>
        <c:lblOffset val="100"/>
        <c:noMultiLvlLbl val="0"/>
      </c:catAx>
      <c:valAx>
        <c:axId val="1653030336"/>
        <c:scaling>
          <c:orientation val="minMax"/>
          <c:max val="80"/>
          <c:min val="20"/>
        </c:scaling>
        <c:delete val="0"/>
        <c:axPos val="l"/>
        <c:majorGridlines>
          <c:spPr>
            <a:ln w="317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653032512"/>
        <c:crosses val="autoZero"/>
        <c:crossBetween val="between"/>
        <c:majorUnit val="10"/>
      </c:valAx>
      <c:spPr>
        <a:noFill/>
      </c:spPr>
    </c:plotArea>
    <c:legend>
      <c:legendPos val="r"/>
      <c:layout>
        <c:manualLayout>
          <c:xMode val="edge"/>
          <c:yMode val="edge"/>
          <c:x val="0.83881595202609727"/>
          <c:y val="0.42242436800663075"/>
          <c:w val="0.1500617699169513"/>
          <c:h val="0.182839250356863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083639545056885E-2"/>
          <c:y val="5.2434055958715281E-2"/>
          <c:w val="0.76278118501518966"/>
          <c:h val="0.818083068563797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'09_ALMAZ.PROD. POR CAMYTIPO '!$B$22</c:f>
              <c:strCache>
                <c:ptCount val="1"/>
                <c:pt idx="0">
                  <c:v>% Nº Empresas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</c:spPr>
          <c:invertIfNegative val="0"/>
          <c:cat>
            <c:strRef>
              <c:f>'09_ALMAZ.PROD. POR CAMYTIPO '!$C$21:$G$21</c:f>
              <c:strCache>
                <c:ptCount val="5"/>
                <c:pt idx="0">
                  <c:v>20/21</c:v>
                </c:pt>
                <c:pt idx="1">
                  <c:v>21/22</c:v>
                </c:pt>
                <c:pt idx="2">
                  <c:v>22/23</c:v>
                </c:pt>
                <c:pt idx="3">
                  <c:v>23/24</c:v>
                </c:pt>
                <c:pt idx="4">
                  <c:v>24/25</c:v>
                </c:pt>
              </c:strCache>
            </c:strRef>
          </c:cat>
          <c:val>
            <c:numRef>
              <c:f>'09_ALMAZ.PROD. POR CAMYTIPO '!$C$22:$G$22</c:f>
              <c:numCache>
                <c:formatCode>#0.00</c:formatCode>
                <c:ptCount val="5"/>
                <c:pt idx="0">
                  <c:v>50.109529025191677</c:v>
                </c:pt>
                <c:pt idx="1">
                  <c:v>49.755301794453509</c:v>
                </c:pt>
                <c:pt idx="2">
                  <c:v>49.890829694323145</c:v>
                </c:pt>
                <c:pt idx="3">
                  <c:v>49.40087145969499</c:v>
                </c:pt>
                <c:pt idx="4">
                  <c:v>49.152542372881356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3-4AAE-90B0-DD5E384A7825}"/>
            </c:ext>
          </c:extLst>
        </c:ser>
        <c:ser>
          <c:idx val="1"/>
          <c:order val="1"/>
          <c:tx>
            <c:strRef>
              <c:f>'09_ALMAZ.PROD. POR CAMYTIPO '!$B$23</c:f>
              <c:strCache>
                <c:ptCount val="1"/>
                <c:pt idx="0">
                  <c:v>% Producción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/>
              </a:solidFill>
            </a:ln>
          </c:spPr>
          <c:invertIfNegative val="0"/>
          <c:cat>
            <c:strRef>
              <c:f>'09_ALMAZ.PROD. POR CAMYTIPO '!$C$21:$G$21</c:f>
              <c:strCache>
                <c:ptCount val="5"/>
                <c:pt idx="0">
                  <c:v>20/21</c:v>
                </c:pt>
                <c:pt idx="1">
                  <c:v>21/22</c:v>
                </c:pt>
                <c:pt idx="2">
                  <c:v>22/23</c:v>
                </c:pt>
                <c:pt idx="3">
                  <c:v>23/24</c:v>
                </c:pt>
                <c:pt idx="4">
                  <c:v>24/25</c:v>
                </c:pt>
              </c:strCache>
            </c:strRef>
          </c:cat>
          <c:val>
            <c:numRef>
              <c:f>'09_ALMAZ.PROD. POR CAMYTIPO '!$C$23:$G$23</c:f>
              <c:numCache>
                <c:formatCode>#0.00</c:formatCode>
                <c:ptCount val="5"/>
                <c:pt idx="0">
                  <c:v>65.418312207471885</c:v>
                </c:pt>
                <c:pt idx="1">
                  <c:v>64.69310113399473</c:v>
                </c:pt>
                <c:pt idx="2">
                  <c:v>59.039253302034759</c:v>
                </c:pt>
                <c:pt idx="3">
                  <c:v>58.851403135509599</c:v>
                </c:pt>
                <c:pt idx="4">
                  <c:v>63.553335317293985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33-4AAE-90B0-DD5E384A7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53039040"/>
        <c:axId val="1653033056"/>
      </c:barChart>
      <c:catAx>
        <c:axId val="165303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 anchor="t" anchorCtr="0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653033056"/>
        <c:crosses val="autoZero"/>
        <c:auto val="1"/>
        <c:lblAlgn val="ctr"/>
        <c:lblOffset val="100"/>
        <c:noMultiLvlLbl val="0"/>
      </c:catAx>
      <c:valAx>
        <c:axId val="1653033056"/>
        <c:scaling>
          <c:orientation val="minMax"/>
          <c:max val="80"/>
          <c:min val="20"/>
        </c:scaling>
        <c:delete val="0"/>
        <c:axPos val="l"/>
        <c:majorGridlines>
          <c:spPr>
            <a:ln w="317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653039040"/>
        <c:crosses val="autoZero"/>
        <c:crossBetween val="between"/>
        <c:majorUnit val="10"/>
      </c:valAx>
      <c:spPr>
        <a:noFill/>
      </c:spPr>
    </c:plotArea>
    <c:legend>
      <c:legendPos val="r"/>
      <c:layout>
        <c:manualLayout>
          <c:xMode val="edge"/>
          <c:yMode val="edge"/>
          <c:x val="0.84106426496019104"/>
          <c:y val="0.41072846157388221"/>
          <c:w val="0.14827868924411206"/>
          <c:h val="0.1946641691814955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85725</xdr:rowOff>
    </xdr:from>
    <xdr:ext cx="2433320" cy="552450"/>
    <xdr:pic>
      <xdr:nvPicPr>
        <xdr:cNvPr id="2" name="Imagen 6">
          <a:extLst>
            <a:ext uri="{FF2B5EF4-FFF2-40B4-BE49-F238E27FC236}">
              <a16:creationId xmlns:a16="http://schemas.microsoft.com/office/drawing/2014/main" id="{A3F668BF-1148-4933-BEFE-7B91D34CA6F9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2433320" cy="552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352880</xdr:colOff>
      <xdr:row>21</xdr:row>
      <xdr:rowOff>3174</xdr:rowOff>
    </xdr:from>
    <xdr:to>
      <xdr:col>7</xdr:col>
      <xdr:colOff>352880</xdr:colOff>
      <xdr:row>22</xdr:row>
      <xdr:rowOff>7256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C399D60-CB2E-4E24-8999-90E7507A6019}"/>
            </a:ext>
          </a:extLst>
        </xdr:cNvPr>
        <xdr:cNvSpPr>
          <a:spLocks noChangeArrowheads="1"/>
        </xdr:cNvSpPr>
      </xdr:nvSpPr>
      <xdr:spPr bwMode="auto">
        <a:xfrm>
          <a:off x="3142344" y="4452710"/>
          <a:ext cx="5687786" cy="1809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  <xdr:txBody>
        <a:bodyPr/>
        <a:lstStyle/>
        <a:p>
          <a:endParaRPr lang="es-E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5383</xdr:colOff>
      <xdr:row>22</xdr:row>
      <xdr:rowOff>191253</xdr:rowOff>
    </xdr:from>
    <xdr:to>
      <xdr:col>14</xdr:col>
      <xdr:colOff>24433</xdr:colOff>
      <xdr:row>36</xdr:row>
      <xdr:rowOff>170967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8411EE-F95D-4EB9-A18B-ECC7990FA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812585</xdr:colOff>
      <xdr:row>40</xdr:row>
      <xdr:rowOff>20289</xdr:rowOff>
    </xdr:from>
    <xdr:to>
      <xdr:col>14</xdr:col>
      <xdr:colOff>91483</xdr:colOff>
      <xdr:row>54</xdr:row>
      <xdr:rowOff>10764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2C0C63-6ADD-4A5E-B619-196D30D2B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811349</xdr:colOff>
      <xdr:row>57</xdr:row>
      <xdr:rowOff>10493</xdr:rowOff>
    </xdr:from>
    <xdr:to>
      <xdr:col>14</xdr:col>
      <xdr:colOff>0</xdr:colOff>
      <xdr:row>71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70D9C0D-60F1-4631-B085-1A54F8A06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807205</xdr:colOff>
      <xdr:row>73</xdr:row>
      <xdr:rowOff>160204</xdr:rowOff>
    </xdr:from>
    <xdr:to>
      <xdr:col>14</xdr:col>
      <xdr:colOff>-1</xdr:colOff>
      <xdr:row>87</xdr:row>
      <xdr:rowOff>171666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2548110-937B-4B98-BE7F-1987FBFA3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5381</xdr:colOff>
      <xdr:row>6</xdr:row>
      <xdr:rowOff>43051</xdr:rowOff>
    </xdr:from>
    <xdr:to>
      <xdr:col>14</xdr:col>
      <xdr:colOff>14906</xdr:colOff>
      <xdr:row>20</xdr:row>
      <xdr:rowOff>39822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C758BDE9-C0DF-4B61-8C08-561EF7F73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131762</xdr:colOff>
      <xdr:row>6</xdr:row>
      <xdr:rowOff>9525</xdr:rowOff>
    </xdr:from>
    <xdr:to>
      <xdr:col>16</xdr:col>
      <xdr:colOff>845343</xdr:colOff>
      <xdr:row>21</xdr:row>
      <xdr:rowOff>0</xdr:rowOff>
    </xdr:to>
    <xdr:graphicFrame macro="">
      <xdr:nvGraphicFramePr>
        <xdr:cNvPr id="2" name="Gráfico 4">
          <a:extLst>
            <a:ext uri="{FF2B5EF4-FFF2-40B4-BE49-F238E27FC236}">
              <a16:creationId xmlns:a16="http://schemas.microsoft.com/office/drawing/2014/main" id="{17F8BF8C-F98E-4398-8467-40E40FEF7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114301</xdr:colOff>
      <xdr:row>23</xdr:row>
      <xdr:rowOff>11905</xdr:rowOff>
    </xdr:from>
    <xdr:to>
      <xdr:col>16</xdr:col>
      <xdr:colOff>878417</xdr:colOff>
      <xdr:row>37</xdr:row>
      <xdr:rowOff>285750</xdr:rowOff>
    </xdr:to>
    <xdr:graphicFrame macro="">
      <xdr:nvGraphicFramePr>
        <xdr:cNvPr id="3" name="Gráfico 5">
          <a:extLst>
            <a:ext uri="{FF2B5EF4-FFF2-40B4-BE49-F238E27FC236}">
              <a16:creationId xmlns:a16="http://schemas.microsoft.com/office/drawing/2014/main" id="{1F03FBFA-02AA-4C22-AFA0-2BA70E6B9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107156</xdr:colOff>
      <xdr:row>39</xdr:row>
      <xdr:rowOff>197645</xdr:rowOff>
    </xdr:from>
    <xdr:to>
      <xdr:col>16</xdr:col>
      <xdr:colOff>845343</xdr:colOff>
      <xdr:row>53</xdr:row>
      <xdr:rowOff>166687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E8468E1-EDB3-4835-BA9D-DCC5DDC2AD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4081</xdr:colOff>
      <xdr:row>6</xdr:row>
      <xdr:rowOff>12701</xdr:rowOff>
    </xdr:from>
    <xdr:to>
      <xdr:col>7</xdr:col>
      <xdr:colOff>54430</xdr:colOff>
      <xdr:row>21</xdr:row>
      <xdr:rowOff>12701</xdr:rowOff>
    </xdr:to>
    <xdr:graphicFrame macro="">
      <xdr:nvGraphicFramePr>
        <xdr:cNvPr id="2" name="Gráfico 4">
          <a:extLst>
            <a:ext uri="{FF2B5EF4-FFF2-40B4-BE49-F238E27FC236}">
              <a16:creationId xmlns:a16="http://schemas.microsoft.com/office/drawing/2014/main" id="{FC648322-32EF-4987-8D67-4A8DDFCF5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711653</xdr:colOff>
      <xdr:row>6</xdr:row>
      <xdr:rowOff>6350</xdr:rowOff>
    </xdr:from>
    <xdr:to>
      <xdr:col>14</xdr:col>
      <xdr:colOff>13607</xdr:colOff>
      <xdr:row>21</xdr:row>
      <xdr:rowOff>0</xdr:rowOff>
    </xdr:to>
    <xdr:graphicFrame macro="">
      <xdr:nvGraphicFramePr>
        <xdr:cNvPr id="3" name="Gráfico 4">
          <a:extLst>
            <a:ext uri="{FF2B5EF4-FFF2-40B4-BE49-F238E27FC236}">
              <a16:creationId xmlns:a16="http://schemas.microsoft.com/office/drawing/2014/main" id="{DF6DFE21-F385-4DEA-9461-F843A7BCF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711653</xdr:colOff>
      <xdr:row>23</xdr:row>
      <xdr:rowOff>163285</xdr:rowOff>
    </xdr:from>
    <xdr:to>
      <xdr:col>14</xdr:col>
      <xdr:colOff>10431</xdr:colOff>
      <xdr:row>39</xdr:row>
      <xdr:rowOff>13607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57892400-7B96-4BE1-852F-1C1163058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711653</xdr:colOff>
      <xdr:row>41</xdr:row>
      <xdr:rowOff>173719</xdr:rowOff>
    </xdr:from>
    <xdr:to>
      <xdr:col>14</xdr:col>
      <xdr:colOff>0</xdr:colOff>
      <xdr:row>56</xdr:row>
      <xdr:rowOff>164194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B86018D-84A8-4BB1-9AF5-B69EA16EB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707572</xdr:colOff>
      <xdr:row>60</xdr:row>
      <xdr:rowOff>2</xdr:rowOff>
    </xdr:from>
    <xdr:to>
      <xdr:col>14</xdr:col>
      <xdr:colOff>10432</xdr:colOff>
      <xdr:row>74</xdr:row>
      <xdr:rowOff>170545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EBC991E-DEFF-451E-817F-91B323DF7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798739</xdr:colOff>
      <xdr:row>59</xdr:row>
      <xdr:rowOff>172811</xdr:rowOff>
    </xdr:from>
    <xdr:to>
      <xdr:col>7</xdr:col>
      <xdr:colOff>10432</xdr:colOff>
      <xdr:row>75</xdr:row>
      <xdr:rowOff>13608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1B6AEB0-2121-4F8A-9AB4-5B1DCE343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19957</xdr:colOff>
      <xdr:row>42</xdr:row>
      <xdr:rowOff>0</xdr:rowOff>
    </xdr:from>
    <xdr:to>
      <xdr:col>7</xdr:col>
      <xdr:colOff>144236</xdr:colOff>
      <xdr:row>56</xdr:row>
      <xdr:rowOff>161018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FD726D3-292A-454E-8885-996795CF1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802822</xdr:colOff>
      <xdr:row>23</xdr:row>
      <xdr:rowOff>149678</xdr:rowOff>
    </xdr:from>
    <xdr:to>
      <xdr:col>7</xdr:col>
      <xdr:colOff>14515</xdr:colOff>
      <xdr:row>38</xdr:row>
      <xdr:rowOff>157842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D19D802-1BFA-40D2-AA63-C2A8EAE9D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819149</xdr:colOff>
      <xdr:row>26</xdr:row>
      <xdr:rowOff>1</xdr:rowOff>
    </xdr:from>
    <xdr:to>
      <xdr:col>6</xdr:col>
      <xdr:colOff>1019174</xdr:colOff>
      <xdr:row>37</xdr:row>
      <xdr:rowOff>76201</xdr:rowOff>
    </xdr:to>
    <xdr:graphicFrame macro="">
      <xdr:nvGraphicFramePr>
        <xdr:cNvPr id="2" name="Gráfico 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7</xdr:row>
      <xdr:rowOff>180975</xdr:rowOff>
    </xdr:from>
    <xdr:to>
      <xdr:col>7</xdr:col>
      <xdr:colOff>0</xdr:colOff>
      <xdr:row>19</xdr:row>
      <xdr:rowOff>57150</xdr:rowOff>
    </xdr:to>
    <xdr:graphicFrame macro="">
      <xdr:nvGraphicFramePr>
        <xdr:cNvPr id="3" name="Gráfico 8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342900</xdr:colOff>
      <xdr:row>15</xdr:row>
      <xdr:rowOff>38100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1677650" y="289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twoCellAnchor editAs="oneCell">
    <xdr:from>
      <xdr:col>0</xdr:col>
      <xdr:colOff>284655</xdr:colOff>
      <xdr:row>15</xdr:row>
      <xdr:rowOff>163161</xdr:rowOff>
    </xdr:from>
    <xdr:to>
      <xdr:col>13</xdr:col>
      <xdr:colOff>733534</xdr:colOff>
      <xdr:row>37</xdr:row>
      <xdr:rowOff>159010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145DAD-3541-41E0-8866-5626DA1E19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2623" r="138" b="9928"/>
        <a:stretch/>
      </xdr:blipFill>
      <xdr:spPr>
        <a:xfrm>
          <a:off x="284655" y="3272471"/>
          <a:ext cx="12054051" cy="435326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283104</xdr:colOff>
      <xdr:row>15</xdr:row>
      <xdr:rowOff>4580</xdr:rowOff>
    </xdr:from>
    <xdr:to>
      <xdr:col>14</xdr:col>
      <xdr:colOff>244274</xdr:colOff>
      <xdr:row>37</xdr:row>
      <xdr:rowOff>409395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4DC0C66-3BB0-46DF-A4C1-A1A62F4BD3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1023"/>
        <a:stretch/>
      </xdr:blipFill>
      <xdr:spPr>
        <a:xfrm>
          <a:off x="283104" y="3183549"/>
          <a:ext cx="12855639" cy="48577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page.mpr.gob.es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D4A4-E4D0-4DA9-9141-9926E12261BE}">
  <dimension ref="A1:Q112"/>
  <sheetViews>
    <sheetView tabSelected="1" view="pageBreakPreview" zoomScale="55" zoomScaleNormal="100" zoomScaleSheetLayoutView="55" workbookViewId="0">
      <selection activeCell="H21" sqref="H21"/>
    </sheetView>
  </sheetViews>
  <sheetFormatPr baseColWidth="10" defaultColWidth="11.42578125" defaultRowHeight="15" x14ac:dyDescent="0.25"/>
  <sheetData>
    <row r="1" spans="1:17" x14ac:dyDescent="0.25">
      <c r="A1" s="301"/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</row>
    <row r="2" spans="1:17" x14ac:dyDescent="0.25">
      <c r="A2" s="301"/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</row>
    <row r="3" spans="1:17" x14ac:dyDescent="0.25">
      <c r="A3" s="301"/>
      <c r="B3" s="301"/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</row>
    <row r="4" spans="1:17" x14ac:dyDescent="0.25">
      <c r="A4" s="301"/>
      <c r="B4" s="301"/>
      <c r="C4" s="301"/>
      <c r="D4" s="301"/>
      <c r="E4" s="301"/>
      <c r="F4" s="301"/>
      <c r="G4" s="301"/>
      <c r="H4" s="301"/>
      <c r="I4" s="301"/>
      <c r="J4" s="301"/>
      <c r="K4" s="301"/>
      <c r="L4" s="301"/>
      <c r="M4" s="301"/>
      <c r="N4" s="301"/>
      <c r="O4" s="301"/>
      <c r="P4" s="301"/>
      <c r="Q4" s="301"/>
    </row>
    <row r="5" spans="1:17" x14ac:dyDescent="0.25">
      <c r="A5" s="301"/>
      <c r="B5" s="301"/>
      <c r="C5" s="301"/>
      <c r="D5" s="301"/>
      <c r="E5" s="301"/>
      <c r="F5" s="301"/>
      <c r="G5" s="301"/>
      <c r="H5" s="301"/>
      <c r="I5" s="301"/>
      <c r="J5" s="301"/>
      <c r="K5" s="301"/>
      <c r="L5" s="301"/>
      <c r="M5" s="301"/>
      <c r="N5" s="301"/>
      <c r="O5" s="301"/>
      <c r="P5" s="301"/>
      <c r="Q5" s="301"/>
    </row>
    <row r="6" spans="1:17" x14ac:dyDescent="0.25">
      <c r="A6" s="301"/>
      <c r="B6" s="301"/>
      <c r="C6" s="301"/>
      <c r="D6" s="301"/>
      <c r="E6" s="301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01"/>
    </row>
    <row r="7" spans="1:17" x14ac:dyDescent="0.25">
      <c r="A7" s="301"/>
      <c r="B7" s="301"/>
      <c r="C7" s="301"/>
      <c r="D7" s="301"/>
      <c r="E7" s="301"/>
      <c r="F7" s="301"/>
      <c r="G7" s="301"/>
      <c r="H7" s="301"/>
      <c r="I7" s="301"/>
      <c r="J7" s="301"/>
      <c r="K7" s="301"/>
      <c r="L7" s="301"/>
      <c r="M7" s="301"/>
      <c r="N7" s="301"/>
      <c r="O7" s="301"/>
      <c r="P7" s="301"/>
      <c r="Q7" s="301"/>
    </row>
    <row r="8" spans="1:17" x14ac:dyDescent="0.25">
      <c r="A8" s="301"/>
      <c r="B8" s="301"/>
      <c r="C8" s="301"/>
      <c r="D8" s="301"/>
      <c r="E8" s="301"/>
      <c r="F8" s="301"/>
      <c r="G8" s="301"/>
      <c r="H8" s="301"/>
      <c r="I8" s="301"/>
      <c r="J8" s="301"/>
      <c r="K8" s="301"/>
      <c r="L8" s="301"/>
      <c r="M8" s="301"/>
      <c r="N8" s="301"/>
      <c r="O8" s="301"/>
      <c r="P8" s="301"/>
      <c r="Q8" s="301"/>
    </row>
    <row r="9" spans="1:17" x14ac:dyDescent="0.25">
      <c r="A9" s="301"/>
      <c r="B9" s="301"/>
      <c r="C9" s="301"/>
      <c r="D9" s="301"/>
      <c r="E9" s="301"/>
      <c r="F9" s="301"/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</row>
    <row r="10" spans="1:17" ht="33.75" customHeight="1" x14ac:dyDescent="0.25">
      <c r="A10" s="301"/>
      <c r="B10" s="301"/>
      <c r="C10" s="301"/>
      <c r="D10" s="460" t="s">
        <v>237</v>
      </c>
      <c r="E10" s="460"/>
      <c r="F10" s="460"/>
      <c r="G10" s="460"/>
      <c r="H10" s="460"/>
      <c r="I10" s="460"/>
      <c r="J10" s="460"/>
      <c r="K10" s="460"/>
      <c r="L10" s="301"/>
      <c r="M10" s="301"/>
      <c r="N10" s="301"/>
      <c r="O10" s="301"/>
      <c r="P10" s="301"/>
      <c r="Q10" s="302"/>
    </row>
    <row r="11" spans="1:17" ht="57" customHeight="1" x14ac:dyDescent="0.25">
      <c r="A11" s="301"/>
      <c r="B11" s="301"/>
      <c r="C11" s="301"/>
      <c r="D11" s="460"/>
      <c r="E11" s="460"/>
      <c r="F11" s="460"/>
      <c r="G11" s="460"/>
      <c r="H11" s="460"/>
      <c r="I11" s="460"/>
      <c r="J11" s="460"/>
      <c r="K11" s="460"/>
      <c r="L11" s="301"/>
      <c r="M11" s="301"/>
      <c r="N11" s="301"/>
      <c r="O11" s="301"/>
      <c r="P11" s="301"/>
      <c r="Q11" s="301"/>
    </row>
    <row r="12" spans="1:17" x14ac:dyDescent="0.25">
      <c r="A12" s="301"/>
      <c r="B12" s="301"/>
      <c r="C12" s="301"/>
      <c r="D12" s="301"/>
      <c r="E12" s="301"/>
      <c r="F12" s="301"/>
      <c r="G12" s="301"/>
      <c r="H12" s="301"/>
      <c r="I12" s="301"/>
      <c r="J12" s="301"/>
      <c r="K12" s="301"/>
      <c r="L12" s="301"/>
      <c r="M12" s="301"/>
      <c r="N12" s="301"/>
      <c r="O12" s="301"/>
      <c r="P12" s="301"/>
      <c r="Q12" s="301"/>
    </row>
    <row r="13" spans="1:17" x14ac:dyDescent="0.25">
      <c r="A13" s="301"/>
      <c r="B13" s="301"/>
      <c r="C13" s="301"/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1"/>
      <c r="P13" s="301"/>
      <c r="Q13" s="301"/>
    </row>
    <row r="14" spans="1:17" x14ac:dyDescent="0.25">
      <c r="A14" s="301"/>
      <c r="B14" s="301"/>
      <c r="C14" s="301"/>
      <c r="D14" s="301"/>
      <c r="E14" s="301"/>
      <c r="F14" s="301"/>
      <c r="G14" s="301"/>
      <c r="H14" s="301"/>
      <c r="I14" s="301"/>
      <c r="J14" s="301"/>
      <c r="K14" s="301"/>
      <c r="L14" s="301"/>
      <c r="M14" s="301"/>
      <c r="N14" s="301"/>
      <c r="O14" s="301"/>
      <c r="P14" s="301"/>
      <c r="Q14" s="301"/>
    </row>
    <row r="15" spans="1:17" ht="33.75" x14ac:dyDescent="0.25">
      <c r="A15" s="301"/>
      <c r="B15" s="301"/>
      <c r="C15" s="301"/>
      <c r="D15" s="301"/>
      <c r="E15" s="301"/>
      <c r="F15" s="301"/>
      <c r="G15" s="303" t="s">
        <v>232</v>
      </c>
      <c r="H15" s="301"/>
      <c r="I15" s="301"/>
      <c r="J15" s="301"/>
      <c r="K15" s="301"/>
      <c r="L15" s="301"/>
      <c r="M15" s="301"/>
      <c r="N15" s="301"/>
      <c r="O15" s="301"/>
      <c r="P15" s="301"/>
      <c r="Q15" s="301"/>
    </row>
    <row r="16" spans="1:17" ht="28.5" x14ac:dyDescent="0.25">
      <c r="A16" s="301"/>
      <c r="B16" s="301"/>
      <c r="C16" s="301"/>
      <c r="D16" s="301"/>
      <c r="E16" s="301"/>
      <c r="F16" s="301"/>
      <c r="G16" s="304"/>
      <c r="H16" s="301"/>
      <c r="I16" s="301"/>
      <c r="J16" s="301"/>
      <c r="K16" s="301"/>
      <c r="L16" s="301"/>
      <c r="M16" s="301"/>
      <c r="N16" s="301"/>
      <c r="O16" s="301"/>
      <c r="P16" s="301"/>
      <c r="Q16" s="301"/>
    </row>
    <row r="17" spans="1:17" ht="28.5" x14ac:dyDescent="0.25">
      <c r="A17" s="301"/>
      <c r="B17" s="301"/>
      <c r="C17" s="301"/>
      <c r="D17" s="301"/>
      <c r="E17" s="301"/>
      <c r="F17" s="301"/>
      <c r="G17" s="305"/>
      <c r="H17" s="306"/>
      <c r="I17" s="301"/>
      <c r="J17" s="301"/>
      <c r="K17" s="301"/>
      <c r="L17" s="301"/>
      <c r="M17" s="301"/>
      <c r="N17" s="301"/>
      <c r="O17" s="301"/>
      <c r="P17" s="301"/>
      <c r="Q17" s="301"/>
    </row>
    <row r="18" spans="1:17" ht="28.5" x14ac:dyDescent="0.25">
      <c r="A18" s="301"/>
      <c r="B18" s="301"/>
      <c r="C18" s="301"/>
      <c r="D18" s="301"/>
      <c r="E18" s="301"/>
      <c r="F18" s="301"/>
      <c r="G18" s="306" t="s">
        <v>238</v>
      </c>
      <c r="H18" s="301"/>
      <c r="I18" s="301"/>
      <c r="J18" s="301"/>
      <c r="K18" s="301"/>
      <c r="L18" s="301"/>
      <c r="M18" s="301"/>
      <c r="N18" s="301"/>
      <c r="O18" s="301"/>
      <c r="P18" s="301"/>
      <c r="Q18" s="301"/>
    </row>
    <row r="19" spans="1:17" x14ac:dyDescent="0.25">
      <c r="A19" s="301"/>
      <c r="B19" s="301"/>
      <c r="C19" s="301"/>
      <c r="D19" s="301"/>
      <c r="E19" s="301"/>
      <c r="F19" s="301"/>
      <c r="G19" s="301"/>
      <c r="H19" s="301"/>
      <c r="I19" s="301"/>
      <c r="J19" s="301"/>
      <c r="K19" s="301"/>
      <c r="L19" s="301"/>
      <c r="M19" s="301"/>
      <c r="N19" s="301"/>
      <c r="O19" s="301"/>
      <c r="P19" s="301"/>
      <c r="Q19" s="301"/>
    </row>
    <row r="20" spans="1:17" x14ac:dyDescent="0.25">
      <c r="A20" s="301"/>
      <c r="B20" s="301"/>
      <c r="C20" s="301"/>
      <c r="D20" s="301"/>
      <c r="E20" s="301"/>
      <c r="F20" s="301"/>
      <c r="G20" s="301"/>
      <c r="H20" s="301"/>
      <c r="I20" s="301"/>
      <c r="J20" s="301"/>
      <c r="K20" s="301"/>
      <c r="L20" s="301"/>
      <c r="M20" s="301"/>
      <c r="N20" s="301"/>
      <c r="O20" s="301"/>
      <c r="P20" s="301"/>
      <c r="Q20" s="301"/>
    </row>
    <row r="21" spans="1:17" x14ac:dyDescent="0.25">
      <c r="A21" s="301"/>
      <c r="B21" s="301"/>
      <c r="C21" s="301"/>
      <c r="D21" s="301"/>
      <c r="F21" s="301"/>
      <c r="G21" s="301"/>
      <c r="H21" s="301"/>
      <c r="I21" s="301"/>
      <c r="J21" s="301"/>
      <c r="K21" s="301"/>
      <c r="L21" s="301"/>
      <c r="M21" s="301"/>
      <c r="N21" s="301"/>
      <c r="O21" s="301"/>
      <c r="P21" s="301"/>
      <c r="Q21" s="301"/>
    </row>
    <row r="22" spans="1:17" x14ac:dyDescent="0.25">
      <c r="A22" s="301"/>
      <c r="B22" s="301"/>
      <c r="C22" s="301"/>
      <c r="D22" s="301"/>
      <c r="E22" s="301"/>
      <c r="F22" s="301"/>
      <c r="G22" s="301"/>
      <c r="H22" s="301"/>
      <c r="I22" s="301"/>
      <c r="J22" s="301"/>
      <c r="K22" s="301"/>
      <c r="L22" s="301"/>
      <c r="M22" s="301"/>
      <c r="N22" s="301"/>
      <c r="O22" s="301"/>
      <c r="P22" s="301"/>
      <c r="Q22" s="301"/>
    </row>
    <row r="23" spans="1:17" x14ac:dyDescent="0.25">
      <c r="A23" s="301"/>
      <c r="B23" s="301"/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1"/>
      <c r="N23" s="301"/>
      <c r="O23" s="301"/>
      <c r="P23" s="301"/>
      <c r="Q23" s="301"/>
    </row>
    <row r="24" spans="1:17" x14ac:dyDescent="0.25">
      <c r="A24" s="461" t="s">
        <v>159</v>
      </c>
      <c r="B24" s="461"/>
      <c r="C24" s="461"/>
      <c r="D24" s="461"/>
      <c r="E24" s="461"/>
      <c r="F24" s="461"/>
      <c r="G24" s="461"/>
      <c r="H24" s="461"/>
      <c r="I24" s="461"/>
      <c r="J24" s="461"/>
      <c r="K24" s="461"/>
      <c r="L24" s="461"/>
      <c r="M24" s="461"/>
      <c r="N24" s="461"/>
      <c r="O24" s="461"/>
      <c r="P24" s="461"/>
      <c r="Q24" s="461"/>
    </row>
    <row r="25" spans="1:17" x14ac:dyDescent="0.25">
      <c r="A25" s="461"/>
      <c r="B25" s="461"/>
      <c r="C25" s="461"/>
      <c r="D25" s="461"/>
      <c r="E25" s="461"/>
      <c r="F25" s="461"/>
      <c r="G25" s="461"/>
      <c r="H25" s="461"/>
      <c r="I25" s="461"/>
      <c r="J25" s="461"/>
      <c r="K25" s="461"/>
      <c r="L25" s="461"/>
      <c r="M25" s="461"/>
      <c r="N25" s="461"/>
      <c r="O25" s="461"/>
      <c r="P25" s="461"/>
      <c r="Q25" s="461"/>
    </row>
    <row r="26" spans="1:17" x14ac:dyDescent="0.25">
      <c r="A26" s="461"/>
      <c r="B26" s="461"/>
      <c r="C26" s="461"/>
      <c r="D26" s="461"/>
      <c r="E26" s="461"/>
      <c r="F26" s="461"/>
      <c r="G26" s="461"/>
      <c r="H26" s="461"/>
      <c r="I26" s="461"/>
      <c r="J26" s="461"/>
      <c r="K26" s="461"/>
      <c r="L26" s="461"/>
      <c r="M26" s="461"/>
      <c r="N26" s="461"/>
      <c r="O26" s="461"/>
      <c r="P26" s="461"/>
      <c r="Q26" s="461"/>
    </row>
    <row r="27" spans="1:17" x14ac:dyDescent="0.25">
      <c r="A27" s="461"/>
      <c r="B27" s="461"/>
      <c r="C27" s="461"/>
      <c r="D27" s="461"/>
      <c r="E27" s="461"/>
      <c r="F27" s="461"/>
      <c r="G27" s="461"/>
      <c r="H27" s="461"/>
      <c r="I27" s="461"/>
      <c r="J27" s="461"/>
      <c r="K27" s="461"/>
      <c r="L27" s="461"/>
      <c r="M27" s="461"/>
      <c r="N27" s="461"/>
      <c r="O27" s="461"/>
      <c r="P27" s="461"/>
      <c r="Q27" s="461"/>
    </row>
    <row r="28" spans="1:17" x14ac:dyDescent="0.25">
      <c r="A28" s="461"/>
      <c r="B28" s="461"/>
      <c r="C28" s="461"/>
      <c r="D28" s="461"/>
      <c r="E28" s="461"/>
      <c r="F28" s="461"/>
      <c r="G28" s="461"/>
      <c r="H28" s="461"/>
      <c r="I28" s="461"/>
      <c r="J28" s="461"/>
      <c r="K28" s="461"/>
      <c r="L28" s="461"/>
      <c r="M28" s="461"/>
      <c r="N28" s="461"/>
      <c r="O28" s="461"/>
      <c r="P28" s="461"/>
      <c r="Q28" s="461"/>
    </row>
    <row r="29" spans="1:17" x14ac:dyDescent="0.25">
      <c r="A29" s="461"/>
      <c r="B29" s="461"/>
      <c r="C29" s="461"/>
      <c r="D29" s="461"/>
      <c r="E29" s="461"/>
      <c r="F29" s="461"/>
      <c r="G29" s="461"/>
      <c r="H29" s="461"/>
      <c r="I29" s="461"/>
      <c r="J29" s="461"/>
      <c r="K29" s="461"/>
      <c r="L29" s="461"/>
      <c r="M29" s="461"/>
      <c r="N29" s="461"/>
      <c r="O29" s="461"/>
      <c r="P29" s="461"/>
      <c r="Q29" s="461"/>
    </row>
    <row r="30" spans="1:17" x14ac:dyDescent="0.25">
      <c r="A30" s="461"/>
      <c r="B30" s="461"/>
      <c r="C30" s="461"/>
      <c r="D30" s="461"/>
      <c r="E30" s="461"/>
      <c r="F30" s="461"/>
      <c r="G30" s="461"/>
      <c r="H30" s="461"/>
      <c r="I30" s="461"/>
      <c r="J30" s="461"/>
      <c r="K30" s="461"/>
      <c r="L30" s="461"/>
      <c r="M30" s="461"/>
      <c r="N30" s="461"/>
      <c r="O30" s="461"/>
      <c r="P30" s="461"/>
      <c r="Q30" s="461"/>
    </row>
    <row r="31" spans="1:17" x14ac:dyDescent="0.25">
      <c r="A31" s="461"/>
      <c r="B31" s="461"/>
      <c r="C31" s="461"/>
      <c r="D31" s="461"/>
      <c r="E31" s="461"/>
      <c r="F31" s="461"/>
      <c r="G31" s="461"/>
      <c r="H31" s="461"/>
      <c r="I31" s="461"/>
      <c r="J31" s="461"/>
      <c r="K31" s="461"/>
      <c r="L31" s="461"/>
      <c r="M31" s="461"/>
      <c r="N31" s="461"/>
      <c r="O31" s="461"/>
      <c r="P31" s="461"/>
      <c r="Q31" s="461"/>
    </row>
    <row r="32" spans="1:17" x14ac:dyDescent="0.25">
      <c r="A32" s="461"/>
      <c r="B32" s="461"/>
      <c r="C32" s="461"/>
      <c r="D32" s="461"/>
      <c r="E32" s="461"/>
      <c r="F32" s="461"/>
      <c r="G32" s="461"/>
      <c r="H32" s="461"/>
      <c r="I32" s="461"/>
      <c r="J32" s="461"/>
      <c r="K32" s="461"/>
      <c r="L32" s="461"/>
      <c r="M32" s="461"/>
      <c r="N32" s="461"/>
      <c r="O32" s="461"/>
      <c r="P32" s="461"/>
      <c r="Q32" s="461"/>
    </row>
    <row r="33" spans="1:17" x14ac:dyDescent="0.25">
      <c r="A33" s="461"/>
      <c r="B33" s="461"/>
      <c r="C33" s="461"/>
      <c r="D33" s="461"/>
      <c r="E33" s="461"/>
      <c r="F33" s="461"/>
      <c r="G33" s="461"/>
      <c r="H33" s="461"/>
      <c r="I33" s="461"/>
      <c r="J33" s="461"/>
      <c r="K33" s="461"/>
      <c r="L33" s="461"/>
      <c r="M33" s="461"/>
      <c r="N33" s="461"/>
      <c r="O33" s="461"/>
      <c r="P33" s="461"/>
      <c r="Q33" s="461"/>
    </row>
    <row r="34" spans="1:17" x14ac:dyDescent="0.25">
      <c r="A34" s="461"/>
      <c r="B34" s="461"/>
      <c r="C34" s="461"/>
      <c r="D34" s="461"/>
      <c r="E34" s="461"/>
      <c r="F34" s="461"/>
      <c r="G34" s="461"/>
      <c r="H34" s="461"/>
      <c r="I34" s="461"/>
      <c r="J34" s="461"/>
      <c r="K34" s="461"/>
      <c r="L34" s="461"/>
      <c r="M34" s="461"/>
      <c r="N34" s="461"/>
      <c r="O34" s="461"/>
      <c r="P34" s="461"/>
      <c r="Q34" s="461"/>
    </row>
    <row r="35" spans="1:17" x14ac:dyDescent="0.25">
      <c r="A35" s="301"/>
      <c r="B35" s="301"/>
      <c r="C35" s="301"/>
      <c r="D35" s="301"/>
      <c r="E35" s="301"/>
      <c r="F35" s="301"/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1"/>
    </row>
    <row r="36" spans="1:17" x14ac:dyDescent="0.25">
      <c r="A36" s="462" t="s">
        <v>160</v>
      </c>
      <c r="B36" s="462"/>
      <c r="C36" s="462"/>
      <c r="D36" s="462"/>
      <c r="E36" s="462"/>
      <c r="F36" s="462"/>
      <c r="G36" s="462"/>
      <c r="H36" s="462"/>
      <c r="I36" s="462"/>
      <c r="J36" s="462"/>
      <c r="K36" s="462"/>
      <c r="L36" s="462"/>
      <c r="M36" s="462"/>
      <c r="N36" s="462"/>
      <c r="O36" s="462"/>
      <c r="P36" s="462"/>
      <c r="Q36" s="462"/>
    </row>
    <row r="37" spans="1:17" x14ac:dyDescent="0.25">
      <c r="A37" s="301"/>
      <c r="B37" s="301"/>
      <c r="C37" s="301"/>
      <c r="D37" s="301"/>
      <c r="E37" s="301"/>
      <c r="F37" s="301"/>
      <c r="G37" s="301"/>
      <c r="H37" s="301"/>
      <c r="I37" s="301"/>
      <c r="J37" s="301"/>
      <c r="K37" s="301"/>
      <c r="L37" s="301"/>
      <c r="M37" s="301"/>
      <c r="N37" s="301"/>
      <c r="O37" s="301"/>
      <c r="P37" s="301"/>
      <c r="Q37" s="301"/>
    </row>
    <row r="38" spans="1:17" x14ac:dyDescent="0.25">
      <c r="A38" s="462" t="s">
        <v>161</v>
      </c>
      <c r="B38" s="462"/>
      <c r="C38" s="462"/>
      <c r="D38" s="462"/>
      <c r="E38" s="462"/>
      <c r="F38" s="462"/>
      <c r="G38" s="462"/>
      <c r="H38" s="462"/>
      <c r="I38" s="462"/>
      <c r="J38" s="462"/>
      <c r="K38" s="462"/>
      <c r="L38" s="462"/>
      <c r="M38" s="462"/>
      <c r="N38" s="462"/>
      <c r="O38" s="462"/>
      <c r="P38" s="462"/>
      <c r="Q38" s="462"/>
    </row>
    <row r="39" spans="1:17" x14ac:dyDescent="0.25">
      <c r="A39" s="462"/>
      <c r="B39" s="462"/>
      <c r="C39" s="462"/>
      <c r="D39" s="462"/>
      <c r="E39" s="462"/>
      <c r="F39" s="462"/>
      <c r="G39" s="462"/>
      <c r="H39" s="462"/>
      <c r="I39" s="462"/>
      <c r="J39" s="462"/>
      <c r="K39" s="462"/>
      <c r="L39" s="462"/>
      <c r="M39" s="462"/>
      <c r="N39" s="462"/>
      <c r="O39" s="462"/>
      <c r="P39" s="462"/>
      <c r="Q39" s="462"/>
    </row>
    <row r="40" spans="1:17" x14ac:dyDescent="0.25">
      <c r="A40" s="462"/>
      <c r="B40" s="462"/>
      <c r="C40" s="462"/>
      <c r="D40" s="462"/>
      <c r="E40" s="462"/>
      <c r="F40" s="462"/>
      <c r="G40" s="462"/>
      <c r="H40" s="462"/>
      <c r="I40" s="462"/>
      <c r="J40" s="462"/>
      <c r="K40" s="462"/>
      <c r="L40" s="462"/>
      <c r="M40" s="462"/>
      <c r="N40" s="462"/>
      <c r="O40" s="462"/>
      <c r="P40" s="462"/>
      <c r="Q40" s="462"/>
    </row>
    <row r="41" spans="1:17" ht="15" customHeight="1" x14ac:dyDescent="0.25">
      <c r="A41" s="301"/>
      <c r="B41" s="301"/>
      <c r="C41" s="301"/>
      <c r="D41" s="301"/>
      <c r="E41" s="301"/>
      <c r="F41" s="301"/>
      <c r="G41" s="301"/>
      <c r="H41" s="301"/>
      <c r="I41" s="301"/>
      <c r="J41" s="301"/>
      <c r="K41" s="301"/>
      <c r="L41" s="301"/>
      <c r="M41" s="301"/>
      <c r="N41" s="301"/>
      <c r="O41" s="301"/>
      <c r="P41" s="301"/>
      <c r="Q41" s="301"/>
    </row>
    <row r="42" spans="1:17" ht="15" customHeight="1" x14ac:dyDescent="0.25">
      <c r="A42" s="301" t="s">
        <v>162</v>
      </c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</row>
    <row r="43" spans="1:17" ht="15" customHeight="1" x14ac:dyDescent="0.25">
      <c r="A43" s="307" t="s">
        <v>163</v>
      </c>
      <c r="B43" s="301"/>
      <c r="C43" s="301"/>
      <c r="D43" s="301"/>
      <c r="E43" s="301"/>
      <c r="F43" s="301"/>
      <c r="G43" s="301"/>
      <c r="H43" s="301"/>
      <c r="I43" s="301"/>
      <c r="J43" s="301"/>
      <c r="K43" s="301"/>
      <c r="L43" s="301"/>
      <c r="M43" s="301"/>
      <c r="N43" s="301"/>
      <c r="O43" s="301"/>
      <c r="P43" s="301"/>
      <c r="Q43" s="301"/>
    </row>
    <row r="44" spans="1:17" ht="15" customHeight="1" x14ac:dyDescent="0.25">
      <c r="A44" s="308" t="s">
        <v>164</v>
      </c>
      <c r="B44" s="301"/>
      <c r="C44" s="301"/>
      <c r="D44" s="301"/>
      <c r="E44" s="301"/>
      <c r="F44" s="301"/>
      <c r="G44" s="301"/>
      <c r="H44" s="301"/>
      <c r="I44" s="301"/>
      <c r="J44" s="301"/>
      <c r="K44" s="301"/>
      <c r="L44" s="301"/>
      <c r="M44" s="301"/>
      <c r="N44" s="301"/>
      <c r="O44" s="301"/>
      <c r="P44" s="301"/>
      <c r="Q44" s="301"/>
    </row>
    <row r="45" spans="1:17" x14ac:dyDescent="0.25">
      <c r="A45" s="301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</row>
    <row r="46" spans="1:17" x14ac:dyDescent="0.25">
      <c r="A46" s="301"/>
      <c r="B46" s="301"/>
      <c r="C46" s="301"/>
      <c r="D46" s="301"/>
      <c r="E46" s="301"/>
      <c r="F46" s="301"/>
      <c r="G46" s="301"/>
      <c r="H46" s="301"/>
      <c r="I46" s="301"/>
      <c r="J46" s="301"/>
      <c r="K46" s="301"/>
      <c r="L46" s="301"/>
      <c r="M46" s="301"/>
      <c r="N46" s="301"/>
      <c r="O46" s="301"/>
      <c r="P46" s="301"/>
      <c r="Q46" s="301"/>
    </row>
    <row r="47" spans="1:17" x14ac:dyDescent="0.25">
      <c r="A47" s="301"/>
      <c r="B47" s="301"/>
      <c r="C47" s="301"/>
      <c r="D47" s="301"/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</row>
    <row r="48" spans="1:17" ht="18.75" x14ac:dyDescent="0.25">
      <c r="A48" s="309"/>
      <c r="B48" s="301"/>
      <c r="C48" s="301"/>
      <c r="D48" s="301"/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</row>
    <row r="49" spans="1:17" x14ac:dyDescent="0.25">
      <c r="A49" s="308"/>
      <c r="B49" s="301"/>
      <c r="C49" s="301"/>
      <c r="D49" s="301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</row>
    <row r="50" spans="1:17" x14ac:dyDescent="0.25">
      <c r="A50" s="301"/>
      <c r="B50" s="301"/>
      <c r="C50" s="301"/>
      <c r="D50" s="301"/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</row>
    <row r="51" spans="1:17" x14ac:dyDescent="0.25">
      <c r="A51" s="301"/>
      <c r="B51" s="301"/>
      <c r="C51" s="301"/>
      <c r="D51" s="301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</row>
    <row r="52" spans="1:17" x14ac:dyDescent="0.25">
      <c r="A52" s="301"/>
      <c r="B52" s="301"/>
      <c r="C52" s="301"/>
      <c r="D52" s="301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</row>
    <row r="53" spans="1:17" x14ac:dyDescent="0.25">
      <c r="A53" s="301"/>
      <c r="B53" s="301"/>
      <c r="C53" s="301"/>
      <c r="D53" s="301"/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</row>
    <row r="54" spans="1:17" x14ac:dyDescent="0.25">
      <c r="A54" s="301"/>
      <c r="B54" s="301"/>
      <c r="C54" s="301"/>
      <c r="D54" s="301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</row>
    <row r="55" spans="1:17" x14ac:dyDescent="0.25">
      <c r="A55" s="301"/>
      <c r="B55" s="301"/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</row>
    <row r="56" spans="1:17" x14ac:dyDescent="0.25">
      <c r="A56" s="301"/>
      <c r="B56" s="301"/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</row>
    <row r="57" spans="1:17" x14ac:dyDescent="0.25">
      <c r="A57" s="301"/>
      <c r="B57" s="301"/>
      <c r="C57" s="301"/>
      <c r="D57" s="301"/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</row>
    <row r="58" spans="1:17" x14ac:dyDescent="0.25">
      <c r="A58" s="301"/>
      <c r="B58" s="301"/>
      <c r="C58" s="301"/>
      <c r="D58" s="301"/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</row>
    <row r="59" spans="1:17" x14ac:dyDescent="0.25">
      <c r="A59" s="301"/>
      <c r="B59" s="301"/>
      <c r="C59" s="301"/>
      <c r="D59" s="301"/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</row>
    <row r="60" spans="1:17" x14ac:dyDescent="0.25">
      <c r="A60" s="301"/>
      <c r="B60" s="301"/>
      <c r="C60" s="301"/>
      <c r="D60" s="301"/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</row>
    <row r="61" spans="1:17" x14ac:dyDescent="0.25">
      <c r="A61" s="301"/>
      <c r="B61" s="301"/>
      <c r="C61" s="301"/>
      <c r="D61" s="301"/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</row>
    <row r="62" spans="1:17" x14ac:dyDescent="0.25">
      <c r="A62" s="301"/>
      <c r="B62" s="301"/>
      <c r="C62" s="301"/>
      <c r="D62" s="301"/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</row>
    <row r="63" spans="1:17" x14ac:dyDescent="0.25">
      <c r="A63" s="301"/>
      <c r="B63" s="301"/>
      <c r="C63" s="301"/>
      <c r="D63" s="301"/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</row>
    <row r="64" spans="1:17" x14ac:dyDescent="0.25">
      <c r="A64" s="301"/>
      <c r="B64" s="301"/>
      <c r="C64" s="301"/>
      <c r="D64" s="301"/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</row>
    <row r="65" spans="1:17" x14ac:dyDescent="0.25">
      <c r="A65" s="301"/>
      <c r="B65" s="301"/>
      <c r="C65" s="301"/>
      <c r="D65" s="301"/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</row>
    <row r="66" spans="1:17" x14ac:dyDescent="0.25">
      <c r="A66" s="301"/>
      <c r="B66" s="301"/>
      <c r="C66" s="301"/>
      <c r="D66" s="301"/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</row>
    <row r="67" spans="1:17" x14ac:dyDescent="0.25">
      <c r="A67" s="301"/>
      <c r="B67" s="301"/>
      <c r="C67" s="301"/>
      <c r="D67" s="301"/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</row>
    <row r="68" spans="1:17" x14ac:dyDescent="0.25">
      <c r="A68" s="301"/>
      <c r="B68" s="301"/>
      <c r="C68" s="301"/>
      <c r="D68" s="301"/>
      <c r="E68" s="301"/>
      <c r="F68" s="301"/>
      <c r="G68" s="301"/>
      <c r="H68" s="301"/>
      <c r="I68" s="301"/>
      <c r="J68" s="301"/>
      <c r="K68" s="301"/>
      <c r="L68" s="301"/>
      <c r="M68" s="301"/>
      <c r="N68" s="301"/>
      <c r="O68" s="301"/>
      <c r="P68" s="301"/>
      <c r="Q68" s="301"/>
    </row>
    <row r="69" spans="1:17" x14ac:dyDescent="0.25">
      <c r="A69" s="301"/>
      <c r="B69" s="301"/>
      <c r="C69" s="301"/>
      <c r="D69" s="301"/>
      <c r="E69" s="301"/>
      <c r="F69" s="301"/>
      <c r="G69" s="301"/>
      <c r="H69" s="301"/>
      <c r="I69" s="301"/>
      <c r="J69" s="301"/>
      <c r="K69" s="301"/>
      <c r="L69" s="301"/>
      <c r="M69" s="301"/>
      <c r="N69" s="301"/>
      <c r="O69" s="301"/>
      <c r="P69" s="301"/>
      <c r="Q69" s="301"/>
    </row>
    <row r="70" spans="1:17" x14ac:dyDescent="0.25">
      <c r="A70" s="301"/>
      <c r="B70" s="301"/>
      <c r="C70" s="301"/>
      <c r="D70" s="301"/>
      <c r="E70" s="301"/>
      <c r="F70" s="301"/>
      <c r="G70" s="301"/>
      <c r="H70" s="301"/>
      <c r="I70" s="301"/>
      <c r="J70" s="301"/>
      <c r="K70" s="301"/>
      <c r="L70" s="301"/>
      <c r="M70" s="301"/>
      <c r="N70" s="301"/>
      <c r="O70" s="301"/>
      <c r="P70" s="301"/>
      <c r="Q70" s="301"/>
    </row>
    <row r="71" spans="1:17" x14ac:dyDescent="0.25">
      <c r="A71" s="301"/>
      <c r="B71" s="301"/>
      <c r="C71" s="301"/>
      <c r="D71" s="301"/>
      <c r="E71" s="301"/>
      <c r="F71" s="301"/>
      <c r="G71" s="301"/>
      <c r="H71" s="301"/>
      <c r="I71" s="301"/>
      <c r="J71" s="301"/>
      <c r="K71" s="301"/>
      <c r="L71" s="301"/>
      <c r="M71" s="301"/>
      <c r="N71" s="301"/>
      <c r="O71" s="301"/>
      <c r="P71" s="301"/>
      <c r="Q71" s="301"/>
    </row>
    <row r="72" spans="1:17" x14ac:dyDescent="0.25">
      <c r="A72" s="301"/>
      <c r="B72" s="301"/>
      <c r="C72" s="301"/>
      <c r="D72" s="301"/>
      <c r="E72" s="301"/>
      <c r="F72" s="301"/>
      <c r="G72" s="301"/>
      <c r="H72" s="301"/>
      <c r="I72" s="301"/>
      <c r="J72" s="301"/>
      <c r="K72" s="301"/>
      <c r="L72" s="301"/>
      <c r="M72" s="301"/>
      <c r="N72" s="301"/>
      <c r="O72" s="301"/>
      <c r="P72" s="301"/>
      <c r="Q72" s="301"/>
    </row>
    <row r="73" spans="1:17" x14ac:dyDescent="0.25">
      <c r="A73" s="301"/>
      <c r="B73" s="301"/>
      <c r="C73" s="301"/>
      <c r="D73" s="301"/>
      <c r="E73" s="301"/>
      <c r="F73" s="301"/>
      <c r="G73" s="301"/>
      <c r="H73" s="301"/>
      <c r="I73" s="301"/>
      <c r="J73" s="301"/>
      <c r="K73" s="301"/>
      <c r="L73" s="301"/>
      <c r="M73" s="301"/>
      <c r="N73" s="301"/>
      <c r="O73" s="301"/>
      <c r="P73" s="301"/>
      <c r="Q73" s="301"/>
    </row>
    <row r="74" spans="1:17" x14ac:dyDescent="0.25">
      <c r="A74" s="301"/>
      <c r="B74" s="301"/>
      <c r="C74" s="301"/>
      <c r="D74" s="301"/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</row>
    <row r="75" spans="1:17" x14ac:dyDescent="0.25">
      <c r="A75" s="301"/>
      <c r="B75" s="301"/>
      <c r="C75" s="301"/>
      <c r="D75" s="301"/>
      <c r="E75" s="301"/>
      <c r="F75" s="301"/>
      <c r="G75" s="301"/>
      <c r="H75" s="301"/>
      <c r="I75" s="301"/>
      <c r="J75" s="301"/>
      <c r="K75" s="301"/>
      <c r="L75" s="301"/>
      <c r="M75" s="301"/>
      <c r="N75" s="301"/>
      <c r="O75" s="301"/>
      <c r="P75" s="301"/>
      <c r="Q75" s="301"/>
    </row>
    <row r="76" spans="1:17" x14ac:dyDescent="0.25">
      <c r="A76" s="301"/>
      <c r="B76" s="301"/>
      <c r="C76" s="301"/>
      <c r="D76" s="301"/>
      <c r="E76" s="301"/>
      <c r="F76" s="301"/>
      <c r="G76" s="301"/>
      <c r="H76" s="301"/>
      <c r="I76" s="301"/>
      <c r="J76" s="301"/>
      <c r="K76" s="301"/>
      <c r="L76" s="301"/>
      <c r="M76" s="301"/>
      <c r="N76" s="301"/>
      <c r="O76" s="301"/>
      <c r="P76" s="301"/>
      <c r="Q76" s="301"/>
    </row>
    <row r="77" spans="1:17" x14ac:dyDescent="0.25">
      <c r="A77" s="301"/>
      <c r="B77" s="301"/>
      <c r="C77" s="301"/>
      <c r="D77" s="301"/>
      <c r="E77" s="301"/>
      <c r="F77" s="301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</row>
    <row r="78" spans="1:17" x14ac:dyDescent="0.25">
      <c r="A78" s="301"/>
      <c r="B78" s="301"/>
      <c r="C78" s="301"/>
      <c r="D78" s="301"/>
      <c r="E78" s="301"/>
      <c r="F78" s="301"/>
      <c r="G78" s="301"/>
      <c r="H78" s="301"/>
      <c r="I78" s="301"/>
      <c r="J78" s="301"/>
      <c r="K78" s="301"/>
      <c r="L78" s="301"/>
      <c r="M78" s="301"/>
      <c r="N78" s="301"/>
      <c r="O78" s="301"/>
      <c r="P78" s="301"/>
      <c r="Q78" s="301"/>
    </row>
    <row r="79" spans="1:17" x14ac:dyDescent="0.25">
      <c r="A79" s="301"/>
      <c r="B79" s="301"/>
      <c r="C79" s="301"/>
      <c r="D79" s="301"/>
      <c r="E79" s="301"/>
      <c r="F79" s="301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</row>
    <row r="80" spans="1:17" x14ac:dyDescent="0.25">
      <c r="A80" s="301"/>
      <c r="B80" s="301"/>
      <c r="C80" s="301"/>
      <c r="D80" s="301"/>
      <c r="E80" s="301"/>
      <c r="F80" s="301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</row>
    <row r="81" spans="1:17" x14ac:dyDescent="0.25">
      <c r="A81" s="301"/>
      <c r="B81" s="301"/>
      <c r="C81" s="301"/>
      <c r="D81" s="301"/>
      <c r="E81" s="301"/>
      <c r="F81" s="301"/>
      <c r="G81" s="301"/>
      <c r="H81" s="301"/>
      <c r="I81" s="301"/>
      <c r="J81" s="301"/>
      <c r="K81" s="301"/>
      <c r="L81" s="301"/>
      <c r="M81" s="301"/>
      <c r="N81" s="301"/>
      <c r="O81" s="301"/>
      <c r="P81" s="301"/>
      <c r="Q81" s="301"/>
    </row>
    <row r="82" spans="1:17" x14ac:dyDescent="0.25">
      <c r="A82" s="301"/>
      <c r="B82" s="301"/>
      <c r="C82" s="301"/>
      <c r="D82" s="301"/>
      <c r="E82" s="301"/>
      <c r="F82" s="301"/>
      <c r="G82" s="301"/>
      <c r="H82" s="301"/>
      <c r="I82" s="301"/>
      <c r="J82" s="301"/>
      <c r="K82" s="301"/>
      <c r="L82" s="301"/>
      <c r="M82" s="301"/>
      <c r="N82" s="301"/>
      <c r="O82" s="301"/>
      <c r="P82" s="301"/>
      <c r="Q82" s="301"/>
    </row>
    <row r="83" spans="1:17" x14ac:dyDescent="0.25">
      <c r="A83" s="301"/>
      <c r="B83" s="301"/>
      <c r="C83" s="301"/>
      <c r="D83" s="301"/>
      <c r="E83" s="301"/>
      <c r="F83" s="301"/>
      <c r="G83" s="301"/>
      <c r="H83" s="301"/>
      <c r="I83" s="301"/>
      <c r="J83" s="301"/>
      <c r="K83" s="301"/>
      <c r="L83" s="301"/>
      <c r="M83" s="301"/>
      <c r="N83" s="301"/>
      <c r="O83" s="301"/>
      <c r="P83" s="301"/>
      <c r="Q83" s="301"/>
    </row>
    <row r="84" spans="1:17" x14ac:dyDescent="0.25">
      <c r="A84" s="301"/>
      <c r="B84" s="301"/>
      <c r="C84" s="301"/>
      <c r="D84" s="301"/>
      <c r="E84" s="301"/>
      <c r="F84" s="301"/>
      <c r="G84" s="301"/>
      <c r="H84" s="301"/>
      <c r="I84" s="301"/>
      <c r="J84" s="301"/>
      <c r="K84" s="301"/>
      <c r="L84" s="301"/>
      <c r="M84" s="301"/>
      <c r="N84" s="301"/>
      <c r="O84" s="301"/>
      <c r="P84" s="301"/>
      <c r="Q84" s="301"/>
    </row>
    <row r="85" spans="1:17" x14ac:dyDescent="0.25">
      <c r="A85" s="301"/>
      <c r="B85" s="301"/>
      <c r="C85" s="301"/>
      <c r="D85" s="301"/>
      <c r="E85" s="301"/>
      <c r="F85" s="301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</row>
    <row r="86" spans="1:17" x14ac:dyDescent="0.25">
      <c r="A86" s="301"/>
      <c r="B86" s="301"/>
      <c r="C86" s="301"/>
      <c r="D86" s="301"/>
      <c r="E86" s="301"/>
      <c r="F86" s="301"/>
      <c r="G86" s="301"/>
      <c r="H86" s="301"/>
      <c r="I86" s="301"/>
      <c r="J86" s="301"/>
      <c r="K86" s="301"/>
      <c r="L86" s="301"/>
      <c r="M86" s="301"/>
      <c r="N86" s="301"/>
      <c r="O86" s="301"/>
      <c r="P86" s="301"/>
      <c r="Q86" s="301"/>
    </row>
    <row r="87" spans="1:17" x14ac:dyDescent="0.25">
      <c r="A87" s="301"/>
      <c r="B87" s="301"/>
      <c r="C87" s="301"/>
      <c r="D87" s="301"/>
      <c r="E87" s="301"/>
      <c r="F87" s="301"/>
      <c r="G87" s="301"/>
      <c r="H87" s="301"/>
      <c r="I87" s="301"/>
      <c r="J87" s="301"/>
      <c r="K87" s="301"/>
      <c r="L87" s="301"/>
      <c r="M87" s="301"/>
      <c r="N87" s="301"/>
      <c r="O87" s="301"/>
      <c r="P87" s="301"/>
      <c r="Q87" s="301"/>
    </row>
    <row r="88" spans="1:17" x14ac:dyDescent="0.25">
      <c r="A88" s="301"/>
      <c r="B88" s="301"/>
      <c r="C88" s="301"/>
      <c r="D88" s="301"/>
      <c r="E88" s="301"/>
      <c r="F88" s="301"/>
      <c r="G88" s="301"/>
      <c r="H88" s="301"/>
      <c r="I88" s="301"/>
      <c r="J88" s="301"/>
      <c r="K88" s="301"/>
      <c r="L88" s="301"/>
      <c r="M88" s="301"/>
      <c r="N88" s="301"/>
      <c r="O88" s="301"/>
      <c r="P88" s="301"/>
      <c r="Q88" s="301"/>
    </row>
    <row r="89" spans="1:17" x14ac:dyDescent="0.25">
      <c r="A89" s="301"/>
      <c r="B89" s="301"/>
      <c r="C89" s="301"/>
      <c r="D89" s="301"/>
      <c r="E89" s="301"/>
      <c r="F89" s="301"/>
      <c r="G89" s="301"/>
      <c r="H89" s="301"/>
      <c r="I89" s="301"/>
      <c r="J89" s="301"/>
      <c r="K89" s="301"/>
      <c r="L89" s="301"/>
      <c r="M89" s="301"/>
      <c r="N89" s="301"/>
      <c r="O89" s="301"/>
      <c r="P89" s="301"/>
      <c r="Q89" s="301"/>
    </row>
    <row r="90" spans="1:17" x14ac:dyDescent="0.25">
      <c r="A90" s="301"/>
      <c r="B90" s="301"/>
      <c r="C90" s="301"/>
      <c r="D90" s="301"/>
      <c r="E90" s="301"/>
      <c r="F90" s="301"/>
      <c r="G90" s="301"/>
      <c r="H90" s="301"/>
      <c r="I90" s="301"/>
      <c r="J90" s="301"/>
      <c r="K90" s="301"/>
      <c r="L90" s="301"/>
      <c r="M90" s="301"/>
      <c r="N90" s="301"/>
      <c r="O90" s="301"/>
      <c r="P90" s="301"/>
      <c r="Q90" s="301"/>
    </row>
    <row r="91" spans="1:17" x14ac:dyDescent="0.25">
      <c r="A91" s="301"/>
      <c r="B91" s="301"/>
      <c r="C91" s="301"/>
      <c r="D91" s="301"/>
      <c r="E91" s="301"/>
      <c r="F91" s="301"/>
      <c r="G91" s="301"/>
      <c r="H91" s="301"/>
      <c r="I91" s="301"/>
      <c r="J91" s="301"/>
      <c r="K91" s="301"/>
      <c r="L91" s="301"/>
      <c r="M91" s="301"/>
      <c r="N91" s="301"/>
      <c r="O91" s="301"/>
      <c r="P91" s="301"/>
      <c r="Q91" s="301"/>
    </row>
    <row r="92" spans="1:17" x14ac:dyDescent="0.25">
      <c r="A92" s="301"/>
      <c r="B92" s="301"/>
      <c r="C92" s="301"/>
      <c r="D92" s="301"/>
      <c r="E92" s="301"/>
      <c r="F92" s="301"/>
      <c r="G92" s="301"/>
      <c r="H92" s="301"/>
      <c r="I92" s="301"/>
      <c r="J92" s="301"/>
      <c r="K92" s="301"/>
      <c r="L92" s="301"/>
      <c r="M92" s="301"/>
      <c r="N92" s="301"/>
      <c r="O92" s="301"/>
      <c r="P92" s="301"/>
      <c r="Q92" s="301"/>
    </row>
    <row r="93" spans="1:17" x14ac:dyDescent="0.25">
      <c r="A93" s="301"/>
      <c r="B93" s="301"/>
      <c r="C93" s="301"/>
      <c r="D93" s="301"/>
      <c r="E93" s="301"/>
      <c r="F93" s="301"/>
      <c r="G93" s="301"/>
      <c r="H93" s="301"/>
      <c r="I93" s="301"/>
      <c r="J93" s="301"/>
      <c r="K93" s="301"/>
      <c r="L93" s="301"/>
      <c r="M93" s="301"/>
      <c r="N93" s="301"/>
      <c r="O93" s="301"/>
      <c r="P93" s="301"/>
      <c r="Q93" s="301"/>
    </row>
    <row r="94" spans="1:17" x14ac:dyDescent="0.25">
      <c r="A94" s="301"/>
      <c r="B94" s="301"/>
      <c r="C94" s="301"/>
      <c r="D94" s="301"/>
      <c r="E94" s="301"/>
      <c r="F94" s="301"/>
      <c r="G94" s="301"/>
      <c r="H94" s="301"/>
      <c r="I94" s="301"/>
      <c r="J94" s="301"/>
      <c r="K94" s="301"/>
      <c r="L94" s="301"/>
      <c r="M94" s="301"/>
      <c r="N94" s="301"/>
      <c r="O94" s="301"/>
      <c r="P94" s="301"/>
      <c r="Q94" s="301"/>
    </row>
    <row r="95" spans="1:17" x14ac:dyDescent="0.25">
      <c r="A95" s="301"/>
      <c r="B95" s="301"/>
      <c r="C95" s="301"/>
      <c r="D95" s="301"/>
      <c r="E95" s="301"/>
      <c r="F95" s="301"/>
      <c r="G95" s="301"/>
      <c r="H95" s="301"/>
      <c r="I95" s="301"/>
      <c r="J95" s="301"/>
      <c r="K95" s="301"/>
      <c r="L95" s="301"/>
      <c r="M95" s="301"/>
      <c r="N95" s="301"/>
      <c r="O95" s="301"/>
      <c r="P95" s="301"/>
      <c r="Q95" s="301"/>
    </row>
    <row r="96" spans="1:17" x14ac:dyDescent="0.25">
      <c r="A96" s="301"/>
      <c r="B96" s="301"/>
      <c r="C96" s="301"/>
      <c r="D96" s="301"/>
      <c r="E96" s="301"/>
      <c r="F96" s="301"/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1"/>
    </row>
    <row r="97" spans="1:17" x14ac:dyDescent="0.25">
      <c r="A97" s="301"/>
      <c r="B97" s="301"/>
      <c r="C97" s="301"/>
      <c r="D97" s="301"/>
      <c r="E97" s="301"/>
      <c r="F97" s="301"/>
      <c r="G97" s="301"/>
      <c r="H97" s="301"/>
      <c r="I97" s="301"/>
      <c r="J97" s="301"/>
      <c r="K97" s="301"/>
      <c r="L97" s="301"/>
      <c r="M97" s="301"/>
      <c r="N97" s="301"/>
      <c r="O97" s="301"/>
      <c r="P97" s="301"/>
      <c r="Q97" s="301"/>
    </row>
    <row r="98" spans="1:17" x14ac:dyDescent="0.25">
      <c r="A98" s="301"/>
      <c r="B98" s="301"/>
      <c r="C98" s="301"/>
      <c r="D98" s="301"/>
      <c r="E98" s="301"/>
      <c r="F98" s="301"/>
      <c r="G98" s="301"/>
      <c r="H98" s="301"/>
      <c r="I98" s="301"/>
      <c r="J98" s="301"/>
      <c r="K98" s="301"/>
      <c r="L98" s="301"/>
      <c r="M98" s="301"/>
      <c r="N98" s="301"/>
      <c r="O98" s="301"/>
      <c r="P98" s="301"/>
      <c r="Q98" s="301"/>
    </row>
    <row r="99" spans="1:17" x14ac:dyDescent="0.25">
      <c r="A99" s="301"/>
      <c r="B99" s="301"/>
      <c r="C99" s="301"/>
      <c r="D99" s="301"/>
      <c r="E99" s="301"/>
      <c r="F99" s="301"/>
      <c r="G99" s="301"/>
      <c r="H99" s="301"/>
      <c r="I99" s="301"/>
      <c r="J99" s="301"/>
      <c r="K99" s="301"/>
      <c r="L99" s="301"/>
      <c r="M99" s="301"/>
      <c r="N99" s="301"/>
      <c r="O99" s="301"/>
      <c r="P99" s="301"/>
      <c r="Q99" s="301"/>
    </row>
    <row r="100" spans="1:17" x14ac:dyDescent="0.25">
      <c r="A100" s="301"/>
      <c r="B100" s="301"/>
      <c r="C100" s="301"/>
      <c r="D100" s="301"/>
      <c r="E100" s="301"/>
      <c r="F100" s="301"/>
      <c r="G100" s="301"/>
      <c r="H100" s="301"/>
      <c r="I100" s="301"/>
      <c r="J100" s="301"/>
      <c r="K100" s="301"/>
      <c r="L100" s="301"/>
      <c r="M100" s="301"/>
      <c r="N100" s="301"/>
      <c r="O100" s="301"/>
      <c r="P100" s="301"/>
      <c r="Q100" s="301"/>
    </row>
    <row r="101" spans="1:17" x14ac:dyDescent="0.25">
      <c r="A101" s="301"/>
      <c r="B101" s="301"/>
      <c r="C101" s="301"/>
      <c r="D101" s="301"/>
      <c r="E101" s="301"/>
      <c r="F101" s="301"/>
      <c r="G101" s="301"/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</row>
    <row r="102" spans="1:17" x14ac:dyDescent="0.25">
      <c r="A102" s="301"/>
      <c r="B102" s="301"/>
      <c r="C102" s="301"/>
      <c r="D102" s="301"/>
      <c r="E102" s="301"/>
      <c r="F102" s="301"/>
      <c r="G102" s="301"/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</row>
    <row r="103" spans="1:17" x14ac:dyDescent="0.25">
      <c r="A103" s="301"/>
      <c r="B103" s="301"/>
      <c r="C103" s="301"/>
      <c r="D103" s="301"/>
      <c r="E103" s="301"/>
      <c r="F103" s="301"/>
      <c r="G103" s="301"/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</row>
    <row r="104" spans="1:17" x14ac:dyDescent="0.25">
      <c r="A104" s="301"/>
      <c r="B104" s="301"/>
      <c r="C104" s="301"/>
      <c r="D104" s="301"/>
      <c r="E104" s="301"/>
      <c r="F104" s="301"/>
      <c r="G104" s="301"/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</row>
    <row r="105" spans="1:17" x14ac:dyDescent="0.25">
      <c r="A105" s="301"/>
      <c r="B105" s="301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</row>
    <row r="106" spans="1:17" x14ac:dyDescent="0.25">
      <c r="A106" s="301"/>
      <c r="B106" s="301"/>
      <c r="C106" s="301"/>
      <c r="D106" s="301"/>
      <c r="E106" s="301"/>
      <c r="F106" s="301"/>
      <c r="G106" s="301"/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</row>
    <row r="107" spans="1:17" x14ac:dyDescent="0.25">
      <c r="A107" s="301"/>
      <c r="B107" s="301"/>
      <c r="C107" s="301"/>
      <c r="D107" s="301"/>
      <c r="E107" s="301"/>
      <c r="F107" s="301"/>
      <c r="G107" s="301"/>
      <c r="H107" s="301"/>
      <c r="I107" s="301"/>
      <c r="J107" s="301"/>
      <c r="K107" s="301"/>
      <c r="L107" s="301"/>
      <c r="M107" s="301"/>
      <c r="N107" s="301"/>
      <c r="O107" s="301"/>
      <c r="P107" s="301"/>
      <c r="Q107" s="301"/>
    </row>
    <row r="108" spans="1:17" x14ac:dyDescent="0.25">
      <c r="A108" s="301"/>
      <c r="B108" s="301"/>
      <c r="C108" s="301"/>
      <c r="D108" s="301"/>
      <c r="E108" s="301"/>
      <c r="F108" s="301"/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  <c r="Q108" s="301"/>
    </row>
    <row r="109" spans="1:17" x14ac:dyDescent="0.25">
      <c r="A109" s="301"/>
      <c r="B109" s="301"/>
      <c r="C109" s="301"/>
      <c r="D109" s="301"/>
      <c r="E109" s="301"/>
      <c r="F109" s="301"/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  <c r="Q109" s="301"/>
    </row>
    <row r="110" spans="1:17" x14ac:dyDescent="0.25">
      <c r="A110" s="301"/>
      <c r="B110" s="301"/>
      <c r="C110" s="301"/>
      <c r="D110" s="301"/>
      <c r="E110" s="301"/>
      <c r="F110" s="301"/>
      <c r="G110" s="301"/>
      <c r="H110" s="301"/>
      <c r="I110" s="301"/>
      <c r="J110" s="301"/>
      <c r="K110" s="301"/>
      <c r="L110" s="301"/>
      <c r="M110" s="301"/>
      <c r="N110" s="301"/>
      <c r="O110" s="301"/>
      <c r="P110" s="301"/>
      <c r="Q110" s="301"/>
    </row>
    <row r="111" spans="1:17" x14ac:dyDescent="0.25">
      <c r="A111" s="301"/>
      <c r="B111" s="301"/>
      <c r="C111" s="301"/>
      <c r="D111" s="301"/>
      <c r="E111" s="301"/>
      <c r="F111" s="301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</row>
    <row r="112" spans="1:17" x14ac:dyDescent="0.25">
      <c r="A112" s="301"/>
      <c r="B112" s="301"/>
      <c r="C112" s="301"/>
      <c r="D112" s="301"/>
      <c r="E112" s="301"/>
      <c r="F112" s="301"/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  <c r="Q112" s="301"/>
    </row>
  </sheetData>
  <mergeCells count="4">
    <mergeCell ref="D10:K11"/>
    <mergeCell ref="A24:Q34"/>
    <mergeCell ref="A36:Q36"/>
    <mergeCell ref="A38:Q40"/>
  </mergeCells>
  <hyperlinks>
    <hyperlink ref="A44" r:id="rId1" display="https://cpage.mpr.gob.es/" xr:uid="{42B701BB-A7D8-43D2-8289-03D3A0398769}"/>
  </hyperlinks>
  <pageMargins left="0.7" right="0.7" top="0.75" bottom="0.75" header="0.3" footer="0.3"/>
  <pageSetup paperSize="9" scale="4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375DD-122D-435A-ACB5-0E1FBC7A7B53}">
  <dimension ref="A2:L77"/>
  <sheetViews>
    <sheetView view="pageLayout" topLeftCell="A5" zoomScale="70" zoomScaleNormal="80" zoomScaleSheetLayoutView="50" zoomScalePageLayoutView="70" workbookViewId="0">
      <selection activeCell="D29" sqref="D29"/>
    </sheetView>
  </sheetViews>
  <sheetFormatPr baseColWidth="10" defaultColWidth="11.42578125" defaultRowHeight="15" x14ac:dyDescent="0.25"/>
  <cols>
    <col min="1" max="1" width="6" customWidth="1"/>
    <col min="2" max="2" width="15.28515625" customWidth="1"/>
    <col min="3" max="3" width="17.5703125" customWidth="1"/>
    <col min="4" max="4" width="15.7109375" customWidth="1"/>
    <col min="5" max="5" width="20.7109375" customWidth="1"/>
    <col min="6" max="6" width="23.5703125" customWidth="1"/>
    <col min="7" max="7" width="19.28515625" customWidth="1"/>
    <col min="8" max="8" width="17.28515625" customWidth="1"/>
    <col min="9" max="9" width="10.5703125" customWidth="1"/>
  </cols>
  <sheetData>
    <row r="2" spans="1:12" ht="15" customHeight="1" x14ac:dyDescent="0.25">
      <c r="D2" s="482" t="s">
        <v>165</v>
      </c>
      <c r="E2" s="482"/>
      <c r="F2" s="482"/>
      <c r="G2" s="482"/>
    </row>
    <row r="3" spans="1:12" ht="15" customHeight="1" x14ac:dyDescent="0.25">
      <c r="D3" s="482"/>
      <c r="E3" s="482"/>
      <c r="F3" s="482"/>
      <c r="G3" s="482"/>
    </row>
    <row r="4" spans="1:12" ht="21" customHeight="1" x14ac:dyDescent="0.25">
      <c r="D4" s="482"/>
      <c r="E4" s="482"/>
      <c r="F4" s="482"/>
      <c r="G4" s="482"/>
    </row>
    <row r="5" spans="1:12" ht="15.75" customHeight="1" thickBot="1" x14ac:dyDescent="0.3">
      <c r="D5" s="310"/>
      <c r="E5" s="310"/>
      <c r="F5" s="310"/>
      <c r="G5" s="310"/>
      <c r="H5" s="311"/>
    </row>
    <row r="6" spans="1:12" ht="30.75" customHeight="1" x14ac:dyDescent="0.25">
      <c r="A6" s="6"/>
      <c r="B6" s="476" t="s">
        <v>166</v>
      </c>
      <c r="C6" s="476" t="s">
        <v>167</v>
      </c>
      <c r="D6" s="483" t="s">
        <v>168</v>
      </c>
      <c r="E6" s="483" t="s">
        <v>169</v>
      </c>
      <c r="F6" s="476" t="s">
        <v>170</v>
      </c>
      <c r="G6" s="476" t="s">
        <v>171</v>
      </c>
      <c r="H6" s="476" t="s">
        <v>172</v>
      </c>
      <c r="I6" s="1"/>
      <c r="J6" s="1"/>
      <c r="K6" s="1"/>
      <c r="L6" s="1"/>
    </row>
    <row r="7" spans="1:12" ht="15.75" thickBot="1" x14ac:dyDescent="0.3">
      <c r="A7" s="6"/>
      <c r="B7" s="477"/>
      <c r="C7" s="477"/>
      <c r="D7" s="484"/>
      <c r="E7" s="484"/>
      <c r="F7" s="477"/>
      <c r="G7" s="477"/>
      <c r="H7" s="477"/>
      <c r="I7" s="1"/>
      <c r="J7" s="1"/>
    </row>
    <row r="8" spans="1:12" ht="15.75" x14ac:dyDescent="0.25">
      <c r="A8" s="6"/>
      <c r="B8" s="312" t="s">
        <v>39</v>
      </c>
      <c r="C8" s="439">
        <v>186.86892999999998</v>
      </c>
      <c r="D8" s="440">
        <v>36.869638065065338</v>
      </c>
      <c r="E8" s="441">
        <v>15.916</v>
      </c>
      <c r="F8" s="441">
        <v>38.408901540294202</v>
      </c>
      <c r="G8" s="339">
        <v>60.277999999999999</v>
      </c>
      <c r="H8" s="442">
        <v>140.94938999999999</v>
      </c>
      <c r="I8" s="1"/>
      <c r="J8" s="1"/>
    </row>
    <row r="9" spans="1:12" ht="15.75" x14ac:dyDescent="0.25">
      <c r="A9" s="6"/>
      <c r="B9" s="313" t="s">
        <v>40</v>
      </c>
      <c r="C9" s="314">
        <v>140.94938999999999</v>
      </c>
      <c r="D9" s="315">
        <v>266.67028736800955</v>
      </c>
      <c r="E9" s="314">
        <v>23.576000000000001</v>
      </c>
      <c r="F9" s="314">
        <v>40.438747368009544</v>
      </c>
      <c r="G9" s="443">
        <v>59.936999999999998</v>
      </c>
      <c r="H9" s="442">
        <v>330.81993</v>
      </c>
      <c r="I9" s="1"/>
      <c r="J9" s="1"/>
    </row>
    <row r="10" spans="1:12" ht="15.75" x14ac:dyDescent="0.25">
      <c r="A10" s="6"/>
      <c r="B10" s="313" t="s">
        <v>41</v>
      </c>
      <c r="C10" s="314">
        <v>330.81993</v>
      </c>
      <c r="D10" s="315">
        <v>596.43099995705325</v>
      </c>
      <c r="E10" s="314">
        <v>30.591999999999999</v>
      </c>
      <c r="F10" s="314">
        <v>54.225039957053212</v>
      </c>
      <c r="G10" s="314">
        <v>69.722999999999999</v>
      </c>
      <c r="H10" s="444">
        <v>833.89489000000003</v>
      </c>
      <c r="I10" s="1"/>
      <c r="J10" s="1"/>
    </row>
    <row r="11" spans="1:12" ht="15.75" x14ac:dyDescent="0.25">
      <c r="A11" s="6"/>
      <c r="B11" s="313" t="s">
        <v>42</v>
      </c>
      <c r="C11" s="314">
        <v>833.89489000000003</v>
      </c>
      <c r="D11" s="315">
        <v>351.48090412836069</v>
      </c>
      <c r="E11" s="314">
        <v>17.385000000000002</v>
      </c>
      <c r="F11" s="314">
        <v>49.430284128360796</v>
      </c>
      <c r="G11" s="314">
        <v>89.304000000000002</v>
      </c>
      <c r="H11" s="444">
        <v>1064.0265099999999</v>
      </c>
      <c r="I11" s="1"/>
      <c r="J11" s="1"/>
    </row>
    <row r="12" spans="1:12" ht="15.75" x14ac:dyDescent="0.25">
      <c r="A12" s="6"/>
      <c r="B12" s="313" t="s">
        <v>43</v>
      </c>
      <c r="C12" s="314">
        <v>1064.0265099999999</v>
      </c>
      <c r="D12" s="315">
        <v>154.07039664159123</v>
      </c>
      <c r="E12" s="314">
        <v>19.042000000000002</v>
      </c>
      <c r="F12" s="314">
        <v>40.568916641591116</v>
      </c>
      <c r="G12" s="314">
        <v>90.628</v>
      </c>
      <c r="H12" s="444">
        <v>1105.94199</v>
      </c>
      <c r="I12" s="1"/>
      <c r="J12" s="1"/>
    </row>
    <row r="13" spans="1:12" ht="15.75" x14ac:dyDescent="0.25">
      <c r="A13" s="6"/>
      <c r="B13" s="313" t="s">
        <v>44</v>
      </c>
      <c r="C13" s="314">
        <v>1105.94199</v>
      </c>
      <c r="D13" s="315">
        <v>12.203773839919968</v>
      </c>
      <c r="E13" s="314">
        <v>22.052</v>
      </c>
      <c r="F13" s="314">
        <v>43.606513839920041</v>
      </c>
      <c r="G13" s="314">
        <v>96.980999999999995</v>
      </c>
      <c r="H13" s="444">
        <v>999.61024999999995</v>
      </c>
      <c r="I13" s="1"/>
      <c r="J13" s="1"/>
    </row>
    <row r="14" spans="1:12" ht="15.75" x14ac:dyDescent="0.25">
      <c r="A14" s="6"/>
      <c r="B14" s="313" t="s">
        <v>45</v>
      </c>
      <c r="C14" s="314">
        <v>999.61024999999995</v>
      </c>
      <c r="D14" s="315">
        <v>3.1651061105452594</v>
      </c>
      <c r="E14" s="314">
        <v>16.635000000000002</v>
      </c>
      <c r="F14" s="314">
        <v>35.672966110545204</v>
      </c>
      <c r="G14" s="314">
        <v>98.778000000000006</v>
      </c>
      <c r="H14" s="444">
        <v>884.95938999999998</v>
      </c>
      <c r="I14" s="1"/>
      <c r="J14" s="1"/>
    </row>
    <row r="15" spans="1:12" ht="15.75" x14ac:dyDescent="0.25">
      <c r="A15" s="6"/>
      <c r="B15" s="313" t="s">
        <v>46</v>
      </c>
      <c r="C15" s="314">
        <v>884.95938999999998</v>
      </c>
      <c r="D15" s="315">
        <v>0.2216438346728094</v>
      </c>
      <c r="E15" s="314">
        <v>15.276999999999999</v>
      </c>
      <c r="F15" s="314">
        <v>36.885763834672744</v>
      </c>
      <c r="G15" s="314">
        <v>99.323999999999998</v>
      </c>
      <c r="H15" s="444">
        <v>764.24827000000005</v>
      </c>
      <c r="I15" s="1"/>
      <c r="J15" s="1"/>
    </row>
    <row r="16" spans="1:12" ht="15.75" x14ac:dyDescent="0.25">
      <c r="A16" s="6"/>
      <c r="B16" s="313" t="s">
        <v>173</v>
      </c>
      <c r="C16" s="314">
        <v>764.24827000000005</v>
      </c>
      <c r="D16" s="316"/>
      <c r="E16" s="314">
        <v>14.541</v>
      </c>
      <c r="F16" s="314">
        <v>37.955560000000105</v>
      </c>
      <c r="G16" s="314">
        <v>94.483000000000004</v>
      </c>
      <c r="H16" s="444">
        <v>646.35070999999994</v>
      </c>
      <c r="I16" s="1"/>
      <c r="J16" s="1"/>
    </row>
    <row r="17" spans="1:12" ht="15.75" x14ac:dyDescent="0.25">
      <c r="A17" s="6"/>
      <c r="B17" s="313" t="s">
        <v>56</v>
      </c>
      <c r="C17" s="314">
        <v>646.35070999999994</v>
      </c>
      <c r="D17" s="317"/>
      <c r="E17" s="314">
        <v>13.11</v>
      </c>
      <c r="F17" s="314">
        <v>37.736179999999948</v>
      </c>
      <c r="G17" s="314">
        <v>110.997</v>
      </c>
      <c r="H17" s="444">
        <v>510.72753</v>
      </c>
      <c r="I17" s="1"/>
      <c r="J17" s="1"/>
    </row>
    <row r="18" spans="1:12" ht="15.75" x14ac:dyDescent="0.25">
      <c r="A18" s="6"/>
      <c r="B18" s="313" t="s">
        <v>57</v>
      </c>
      <c r="C18" s="314">
        <v>510.72753</v>
      </c>
      <c r="D18" s="317"/>
      <c r="E18" s="445">
        <v>6.7649999999999997</v>
      </c>
      <c r="F18" s="445">
        <v>35.512659999999983</v>
      </c>
      <c r="G18" s="445">
        <v>76.051000000000002</v>
      </c>
      <c r="H18" s="444">
        <v>405.92887000000002</v>
      </c>
      <c r="I18" s="1"/>
      <c r="J18" s="1"/>
      <c r="K18" s="1"/>
      <c r="L18" s="1"/>
    </row>
    <row r="19" spans="1:12" ht="16.5" thickBot="1" x14ac:dyDescent="0.3">
      <c r="B19" s="318" t="s">
        <v>58</v>
      </c>
      <c r="C19" s="319">
        <v>405.92887000000002</v>
      </c>
      <c r="D19" s="320"/>
      <c r="E19" s="448">
        <v>11.167999999999999</v>
      </c>
      <c r="F19" s="448">
        <v>32.33750000000002</v>
      </c>
      <c r="G19" s="448">
        <v>95.087000000000003</v>
      </c>
      <c r="H19" s="447">
        <v>289.67237</v>
      </c>
      <c r="I19" s="1"/>
      <c r="J19" s="1"/>
      <c r="K19" s="1"/>
      <c r="L19" s="1"/>
    </row>
    <row r="20" spans="1:12" ht="16.5" thickBot="1" x14ac:dyDescent="0.3">
      <c r="B20" s="321"/>
      <c r="C20" s="322"/>
      <c r="D20" s="323">
        <f>+SUM(D8:D19)</f>
        <v>1421.112749945218</v>
      </c>
      <c r="E20" s="323">
        <f>+SUM(E8:E19)</f>
        <v>206.05899999999997</v>
      </c>
      <c r="F20" s="323">
        <f t="shared" ref="F20:G20" si="0">+SUM(F8:F19)</f>
        <v>482.77903342044692</v>
      </c>
      <c r="G20" s="323">
        <f t="shared" si="0"/>
        <v>1041.5709999999999</v>
      </c>
      <c r="H20" s="322"/>
      <c r="I20" s="1"/>
      <c r="J20" s="1"/>
      <c r="K20" s="1"/>
      <c r="L20" s="1"/>
    </row>
    <row r="21" spans="1:12" x14ac:dyDescent="0.25">
      <c r="B21" s="321"/>
      <c r="I21" s="1"/>
      <c r="J21" s="1"/>
      <c r="K21" s="1"/>
      <c r="L21" s="1"/>
    </row>
    <row r="22" spans="1:12" x14ac:dyDescent="0.25">
      <c r="B22" s="324"/>
      <c r="C22" s="325" t="s">
        <v>174</v>
      </c>
      <c r="E22" s="326"/>
      <c r="F22" s="327" t="s">
        <v>175</v>
      </c>
      <c r="G22" s="328">
        <f>F20+G20</f>
        <v>1524.3500334204468</v>
      </c>
      <c r="H22" s="179"/>
      <c r="I22" s="1"/>
      <c r="J22" s="1"/>
      <c r="K22" s="1"/>
      <c r="L22" s="1"/>
    </row>
    <row r="23" spans="1:12" ht="15.75" thickBot="1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6.5" thickBot="1" x14ac:dyDescent="0.3">
      <c r="B24" s="261" t="s">
        <v>171</v>
      </c>
      <c r="C24" s="23"/>
      <c r="D24" s="329"/>
      <c r="E24" s="468" t="s">
        <v>171</v>
      </c>
      <c r="F24" s="469"/>
      <c r="G24" s="470"/>
      <c r="H24" s="1"/>
      <c r="I24" s="1"/>
      <c r="J24" s="1"/>
    </row>
    <row r="25" spans="1:12" ht="15.75" thickBot="1" x14ac:dyDescent="0.3">
      <c r="B25" s="478"/>
      <c r="C25" s="480" t="s">
        <v>171</v>
      </c>
      <c r="D25" s="332"/>
      <c r="E25" s="472" t="s">
        <v>176</v>
      </c>
      <c r="F25" s="474" t="s">
        <v>177</v>
      </c>
      <c r="G25" s="475"/>
      <c r="H25" s="1"/>
      <c r="I25" s="1"/>
      <c r="J25" s="1"/>
    </row>
    <row r="26" spans="1:12" ht="15.75" thickBot="1" x14ac:dyDescent="0.3">
      <c r="B26" s="479"/>
      <c r="C26" s="481"/>
      <c r="D26" s="333"/>
      <c r="E26" s="473"/>
      <c r="F26" s="334" t="s">
        <v>178</v>
      </c>
      <c r="G26" s="335" t="s">
        <v>179</v>
      </c>
    </row>
    <row r="27" spans="1:12" ht="15.75" x14ac:dyDescent="0.25">
      <c r="B27" s="336" t="s">
        <v>39</v>
      </c>
      <c r="C27" s="339">
        <v>60.277999999999999</v>
      </c>
      <c r="D27" s="337"/>
      <c r="E27" s="338">
        <v>24.628</v>
      </c>
      <c r="F27" s="339">
        <v>15.303000000000001</v>
      </c>
      <c r="G27" s="340">
        <v>20.346999999999998</v>
      </c>
    </row>
    <row r="28" spans="1:12" ht="15.75" x14ac:dyDescent="0.25">
      <c r="B28" s="341" t="s">
        <v>40</v>
      </c>
      <c r="C28" s="443">
        <v>59.936999999999998</v>
      </c>
      <c r="D28" s="337"/>
      <c r="E28" s="338">
        <v>24.652999999999999</v>
      </c>
      <c r="F28" s="342">
        <v>18.091000000000001</v>
      </c>
      <c r="G28" s="340">
        <v>17.192999999999998</v>
      </c>
    </row>
    <row r="29" spans="1:12" ht="15.75" x14ac:dyDescent="0.25">
      <c r="B29" s="341" t="s">
        <v>41</v>
      </c>
      <c r="C29" s="314">
        <v>69.722999999999999</v>
      </c>
      <c r="D29" s="6"/>
      <c r="E29" s="338">
        <v>25.108000000000001</v>
      </c>
      <c r="F29" s="342">
        <v>26.024000000000001</v>
      </c>
      <c r="G29" s="340">
        <v>18.590999999999994</v>
      </c>
      <c r="H29" s="4"/>
    </row>
    <row r="30" spans="1:12" ht="15.75" x14ac:dyDescent="0.25">
      <c r="B30" s="341" t="s">
        <v>42</v>
      </c>
      <c r="C30" s="314">
        <v>89.304000000000002</v>
      </c>
      <c r="D30" s="6"/>
      <c r="E30" s="338">
        <v>32.066000000000003</v>
      </c>
      <c r="F30" s="342">
        <v>33.999000000000002</v>
      </c>
      <c r="G30" s="340">
        <v>23.238999999999997</v>
      </c>
    </row>
    <row r="31" spans="1:12" ht="15.75" x14ac:dyDescent="0.25">
      <c r="B31" s="341" t="s">
        <v>43</v>
      </c>
      <c r="C31" s="314">
        <v>90.628</v>
      </c>
      <c r="D31" s="6"/>
      <c r="E31" s="338">
        <v>35.655999999999999</v>
      </c>
      <c r="F31" s="342">
        <v>31.253</v>
      </c>
      <c r="G31" s="340">
        <v>23.719000000000001</v>
      </c>
    </row>
    <row r="32" spans="1:12" ht="15.75" x14ac:dyDescent="0.25">
      <c r="B32" s="341" t="s">
        <v>44</v>
      </c>
      <c r="C32" s="314">
        <v>96.980999999999995</v>
      </c>
      <c r="D32" s="6"/>
      <c r="E32" s="338">
        <v>41.823999999999998</v>
      </c>
      <c r="F32" s="342">
        <v>33.686</v>
      </c>
      <c r="G32" s="340">
        <v>21.470999999999997</v>
      </c>
    </row>
    <row r="33" spans="1:8" ht="15.75" x14ac:dyDescent="0.25">
      <c r="B33" s="341" t="s">
        <v>45</v>
      </c>
      <c r="C33" s="314">
        <v>98.778000000000006</v>
      </c>
      <c r="D33" s="343"/>
      <c r="E33" s="338">
        <v>40.890999999999998</v>
      </c>
      <c r="F33" s="342">
        <v>30.201000000000001</v>
      </c>
      <c r="G33" s="340">
        <v>27.686000000000007</v>
      </c>
    </row>
    <row r="34" spans="1:8" ht="15.75" x14ac:dyDescent="0.25">
      <c r="B34" s="341" t="s">
        <v>46</v>
      </c>
      <c r="C34" s="314">
        <v>99.323999999999998</v>
      </c>
      <c r="D34" s="6"/>
      <c r="E34" s="338">
        <v>41.137</v>
      </c>
      <c r="F34" s="342">
        <v>29.777000000000001</v>
      </c>
      <c r="G34" s="340">
        <v>28.409999999999997</v>
      </c>
    </row>
    <row r="35" spans="1:8" ht="15.75" x14ac:dyDescent="0.25">
      <c r="B35" s="341" t="s">
        <v>55</v>
      </c>
      <c r="C35" s="314">
        <v>94.483000000000004</v>
      </c>
      <c r="D35" s="6"/>
      <c r="E35" s="338">
        <v>39.954000000000001</v>
      </c>
      <c r="F35" s="342">
        <v>26.466999999999999</v>
      </c>
      <c r="G35" s="340">
        <v>28.062000000000005</v>
      </c>
    </row>
    <row r="36" spans="1:8" ht="15.75" x14ac:dyDescent="0.25">
      <c r="B36" s="341" t="s">
        <v>56</v>
      </c>
      <c r="C36" s="314">
        <v>110.997</v>
      </c>
      <c r="D36" s="6"/>
      <c r="E36" s="338">
        <v>43.427</v>
      </c>
      <c r="F36" s="342">
        <v>37.360999999999997</v>
      </c>
      <c r="G36" s="340">
        <v>30.208999999999996</v>
      </c>
    </row>
    <row r="37" spans="1:8" ht="15.75" x14ac:dyDescent="0.25">
      <c r="B37" s="341" t="s">
        <v>57</v>
      </c>
      <c r="C37" s="445">
        <v>76.051000000000002</v>
      </c>
      <c r="D37" s="344"/>
      <c r="E37" s="338">
        <v>27.872</v>
      </c>
      <c r="F37" s="342">
        <v>23.861000000000001</v>
      </c>
      <c r="G37" s="340">
        <v>24.318000000000001</v>
      </c>
    </row>
    <row r="38" spans="1:8" ht="16.5" thickBot="1" x14ac:dyDescent="0.3">
      <c r="B38" s="345" t="s">
        <v>58</v>
      </c>
      <c r="C38" s="446">
        <v>95.087000000000003</v>
      </c>
      <c r="D38" s="6"/>
      <c r="E38" s="338">
        <v>38.944000000000003</v>
      </c>
      <c r="F38" s="342">
        <v>26.324000000000002</v>
      </c>
      <c r="G38" s="340">
        <v>29.818999999999999</v>
      </c>
    </row>
    <row r="39" spans="1:8" ht="16.5" thickBot="1" x14ac:dyDescent="0.3">
      <c r="B39" s="346"/>
      <c r="C39" s="323">
        <f t="shared" ref="C39" si="1">+SUM(C27:C38)</f>
        <v>1041.5709999999999</v>
      </c>
      <c r="D39" s="333"/>
      <c r="E39" s="347">
        <f>+SUM(E27:E38)</f>
        <v>416.16</v>
      </c>
      <c r="F39" s="347">
        <f>+SUM(F27:F38)</f>
        <v>332.34699999999998</v>
      </c>
      <c r="G39" s="347">
        <f>+SUM(G27:G38)</f>
        <v>293.06400000000002</v>
      </c>
      <c r="H39" s="4"/>
    </row>
    <row r="40" spans="1:8" ht="17.25" thickTop="1" thickBot="1" x14ac:dyDescent="0.3">
      <c r="B40" s="2"/>
      <c r="C40" s="2"/>
      <c r="E40" s="463">
        <f>SUM(E39:G39)</f>
        <v>1041.5710000000001</v>
      </c>
      <c r="F40" s="464"/>
      <c r="G40" s="465"/>
    </row>
    <row r="41" spans="1:8" ht="15.75" thickTop="1" x14ac:dyDescent="0.25">
      <c r="B41" s="2"/>
      <c r="C41" s="2"/>
      <c r="D41" s="2"/>
      <c r="E41" s="2"/>
    </row>
    <row r="42" spans="1:8" ht="15.75" thickBot="1" x14ac:dyDescent="0.3">
      <c r="E42" s="311"/>
    </row>
    <row r="43" spans="1:8" ht="16.5" thickBot="1" x14ac:dyDescent="0.3">
      <c r="B43" s="261" t="s">
        <v>180</v>
      </c>
      <c r="C43" s="23"/>
      <c r="E43" s="468" t="s">
        <v>169</v>
      </c>
      <c r="F43" s="469"/>
      <c r="G43" s="470"/>
    </row>
    <row r="44" spans="1:8" ht="15.75" customHeight="1" thickBot="1" x14ac:dyDescent="0.3">
      <c r="B44" s="471"/>
      <c r="C44" s="472" t="s">
        <v>48</v>
      </c>
      <c r="E44" s="472" t="s">
        <v>176</v>
      </c>
      <c r="F44" s="474" t="s">
        <v>177</v>
      </c>
      <c r="G44" s="475"/>
    </row>
    <row r="45" spans="1:8" ht="15" customHeight="1" thickBot="1" x14ac:dyDescent="0.3">
      <c r="B45" s="471"/>
      <c r="C45" s="473"/>
      <c r="E45" s="473"/>
      <c r="F45" s="334" t="s">
        <v>178</v>
      </c>
      <c r="G45" s="335" t="s">
        <v>179</v>
      </c>
    </row>
    <row r="46" spans="1:8" ht="15.75" x14ac:dyDescent="0.25">
      <c r="A46" s="6"/>
      <c r="B46" s="336" t="s">
        <v>39</v>
      </c>
      <c r="C46" s="441">
        <v>38.408901540294202</v>
      </c>
      <c r="E46" s="339">
        <v>7.9089999999999998</v>
      </c>
      <c r="F46" s="339">
        <v>0.92700000000000005</v>
      </c>
      <c r="G46" s="339">
        <v>7.0800000000000018</v>
      </c>
    </row>
    <row r="47" spans="1:8" ht="15.75" x14ac:dyDescent="0.25">
      <c r="A47" s="6"/>
      <c r="B47" s="341" t="s">
        <v>40</v>
      </c>
      <c r="C47" s="314">
        <v>40.438747368009544</v>
      </c>
      <c r="E47" s="338">
        <v>2.871</v>
      </c>
      <c r="F47" s="342">
        <v>0.31900000000000001</v>
      </c>
      <c r="G47" s="340">
        <v>20.386000000000003</v>
      </c>
    </row>
    <row r="48" spans="1:8" ht="15.75" x14ac:dyDescent="0.25">
      <c r="A48" s="6"/>
      <c r="B48" s="341" t="s">
        <v>41</v>
      </c>
      <c r="C48" s="314">
        <v>54.225039957053212</v>
      </c>
      <c r="E48" s="338">
        <v>6.03</v>
      </c>
      <c r="F48" s="342">
        <v>3.0230000000000001</v>
      </c>
      <c r="G48" s="340">
        <v>21.538999999999998</v>
      </c>
    </row>
    <row r="49" spans="1:9" ht="15.75" x14ac:dyDescent="0.25">
      <c r="A49" s="6"/>
      <c r="B49" s="341" t="s">
        <v>42</v>
      </c>
      <c r="C49" s="314">
        <v>49.430284128360796</v>
      </c>
      <c r="E49" s="338">
        <v>6.9859999999999998</v>
      </c>
      <c r="F49" s="342">
        <v>0.81299999999999994</v>
      </c>
      <c r="G49" s="340">
        <v>9.5860000000000003</v>
      </c>
    </row>
    <row r="50" spans="1:9" ht="15.75" x14ac:dyDescent="0.25">
      <c r="A50" s="6"/>
      <c r="B50" s="341" t="s">
        <v>43</v>
      </c>
      <c r="C50" s="314">
        <v>40.568916641591116</v>
      </c>
      <c r="E50" s="338">
        <v>9.3849999999999998</v>
      </c>
      <c r="F50" s="342">
        <v>1.095</v>
      </c>
      <c r="G50" s="340">
        <v>8.5620000000000012</v>
      </c>
    </row>
    <row r="51" spans="1:9" ht="15.75" x14ac:dyDescent="0.25">
      <c r="A51" s="6"/>
      <c r="B51" s="341" t="s">
        <v>44</v>
      </c>
      <c r="C51" s="314">
        <v>43.606513839920041</v>
      </c>
      <c r="E51" s="338">
        <v>10.878</v>
      </c>
      <c r="F51" s="342">
        <v>0.84299999999999997</v>
      </c>
      <c r="G51" s="340">
        <v>10.331</v>
      </c>
    </row>
    <row r="52" spans="1:9" ht="15.75" x14ac:dyDescent="0.25">
      <c r="A52" s="6"/>
      <c r="B52" s="341" t="s">
        <v>45</v>
      </c>
      <c r="C52" s="314">
        <v>35.672966110545204</v>
      </c>
      <c r="E52" s="338">
        <v>6.31</v>
      </c>
      <c r="F52" s="342">
        <v>1.3759999999999999</v>
      </c>
      <c r="G52" s="340">
        <v>8.9490000000000034</v>
      </c>
    </row>
    <row r="53" spans="1:9" ht="15.75" x14ac:dyDescent="0.25">
      <c r="A53" s="6"/>
      <c r="B53" s="341" t="s">
        <v>46</v>
      </c>
      <c r="C53" s="314">
        <v>36.885763834672744</v>
      </c>
      <c r="D53" s="348"/>
      <c r="E53" s="338">
        <v>6.2789999999999999</v>
      </c>
      <c r="F53" s="342">
        <v>1.2929999999999999</v>
      </c>
      <c r="G53" s="340">
        <v>7.7049999999999992</v>
      </c>
    </row>
    <row r="54" spans="1:9" ht="15.75" x14ac:dyDescent="0.25">
      <c r="A54" s="6"/>
      <c r="B54" s="341" t="s">
        <v>55</v>
      </c>
      <c r="C54" s="314">
        <v>37.955560000000105</v>
      </c>
      <c r="E54" s="338">
        <v>3.903</v>
      </c>
      <c r="F54" s="342">
        <v>2</v>
      </c>
      <c r="G54" s="340">
        <v>8.6379999999999999</v>
      </c>
    </row>
    <row r="55" spans="1:9" ht="15.75" x14ac:dyDescent="0.25">
      <c r="A55" s="6"/>
      <c r="B55" s="341" t="s">
        <v>56</v>
      </c>
      <c r="C55" s="314">
        <v>37.736179999999948</v>
      </c>
      <c r="E55" s="338">
        <v>4.8010000000000002</v>
      </c>
      <c r="F55" s="342">
        <v>0.55600000000000005</v>
      </c>
      <c r="G55" s="340">
        <v>7.7529999999999992</v>
      </c>
    </row>
    <row r="56" spans="1:9" ht="15.75" x14ac:dyDescent="0.25">
      <c r="A56" s="6"/>
      <c r="B56" s="341" t="s">
        <v>57</v>
      </c>
      <c r="C56" s="445">
        <v>35.512659999999983</v>
      </c>
      <c r="D56" s="349"/>
      <c r="E56" s="338">
        <v>3.7610000000000001</v>
      </c>
      <c r="F56" s="342">
        <v>0.16600000000000001</v>
      </c>
      <c r="G56" s="340">
        <v>2.8379999999999996</v>
      </c>
    </row>
    <row r="57" spans="1:9" ht="16.5" thickBot="1" x14ac:dyDescent="0.3">
      <c r="A57" s="6"/>
      <c r="B57" s="345" t="s">
        <v>58</v>
      </c>
      <c r="C57" s="448">
        <v>32.33750000000002</v>
      </c>
      <c r="E57" s="338">
        <v>7.9249999999999998</v>
      </c>
      <c r="F57" s="342">
        <v>0.46800000000000003</v>
      </c>
      <c r="G57" s="340">
        <v>2.7749999999999995</v>
      </c>
    </row>
    <row r="58" spans="1:9" ht="16.5" thickBot="1" x14ac:dyDescent="0.3">
      <c r="B58" s="49"/>
      <c r="C58" s="323">
        <f t="shared" ref="C58" si="2">+SUM(C46:C57)</f>
        <v>482.77903342044692</v>
      </c>
      <c r="E58" s="350">
        <f>SUM(E46:E57)</f>
        <v>77.037999999999982</v>
      </c>
      <c r="F58" s="350">
        <f>SUM(F46:F57)</f>
        <v>12.878999999999998</v>
      </c>
      <c r="G58" s="350">
        <f>SUM(G46:G57)</f>
        <v>116.14200000000001</v>
      </c>
    </row>
    <row r="59" spans="1:9" ht="17.25" thickTop="1" thickBot="1" x14ac:dyDescent="0.3">
      <c r="C59" s="351"/>
      <c r="E59" s="463">
        <f>SUM(E58:G58)</f>
        <v>206.05899999999997</v>
      </c>
      <c r="F59" s="464"/>
      <c r="G59" s="465"/>
    </row>
    <row r="60" spans="1:9" ht="15.75" thickTop="1" x14ac:dyDescent="0.25">
      <c r="C60" s="179"/>
      <c r="G60" s="9"/>
      <c r="H60" s="9"/>
      <c r="I60" s="9"/>
    </row>
    <row r="61" spans="1:9" ht="15" customHeight="1" thickBot="1" x14ac:dyDescent="0.3">
      <c r="B61" s="466" t="s">
        <v>181</v>
      </c>
      <c r="C61" s="466"/>
      <c r="D61" s="466"/>
      <c r="E61" s="466"/>
      <c r="F61" s="466"/>
    </row>
    <row r="62" spans="1:9" ht="25.5" customHeight="1" thickBot="1" x14ac:dyDescent="0.3">
      <c r="B62" s="24"/>
      <c r="C62" s="352" t="s">
        <v>0</v>
      </c>
      <c r="D62" s="353" t="s">
        <v>182</v>
      </c>
      <c r="E62" s="354" t="s">
        <v>183</v>
      </c>
      <c r="F62" s="353" t="s">
        <v>48</v>
      </c>
    </row>
    <row r="63" spans="1:9" ht="15.75" customHeight="1" x14ac:dyDescent="0.25">
      <c r="A63" s="6"/>
      <c r="B63" s="336" t="s">
        <v>39</v>
      </c>
      <c r="C63" s="355">
        <f>+F63-E63-D63</f>
        <v>54.385299999999994</v>
      </c>
      <c r="D63" s="356">
        <v>0.43598999999999999</v>
      </c>
      <c r="E63" s="357">
        <v>86.128100000000003</v>
      </c>
      <c r="F63" s="358">
        <v>140.94938999999999</v>
      </c>
      <c r="G63" s="179"/>
      <c r="H63" s="179"/>
    </row>
    <row r="64" spans="1:9" ht="15.75" x14ac:dyDescent="0.25">
      <c r="A64" s="6"/>
      <c r="B64" s="341" t="s">
        <v>40</v>
      </c>
      <c r="C64" s="359">
        <f t="shared" ref="C64:C74" si="3">+F64-E64-D64</f>
        <v>235.65430000000001</v>
      </c>
      <c r="D64" s="360">
        <v>0.84782999999999997</v>
      </c>
      <c r="E64" s="361">
        <v>94.317800000000005</v>
      </c>
      <c r="F64" s="362">
        <v>330.81993</v>
      </c>
      <c r="G64" s="179"/>
      <c r="H64" s="179"/>
    </row>
    <row r="65" spans="1:9" ht="15.75" x14ac:dyDescent="0.25">
      <c r="A65" s="6"/>
      <c r="B65" s="341" t="s">
        <v>41</v>
      </c>
      <c r="C65" s="359">
        <f t="shared" si="3"/>
        <v>693.42439999999999</v>
      </c>
      <c r="D65" s="360">
        <v>4.3147900000000003</v>
      </c>
      <c r="E65" s="361">
        <v>136.1557</v>
      </c>
      <c r="F65" s="362">
        <v>833.89489000000003</v>
      </c>
      <c r="G65" s="179"/>
      <c r="H65" s="179"/>
    </row>
    <row r="66" spans="1:9" ht="15.75" x14ac:dyDescent="0.25">
      <c r="A66" s="6"/>
      <c r="B66" s="341" t="s">
        <v>42</v>
      </c>
      <c r="C66" s="359">
        <f t="shared" si="3"/>
        <v>873.41049999999984</v>
      </c>
      <c r="D66" s="360">
        <v>14.96941</v>
      </c>
      <c r="E66" s="361">
        <v>175.64659999999998</v>
      </c>
      <c r="F66" s="362">
        <v>1064.0265099999999</v>
      </c>
      <c r="G66" s="179"/>
      <c r="H66" s="179"/>
    </row>
    <row r="67" spans="1:9" ht="15.75" x14ac:dyDescent="0.25">
      <c r="A67" s="6"/>
      <c r="B67" s="341" t="s">
        <v>43</v>
      </c>
      <c r="C67" s="359">
        <f t="shared" si="3"/>
        <v>889.61339999999996</v>
      </c>
      <c r="D67" s="360">
        <v>16.030989999999999</v>
      </c>
      <c r="E67" s="361">
        <v>200.29760000000005</v>
      </c>
      <c r="F67" s="362">
        <v>1105.94199</v>
      </c>
      <c r="G67" s="363"/>
      <c r="H67" s="179"/>
    </row>
    <row r="68" spans="1:9" ht="15.75" x14ac:dyDescent="0.25">
      <c r="A68" s="6"/>
      <c r="B68" s="341" t="s">
        <v>44</v>
      </c>
      <c r="C68" s="359">
        <f t="shared" si="3"/>
        <v>776.08669999999995</v>
      </c>
      <c r="D68" s="360">
        <v>11.97035</v>
      </c>
      <c r="E68" s="361">
        <v>211.55319999999998</v>
      </c>
      <c r="F68" s="362">
        <v>999.61024999999995</v>
      </c>
      <c r="G68" s="179"/>
      <c r="H68" s="179"/>
    </row>
    <row r="69" spans="1:9" ht="15.75" x14ac:dyDescent="0.25">
      <c r="A69" s="6"/>
      <c r="B69" s="341" t="s">
        <v>45</v>
      </c>
      <c r="C69" s="359">
        <f t="shared" si="3"/>
        <v>668.18640000000005</v>
      </c>
      <c r="D69" s="360">
        <v>9.8352900000000005</v>
      </c>
      <c r="E69" s="361">
        <v>206.93770000000001</v>
      </c>
      <c r="F69" s="362">
        <v>884.95938999999998</v>
      </c>
      <c r="H69" s="179"/>
    </row>
    <row r="70" spans="1:9" ht="15.75" x14ac:dyDescent="0.25">
      <c r="A70" s="6"/>
      <c r="B70" s="341" t="s">
        <v>46</v>
      </c>
      <c r="C70" s="359">
        <f t="shared" si="3"/>
        <v>556.64580000000001</v>
      </c>
      <c r="D70" s="360">
        <v>7.1281699999999999</v>
      </c>
      <c r="E70" s="361">
        <v>200.47430000000003</v>
      </c>
      <c r="F70" s="362">
        <v>764.24827000000005</v>
      </c>
      <c r="H70" s="179"/>
    </row>
    <row r="71" spans="1:9" ht="15.75" x14ac:dyDescent="0.25">
      <c r="A71" s="6"/>
      <c r="B71" s="341" t="s">
        <v>55</v>
      </c>
      <c r="C71" s="359">
        <f t="shared" si="3"/>
        <v>444.42909999999989</v>
      </c>
      <c r="D71" s="360">
        <v>5.1805099999999999</v>
      </c>
      <c r="E71" s="361">
        <v>196.74110000000002</v>
      </c>
      <c r="F71" s="362">
        <v>646.35070999999994</v>
      </c>
      <c r="G71" s="179"/>
      <c r="H71" s="179"/>
    </row>
    <row r="72" spans="1:9" ht="15.75" x14ac:dyDescent="0.25">
      <c r="A72" s="6"/>
      <c r="B72" s="341" t="s">
        <v>56</v>
      </c>
      <c r="C72" s="359">
        <f t="shared" si="3"/>
        <v>317.49769999999995</v>
      </c>
      <c r="D72" s="360">
        <v>3.9519299999999999</v>
      </c>
      <c r="E72" s="361">
        <v>189.27790000000002</v>
      </c>
      <c r="F72" s="362">
        <v>510.72753</v>
      </c>
    </row>
    <row r="73" spans="1:9" ht="15.75" x14ac:dyDescent="0.25">
      <c r="A73" s="6"/>
      <c r="B73" s="341" t="s">
        <v>57</v>
      </c>
      <c r="C73" s="359">
        <f t="shared" si="3"/>
        <v>236.46809999999999</v>
      </c>
      <c r="D73" s="360">
        <v>3.3443700000000001</v>
      </c>
      <c r="E73" s="361">
        <v>166.11640000000003</v>
      </c>
      <c r="F73" s="362">
        <v>405.92887000000002</v>
      </c>
    </row>
    <row r="74" spans="1:9" ht="16.5" thickBot="1" x14ac:dyDescent="0.3">
      <c r="A74" s="6"/>
      <c r="B74" s="345" t="s">
        <v>58</v>
      </c>
      <c r="C74" s="364">
        <f t="shared" si="3"/>
        <v>138.2132</v>
      </c>
      <c r="D74" s="365">
        <v>2.9432700000000001</v>
      </c>
      <c r="E74" s="366">
        <v>148.51589999999999</v>
      </c>
      <c r="F74" s="367">
        <v>289.67237</v>
      </c>
    </row>
    <row r="76" spans="1:9" x14ac:dyDescent="0.25">
      <c r="B76" s="467" t="s">
        <v>184</v>
      </c>
      <c r="C76" s="467"/>
      <c r="D76" s="467"/>
      <c r="E76" s="467"/>
      <c r="F76" s="467"/>
    </row>
    <row r="77" spans="1:9" ht="15.75" x14ac:dyDescent="0.25">
      <c r="C77" s="261"/>
      <c r="D77" s="261"/>
      <c r="E77" s="261"/>
      <c r="G77" s="261" t="s">
        <v>121</v>
      </c>
      <c r="H77" s="261"/>
      <c r="I77" s="261"/>
    </row>
  </sheetData>
  <mergeCells count="22">
    <mergeCell ref="D2:G4"/>
    <mergeCell ref="B6:B7"/>
    <mergeCell ref="C6:C7"/>
    <mergeCell ref="D6:D7"/>
    <mergeCell ref="E6:E7"/>
    <mergeCell ref="F6:F7"/>
    <mergeCell ref="G6:G7"/>
    <mergeCell ref="H6:H7"/>
    <mergeCell ref="E24:G24"/>
    <mergeCell ref="B25:B26"/>
    <mergeCell ref="C25:C26"/>
    <mergeCell ref="E25:E26"/>
    <mergeCell ref="F25:G25"/>
    <mergeCell ref="E59:G59"/>
    <mergeCell ref="B61:F61"/>
    <mergeCell ref="B76:F76"/>
    <mergeCell ref="E40:G40"/>
    <mergeCell ref="E43:G43"/>
    <mergeCell ref="B44:B45"/>
    <mergeCell ref="C44:C45"/>
    <mergeCell ref="E44:E45"/>
    <mergeCell ref="F44:G44"/>
  </mergeCells>
  <pageMargins left="0.70866141732283472" right="0.70866141732283472" top="0.74803149606299213" bottom="0.74803149606299213" header="0.31496062992125984" footer="0.31496062992125984"/>
  <pageSetup paperSize="9" scale="59" orientation="portrait" horizontalDpi="4294967293" r:id="rId1"/>
  <headerFooter>
    <oddHeader>&amp;L&amp;G&amp;RCAMPAÑA: 2024/2025. MES: SEPTIEMBRE
Fecha de emisión de datos: 07/05/2026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FC8C0-0DA5-4D03-901C-B872CC4776B1}">
  <dimension ref="A2:O90"/>
  <sheetViews>
    <sheetView view="pageLayout" zoomScale="85" zoomScaleNormal="70" zoomScaleSheetLayoutView="50" zoomScalePageLayoutView="85" workbookViewId="0">
      <selection activeCell="H29" sqref="H29"/>
    </sheetView>
  </sheetViews>
  <sheetFormatPr baseColWidth="10" defaultColWidth="11.42578125" defaultRowHeight="15" x14ac:dyDescent="0.25"/>
  <cols>
    <col min="1" max="1" width="12.28515625" customWidth="1"/>
  </cols>
  <sheetData>
    <row r="2" spans="1:15" ht="21" customHeight="1" x14ac:dyDescent="0.25">
      <c r="D2" s="489" t="s">
        <v>185</v>
      </c>
      <c r="E2" s="489"/>
      <c r="F2" s="489"/>
      <c r="G2" s="489"/>
      <c r="H2" s="489"/>
      <c r="I2" s="489"/>
      <c r="J2" s="489"/>
      <c r="K2" s="489"/>
      <c r="L2" s="489"/>
    </row>
    <row r="3" spans="1:15" ht="15" customHeight="1" x14ac:dyDescent="0.25">
      <c r="D3" s="489"/>
      <c r="E3" s="489"/>
      <c r="F3" s="489"/>
      <c r="G3" s="489"/>
      <c r="H3" s="489"/>
      <c r="I3" s="489"/>
      <c r="J3" s="489"/>
      <c r="K3" s="489"/>
      <c r="L3" s="489"/>
    </row>
    <row r="4" spans="1:15" ht="15" customHeight="1" x14ac:dyDescent="0.25">
      <c r="D4" s="489"/>
      <c r="E4" s="489"/>
      <c r="F4" s="489"/>
      <c r="G4" s="489"/>
      <c r="H4" s="489"/>
      <c r="I4" s="489"/>
      <c r="J4" s="489"/>
      <c r="K4" s="489"/>
      <c r="L4" s="489"/>
    </row>
    <row r="5" spans="1:15" ht="15.75" customHeight="1" x14ac:dyDescent="0.25">
      <c r="F5" s="310"/>
      <c r="G5" s="310"/>
      <c r="H5" s="310"/>
      <c r="I5" s="310"/>
      <c r="J5" s="310"/>
    </row>
    <row r="6" spans="1:15" ht="16.5" thickBot="1" x14ac:dyDescent="0.3">
      <c r="C6" s="490" t="s">
        <v>71</v>
      </c>
      <c r="D6" s="490"/>
      <c r="E6" s="490"/>
      <c r="F6" s="490"/>
      <c r="G6" s="490"/>
      <c r="I6" s="486" t="s">
        <v>71</v>
      </c>
      <c r="J6" s="486"/>
      <c r="K6" s="486"/>
      <c r="L6" s="486"/>
      <c r="M6" s="486"/>
      <c r="N6" s="486"/>
      <c r="O6" s="368"/>
    </row>
    <row r="7" spans="1:15" ht="15.75" thickBot="1" x14ac:dyDescent="0.3">
      <c r="B7" s="24"/>
      <c r="C7" s="167" t="s">
        <v>233</v>
      </c>
      <c r="D7" s="331" t="s">
        <v>186</v>
      </c>
      <c r="E7" s="330" t="s">
        <v>187</v>
      </c>
      <c r="F7" s="167" t="s">
        <v>188</v>
      </c>
      <c r="G7" s="167" t="s">
        <v>189</v>
      </c>
      <c r="I7" s="369"/>
      <c r="J7" s="369"/>
      <c r="K7" s="369"/>
      <c r="L7" s="369"/>
      <c r="M7" s="369"/>
      <c r="N7" s="369"/>
    </row>
    <row r="8" spans="1:15" x14ac:dyDescent="0.25">
      <c r="A8" s="6"/>
      <c r="B8" s="336" t="s">
        <v>39</v>
      </c>
      <c r="C8" s="370">
        <v>38.299999999999997</v>
      </c>
      <c r="D8" s="452">
        <v>51.3461</v>
      </c>
      <c r="E8" s="452">
        <v>30.671399999999998</v>
      </c>
      <c r="F8" s="453">
        <v>38.6693</v>
      </c>
      <c r="G8" s="408">
        <v>36.869638065065338</v>
      </c>
      <c r="I8" s="369"/>
      <c r="J8" s="369"/>
      <c r="K8" s="369"/>
      <c r="L8" s="369"/>
      <c r="M8" s="369"/>
      <c r="N8" s="369"/>
    </row>
    <row r="9" spans="1:15" x14ac:dyDescent="0.25">
      <c r="A9" s="6"/>
      <c r="B9" s="341" t="s">
        <v>40</v>
      </c>
      <c r="C9" s="372">
        <v>244.7</v>
      </c>
      <c r="D9" s="373">
        <v>288.16980000000001</v>
      </c>
      <c r="E9" s="373">
        <v>169.01759999999999</v>
      </c>
      <c r="F9" s="374">
        <v>230.01429999999999</v>
      </c>
      <c r="G9" s="459">
        <v>266.67028736800955</v>
      </c>
      <c r="I9" s="369"/>
      <c r="J9" s="369"/>
      <c r="K9" s="369"/>
      <c r="L9" s="369"/>
      <c r="M9" s="369"/>
      <c r="N9" s="369"/>
    </row>
    <row r="10" spans="1:15" x14ac:dyDescent="0.25">
      <c r="A10" s="6"/>
      <c r="B10" s="341" t="s">
        <v>41</v>
      </c>
      <c r="C10" s="372">
        <v>475.3</v>
      </c>
      <c r="D10" s="373">
        <v>542.71</v>
      </c>
      <c r="E10" s="373">
        <v>238.86349999999999</v>
      </c>
      <c r="F10" s="374">
        <v>328.48059999999998</v>
      </c>
      <c r="G10" s="459">
        <v>596.43099995705325</v>
      </c>
      <c r="I10" s="369"/>
      <c r="J10" s="369"/>
      <c r="K10" s="369"/>
      <c r="L10" s="369"/>
      <c r="M10" s="369"/>
      <c r="N10" s="369"/>
    </row>
    <row r="11" spans="1:15" x14ac:dyDescent="0.25">
      <c r="A11" s="6"/>
      <c r="B11" s="341" t="s">
        <v>42</v>
      </c>
      <c r="C11" s="372">
        <v>352.1</v>
      </c>
      <c r="D11" s="373">
        <v>471.18740000000003</v>
      </c>
      <c r="E11" s="373">
        <v>182.35240000000002</v>
      </c>
      <c r="F11" s="374">
        <v>188.18690000000001</v>
      </c>
      <c r="G11" s="459">
        <v>351.48090412836069</v>
      </c>
      <c r="I11" s="369"/>
      <c r="J11" s="369"/>
      <c r="K11" s="369"/>
      <c r="L11" s="369"/>
      <c r="M11" s="369"/>
      <c r="N11" s="369"/>
    </row>
    <row r="12" spans="1:15" x14ac:dyDescent="0.25">
      <c r="A12" s="6"/>
      <c r="B12" s="341" t="s">
        <v>43</v>
      </c>
      <c r="C12" s="372">
        <v>227.4</v>
      </c>
      <c r="D12" s="373">
        <v>108.80719999999999</v>
      </c>
      <c r="E12" s="373">
        <v>36.077399999999997</v>
      </c>
      <c r="F12" s="374">
        <v>53.141999999999996</v>
      </c>
      <c r="G12" s="459">
        <v>154.07039664159123</v>
      </c>
      <c r="I12" s="369"/>
      <c r="J12" s="369"/>
      <c r="K12" s="369"/>
      <c r="L12" s="369"/>
      <c r="M12" s="369"/>
      <c r="N12" s="369"/>
    </row>
    <row r="13" spans="1:15" x14ac:dyDescent="0.25">
      <c r="A13" s="6"/>
      <c r="B13" s="341" t="s">
        <v>44</v>
      </c>
      <c r="C13" s="372">
        <v>44.6</v>
      </c>
      <c r="D13" s="373">
        <v>20.7576</v>
      </c>
      <c r="E13" s="373">
        <v>8.0173000000000005</v>
      </c>
      <c r="F13" s="374">
        <v>14.097100000000001</v>
      </c>
      <c r="G13" s="459">
        <v>12.203773839919968</v>
      </c>
      <c r="I13" s="369"/>
      <c r="J13" s="369"/>
      <c r="K13" s="369"/>
      <c r="L13" s="369"/>
      <c r="M13" s="369"/>
      <c r="N13" s="369"/>
    </row>
    <row r="14" spans="1:15" x14ac:dyDescent="0.25">
      <c r="A14" s="6"/>
      <c r="B14" s="341" t="s">
        <v>45</v>
      </c>
      <c r="C14" s="372">
        <v>3.1</v>
      </c>
      <c r="D14" s="373">
        <v>7.1166999999999998</v>
      </c>
      <c r="E14" s="373">
        <v>0.97220000000000006</v>
      </c>
      <c r="F14" s="374">
        <v>2.7940999999999998</v>
      </c>
      <c r="G14" s="459">
        <v>3.1651061105452594</v>
      </c>
      <c r="I14" s="369"/>
      <c r="J14" s="369"/>
      <c r="K14" s="369"/>
      <c r="L14" s="369"/>
      <c r="M14" s="369"/>
      <c r="N14" s="369"/>
    </row>
    <row r="15" spans="1:15" x14ac:dyDescent="0.25">
      <c r="A15" s="6"/>
      <c r="B15" s="341" t="s">
        <v>46</v>
      </c>
      <c r="C15" s="372">
        <v>4.5</v>
      </c>
      <c r="D15" s="373">
        <v>2.9136000000000002</v>
      </c>
      <c r="E15" s="373">
        <v>4.0899999999999999E-2</v>
      </c>
      <c r="F15" s="374">
        <v>0.19240000000000002</v>
      </c>
      <c r="G15" s="459">
        <v>0.2216438346728094</v>
      </c>
      <c r="I15" s="369"/>
      <c r="J15" s="369"/>
      <c r="K15" s="369"/>
      <c r="L15" s="369"/>
      <c r="M15" s="369"/>
      <c r="N15" s="369"/>
    </row>
    <row r="16" spans="1:15" x14ac:dyDescent="0.25">
      <c r="A16" s="6"/>
      <c r="B16" s="341" t="s">
        <v>55</v>
      </c>
      <c r="C16" s="376"/>
      <c r="D16" s="377"/>
      <c r="E16" s="377"/>
      <c r="F16" s="378"/>
      <c r="G16" s="379"/>
      <c r="I16" s="369"/>
      <c r="J16" s="369"/>
      <c r="K16" s="369"/>
      <c r="L16" s="369"/>
      <c r="M16" s="369"/>
      <c r="N16" s="369"/>
    </row>
    <row r="17" spans="1:15" x14ac:dyDescent="0.25">
      <c r="A17" s="6"/>
      <c r="B17" s="341" t="s">
        <v>56</v>
      </c>
      <c r="C17" s="376"/>
      <c r="D17" s="377"/>
      <c r="E17" s="377"/>
      <c r="F17" s="377"/>
      <c r="G17" s="380"/>
      <c r="I17" s="369"/>
      <c r="J17" s="369"/>
      <c r="K17" s="369"/>
      <c r="L17" s="369"/>
      <c r="M17" s="369"/>
      <c r="N17" s="369"/>
    </row>
    <row r="18" spans="1:15" x14ac:dyDescent="0.25">
      <c r="A18" s="6"/>
      <c r="B18" s="341" t="s">
        <v>57</v>
      </c>
      <c r="C18" s="376"/>
      <c r="D18" s="377"/>
      <c r="E18" s="377"/>
      <c r="F18" s="378"/>
      <c r="G18" s="381"/>
      <c r="I18" s="369"/>
      <c r="J18" s="369"/>
      <c r="K18" s="369"/>
      <c r="L18" s="369"/>
      <c r="M18" s="369"/>
      <c r="N18" s="369"/>
    </row>
    <row r="19" spans="1:15" ht="15.75" thickBot="1" x14ac:dyDescent="0.3">
      <c r="A19" s="6"/>
      <c r="B19" s="345" t="s">
        <v>58</v>
      </c>
      <c r="C19" s="382"/>
      <c r="D19" s="383"/>
      <c r="E19" s="384"/>
      <c r="F19" s="383"/>
      <c r="G19" s="385"/>
      <c r="I19" s="369"/>
      <c r="J19" s="369"/>
      <c r="K19" s="369"/>
      <c r="L19" s="369"/>
      <c r="M19" s="369"/>
      <c r="N19" s="369"/>
    </row>
    <row r="20" spans="1:15" ht="15.75" thickBot="1" x14ac:dyDescent="0.3">
      <c r="B20" s="386"/>
      <c r="C20" s="387">
        <f>+SUM(C8:C19)</f>
        <v>1390</v>
      </c>
      <c r="D20" s="387">
        <f t="shared" ref="D20:G20" si="0">+SUM(D8:D19)</f>
        <v>1493.0084000000002</v>
      </c>
      <c r="E20" s="387">
        <f t="shared" si="0"/>
        <v>666.0127</v>
      </c>
      <c r="F20" s="387">
        <f t="shared" si="0"/>
        <v>855.57669999999985</v>
      </c>
      <c r="G20" s="387">
        <f t="shared" si="0"/>
        <v>1421.112749945218</v>
      </c>
      <c r="H20" s="4"/>
      <c r="I20" s="369"/>
      <c r="J20" s="369"/>
      <c r="K20" s="369"/>
      <c r="L20" s="369"/>
      <c r="M20" s="369"/>
      <c r="N20" s="369"/>
    </row>
    <row r="22" spans="1:15" x14ac:dyDescent="0.25">
      <c r="F22" s="388"/>
    </row>
    <row r="23" spans="1:15" ht="16.5" thickBot="1" x14ac:dyDescent="0.3">
      <c r="C23" s="490" t="s">
        <v>169</v>
      </c>
      <c r="D23" s="490"/>
      <c r="E23" s="490"/>
      <c r="F23" s="490"/>
      <c r="G23" s="490"/>
      <c r="I23" s="486" t="s">
        <v>169</v>
      </c>
      <c r="J23" s="486"/>
      <c r="K23" s="486"/>
      <c r="L23" s="486"/>
      <c r="M23" s="486"/>
      <c r="N23" s="486"/>
      <c r="O23" s="368"/>
    </row>
    <row r="24" spans="1:15" ht="15.75" thickBot="1" x14ac:dyDescent="0.3">
      <c r="B24" s="24"/>
      <c r="C24" s="167" t="s">
        <v>233</v>
      </c>
      <c r="D24" s="331" t="s">
        <v>186</v>
      </c>
      <c r="E24" s="330" t="s">
        <v>187</v>
      </c>
      <c r="F24" s="167" t="s">
        <v>188</v>
      </c>
      <c r="G24" s="167" t="s">
        <v>189</v>
      </c>
      <c r="I24" s="369"/>
      <c r="J24" s="369"/>
      <c r="K24" s="369"/>
      <c r="L24" s="369"/>
      <c r="M24" s="369"/>
      <c r="N24" s="369"/>
    </row>
    <row r="25" spans="1:15" x14ac:dyDescent="0.25">
      <c r="A25" s="6"/>
      <c r="B25" s="336" t="s">
        <v>39</v>
      </c>
      <c r="C25" s="389">
        <v>18.399999999999999</v>
      </c>
      <c r="D25" s="390">
        <v>12.69769</v>
      </c>
      <c r="E25" s="390">
        <v>13.250510999999999</v>
      </c>
      <c r="F25" s="391">
        <v>14.465849000000002</v>
      </c>
      <c r="G25" s="371">
        <v>15.916</v>
      </c>
      <c r="H25" s="4"/>
      <c r="I25" s="369"/>
      <c r="J25" s="369"/>
      <c r="K25" s="369"/>
      <c r="L25" s="369"/>
      <c r="M25" s="369"/>
      <c r="N25" s="369"/>
    </row>
    <row r="26" spans="1:15" x14ac:dyDescent="0.25">
      <c r="A26" s="6"/>
      <c r="B26" s="341" t="s">
        <v>40</v>
      </c>
      <c r="C26" s="392">
        <v>20.100000000000001</v>
      </c>
      <c r="D26" s="393">
        <v>18.94698</v>
      </c>
      <c r="E26" s="393">
        <v>22.196355000000001</v>
      </c>
      <c r="F26" s="394">
        <v>28.280684999999998</v>
      </c>
      <c r="G26" s="375">
        <v>23.576000000000001</v>
      </c>
      <c r="I26" s="369"/>
      <c r="J26" s="369"/>
      <c r="K26" s="369"/>
      <c r="L26" s="369"/>
      <c r="M26" s="369"/>
      <c r="N26" s="369"/>
    </row>
    <row r="27" spans="1:15" x14ac:dyDescent="0.25">
      <c r="A27" s="6"/>
      <c r="B27" s="341" t="s">
        <v>41</v>
      </c>
      <c r="C27" s="392">
        <v>20.9</v>
      </c>
      <c r="D27" s="393">
        <v>35.594239999999999</v>
      </c>
      <c r="E27" s="393">
        <v>35.413638999999996</v>
      </c>
      <c r="F27" s="394">
        <v>26.757531999999998</v>
      </c>
      <c r="G27" s="375">
        <v>30.591999999999999</v>
      </c>
      <c r="I27" s="369"/>
      <c r="J27" s="369"/>
      <c r="K27" s="369"/>
      <c r="L27" s="369"/>
      <c r="M27" s="369"/>
      <c r="N27" s="369"/>
    </row>
    <row r="28" spans="1:15" x14ac:dyDescent="0.25">
      <c r="A28" s="6"/>
      <c r="B28" s="341" t="s">
        <v>42</v>
      </c>
      <c r="C28" s="392">
        <v>11.7</v>
      </c>
      <c r="D28" s="393">
        <v>12.83714</v>
      </c>
      <c r="E28" s="393">
        <v>13.040041</v>
      </c>
      <c r="F28" s="394">
        <v>18.214635000000001</v>
      </c>
      <c r="G28" s="375">
        <v>17.385000000000002</v>
      </c>
      <c r="I28" s="369"/>
      <c r="J28" s="369"/>
      <c r="K28" s="369"/>
      <c r="L28" s="369"/>
      <c r="M28" s="369"/>
      <c r="N28" s="369"/>
    </row>
    <row r="29" spans="1:15" x14ac:dyDescent="0.25">
      <c r="A29" s="6"/>
      <c r="B29" s="341" t="s">
        <v>43</v>
      </c>
      <c r="C29" s="392">
        <v>16.7</v>
      </c>
      <c r="D29" s="393">
        <v>17.419599999999999</v>
      </c>
      <c r="E29" s="393">
        <v>19.216601999999998</v>
      </c>
      <c r="F29" s="394">
        <v>20.514472000000001</v>
      </c>
      <c r="G29" s="375">
        <v>19.042000000000002</v>
      </c>
      <c r="I29" s="369"/>
      <c r="J29" s="369"/>
      <c r="K29" s="369"/>
      <c r="L29" s="369"/>
      <c r="M29" s="369"/>
      <c r="N29" s="369"/>
    </row>
    <row r="30" spans="1:15" x14ac:dyDescent="0.25">
      <c r="A30" s="6"/>
      <c r="B30" s="341" t="s">
        <v>44</v>
      </c>
      <c r="C30" s="392">
        <v>17.8</v>
      </c>
      <c r="D30" s="393">
        <v>12.03758</v>
      </c>
      <c r="E30" s="393">
        <v>17.429421999999999</v>
      </c>
      <c r="F30" s="394">
        <v>21.408030999999998</v>
      </c>
      <c r="G30" s="375">
        <v>22.052</v>
      </c>
      <c r="I30" s="369"/>
      <c r="J30" s="369"/>
      <c r="K30" s="369"/>
      <c r="L30" s="369"/>
      <c r="M30" s="369"/>
      <c r="N30" s="369"/>
    </row>
    <row r="31" spans="1:15" x14ac:dyDescent="0.25">
      <c r="A31" s="6"/>
      <c r="B31" s="341" t="s">
        <v>45</v>
      </c>
      <c r="C31" s="392">
        <v>15.5</v>
      </c>
      <c r="D31" s="393">
        <v>21.93187</v>
      </c>
      <c r="E31" s="393">
        <v>10.323653999999999</v>
      </c>
      <c r="F31" s="394">
        <v>23.6309</v>
      </c>
      <c r="G31" s="375">
        <v>16.635000000000002</v>
      </c>
      <c r="I31" s="369"/>
      <c r="J31" s="369"/>
      <c r="K31" s="369"/>
      <c r="L31" s="369"/>
      <c r="M31" s="369"/>
      <c r="N31" s="369"/>
    </row>
    <row r="32" spans="1:15" x14ac:dyDescent="0.25">
      <c r="A32" s="6"/>
      <c r="B32" s="341" t="s">
        <v>46</v>
      </c>
      <c r="C32" s="392">
        <v>13.3</v>
      </c>
      <c r="D32" s="393">
        <v>20.429549999999999</v>
      </c>
      <c r="E32" s="393">
        <v>14.328992999999999</v>
      </c>
      <c r="F32" s="394">
        <v>20.321337000000003</v>
      </c>
      <c r="G32" s="375">
        <v>15.276999999999999</v>
      </c>
      <c r="I32" s="369"/>
      <c r="J32" s="369"/>
      <c r="K32" s="369"/>
      <c r="L32" s="369"/>
      <c r="M32" s="369"/>
      <c r="N32" s="369"/>
    </row>
    <row r="33" spans="1:15" x14ac:dyDescent="0.25">
      <c r="A33" s="6"/>
      <c r="B33" s="341" t="s">
        <v>55</v>
      </c>
      <c r="C33" s="392">
        <v>13.3</v>
      </c>
      <c r="D33" s="393">
        <v>16.474689999999999</v>
      </c>
      <c r="E33" s="393">
        <v>16.168545000000002</v>
      </c>
      <c r="F33" s="394">
        <v>17.351096999999999</v>
      </c>
      <c r="G33" s="375">
        <v>14.541</v>
      </c>
      <c r="I33" s="369"/>
      <c r="J33" s="369"/>
      <c r="K33" s="369"/>
      <c r="L33" s="369"/>
      <c r="M33" s="369"/>
      <c r="N33" s="369"/>
    </row>
    <row r="34" spans="1:15" x14ac:dyDescent="0.25">
      <c r="A34" s="6"/>
      <c r="B34" s="341" t="s">
        <v>56</v>
      </c>
      <c r="C34" s="392">
        <v>10.5</v>
      </c>
      <c r="D34" s="393">
        <v>12.6548</v>
      </c>
      <c r="E34" s="393">
        <v>19.188001</v>
      </c>
      <c r="F34" s="393">
        <v>21.684970999999997</v>
      </c>
      <c r="G34" s="375">
        <v>13.11</v>
      </c>
      <c r="I34" s="369"/>
      <c r="J34" s="369"/>
      <c r="K34" s="369"/>
      <c r="L34" s="369"/>
      <c r="M34" s="369"/>
      <c r="N34" s="369"/>
    </row>
    <row r="35" spans="1:15" x14ac:dyDescent="0.25">
      <c r="A35" s="6"/>
      <c r="B35" s="341" t="s">
        <v>57</v>
      </c>
      <c r="C35" s="392">
        <v>8.5</v>
      </c>
      <c r="D35" s="393">
        <v>20.247869999999999</v>
      </c>
      <c r="E35" s="393">
        <v>14.861437000000002</v>
      </c>
      <c r="F35" s="394">
        <v>15.398775999999998</v>
      </c>
      <c r="G35" s="375">
        <v>6.7649999999999997</v>
      </c>
      <c r="I35" s="369"/>
      <c r="J35" s="369"/>
      <c r="K35" s="369"/>
      <c r="L35" s="369"/>
      <c r="M35" s="369"/>
      <c r="N35" s="369"/>
    </row>
    <row r="36" spans="1:15" ht="15.75" thickBot="1" x14ac:dyDescent="0.3">
      <c r="A36" s="6"/>
      <c r="B36" s="345" t="s">
        <v>58</v>
      </c>
      <c r="C36" s="396">
        <v>16.2</v>
      </c>
      <c r="D36" s="397">
        <v>11.521409999999999</v>
      </c>
      <c r="E36" s="398">
        <v>19.744251999999999</v>
      </c>
      <c r="F36" s="397">
        <v>15.206740000000002</v>
      </c>
      <c r="G36" s="375">
        <v>11.167999999999999</v>
      </c>
      <c r="I36" s="369"/>
      <c r="J36" s="369"/>
      <c r="K36" s="369"/>
      <c r="L36" s="369"/>
      <c r="M36" s="369"/>
      <c r="N36" s="369"/>
    </row>
    <row r="37" spans="1:15" ht="15.75" thickBot="1" x14ac:dyDescent="0.3">
      <c r="B37" s="399"/>
      <c r="C37" s="400">
        <f>+SUM(C25:C36)</f>
        <v>182.9</v>
      </c>
      <c r="D37" s="400">
        <f t="shared" ref="D37:G37" si="1">+SUM(D25:D36)</f>
        <v>212.79342000000003</v>
      </c>
      <c r="E37" s="400">
        <f t="shared" si="1"/>
        <v>215.16145199999994</v>
      </c>
      <c r="F37" s="400">
        <f t="shared" si="1"/>
        <v>243.23502499999998</v>
      </c>
      <c r="G37" s="387">
        <f t="shared" si="1"/>
        <v>206.05899999999997</v>
      </c>
      <c r="I37" s="369"/>
      <c r="J37" s="369"/>
      <c r="K37" s="369"/>
      <c r="L37" s="369"/>
      <c r="M37" s="369"/>
      <c r="N37" s="369"/>
    </row>
    <row r="38" spans="1:15" x14ac:dyDescent="0.25">
      <c r="C38" s="16"/>
      <c r="D38" s="16"/>
      <c r="E38" s="16"/>
      <c r="F38" s="16"/>
    </row>
    <row r="39" spans="1:15" x14ac:dyDescent="0.25">
      <c r="C39" s="16"/>
      <c r="D39" s="16"/>
      <c r="E39" s="16"/>
      <c r="F39" s="16"/>
    </row>
    <row r="40" spans="1:15" ht="16.5" thickBot="1" x14ac:dyDescent="0.3">
      <c r="C40" s="487" t="s">
        <v>171</v>
      </c>
      <c r="D40" s="487"/>
      <c r="E40" s="487"/>
      <c r="F40" s="487"/>
      <c r="G40" s="487"/>
      <c r="I40" s="486" t="s">
        <v>171</v>
      </c>
      <c r="J40" s="486"/>
      <c r="K40" s="486"/>
      <c r="L40" s="486"/>
      <c r="M40" s="486"/>
      <c r="N40" s="486"/>
      <c r="O40" s="368"/>
    </row>
    <row r="41" spans="1:15" ht="15.75" thickBot="1" x14ac:dyDescent="0.3">
      <c r="B41" s="24"/>
      <c r="C41" s="167" t="s">
        <v>233</v>
      </c>
      <c r="D41" s="331" t="s">
        <v>186</v>
      </c>
      <c r="E41" s="330" t="s">
        <v>187</v>
      </c>
      <c r="F41" s="167" t="s">
        <v>188</v>
      </c>
      <c r="G41" s="167" t="s">
        <v>189</v>
      </c>
      <c r="I41" s="369"/>
      <c r="J41" s="369"/>
      <c r="K41" s="369"/>
      <c r="L41" s="369"/>
      <c r="M41" s="369"/>
      <c r="N41" s="369"/>
    </row>
    <row r="42" spans="1:15" x14ac:dyDescent="0.25">
      <c r="A42" s="6"/>
      <c r="B42" s="336" t="s">
        <v>39</v>
      </c>
      <c r="C42" s="389">
        <v>95.7</v>
      </c>
      <c r="D42" s="390">
        <v>83.497780000000006</v>
      </c>
      <c r="E42" s="390">
        <v>88.527711999999994</v>
      </c>
      <c r="F42" s="391">
        <v>55.755136</v>
      </c>
      <c r="G42" s="371">
        <v>60.277999999999999</v>
      </c>
      <c r="H42" s="4"/>
      <c r="I42" s="369"/>
      <c r="J42" s="369"/>
      <c r="K42" s="369"/>
      <c r="L42" s="369"/>
      <c r="M42" s="369"/>
      <c r="N42" s="369"/>
    </row>
    <row r="43" spans="1:15" x14ac:dyDescent="0.25">
      <c r="A43" s="6"/>
      <c r="B43" s="341" t="s">
        <v>40</v>
      </c>
      <c r="C43" s="392">
        <v>95.7</v>
      </c>
      <c r="D43" s="393">
        <v>83.408450000000002</v>
      </c>
      <c r="E43" s="393">
        <v>67.690599000000006</v>
      </c>
      <c r="F43" s="394">
        <v>52.714599</v>
      </c>
      <c r="G43" s="375">
        <v>59.936999999999998</v>
      </c>
      <c r="I43" s="369"/>
      <c r="J43" s="369"/>
      <c r="K43" s="369"/>
      <c r="L43" s="369"/>
      <c r="M43" s="369"/>
      <c r="N43" s="369"/>
    </row>
    <row r="44" spans="1:15" x14ac:dyDescent="0.25">
      <c r="A44" s="6"/>
      <c r="B44" s="341" t="s">
        <v>41</v>
      </c>
      <c r="C44" s="392">
        <v>83.5</v>
      </c>
      <c r="D44" s="393">
        <v>81.426829999999995</v>
      </c>
      <c r="E44" s="393">
        <v>63.568779999999997</v>
      </c>
      <c r="F44" s="394">
        <v>59.829063000000005</v>
      </c>
      <c r="G44" s="375">
        <v>69.722999999999999</v>
      </c>
      <c r="I44" s="369"/>
      <c r="J44" s="369"/>
      <c r="K44" s="369"/>
      <c r="L44" s="369"/>
      <c r="M44" s="369"/>
      <c r="N44" s="369"/>
    </row>
    <row r="45" spans="1:15" x14ac:dyDescent="0.25">
      <c r="A45" s="6"/>
      <c r="B45" s="341" t="s">
        <v>42</v>
      </c>
      <c r="C45" s="392">
        <v>82.5</v>
      </c>
      <c r="D45" s="393">
        <v>73.745919999999998</v>
      </c>
      <c r="E45" s="393">
        <v>55.971190999999997</v>
      </c>
      <c r="F45" s="394">
        <v>69.545023999999998</v>
      </c>
      <c r="G45" s="375">
        <v>89.304000000000002</v>
      </c>
      <c r="I45" s="369"/>
      <c r="J45" s="369"/>
      <c r="K45" s="369"/>
      <c r="L45" s="369"/>
      <c r="M45" s="369"/>
      <c r="N45" s="369"/>
    </row>
    <row r="46" spans="1:15" x14ac:dyDescent="0.25">
      <c r="A46" s="6"/>
      <c r="B46" s="341" t="s">
        <v>43</v>
      </c>
      <c r="C46" s="392">
        <v>104.2</v>
      </c>
      <c r="D46" s="393">
        <v>88.329570000000004</v>
      </c>
      <c r="E46" s="393">
        <v>48.263340999999997</v>
      </c>
      <c r="F46" s="394">
        <v>64.995784</v>
      </c>
      <c r="G46" s="375">
        <v>90.628</v>
      </c>
      <c r="I46" s="369"/>
      <c r="J46" s="369"/>
      <c r="K46" s="369"/>
      <c r="L46" s="369"/>
      <c r="M46" s="369"/>
      <c r="N46" s="369"/>
    </row>
    <row r="47" spans="1:15" x14ac:dyDescent="0.25">
      <c r="A47" s="6"/>
      <c r="B47" s="341" t="s">
        <v>44</v>
      </c>
      <c r="C47" s="392">
        <v>106.8</v>
      </c>
      <c r="D47" s="393">
        <v>78.297970000000007</v>
      </c>
      <c r="E47" s="393">
        <v>64.195955999999995</v>
      </c>
      <c r="F47" s="394">
        <v>60.610639999999997</v>
      </c>
      <c r="G47" s="375">
        <v>96.980999999999995</v>
      </c>
      <c r="I47" s="369"/>
      <c r="J47" s="369"/>
      <c r="K47" s="369"/>
      <c r="L47" s="369"/>
      <c r="M47" s="369"/>
      <c r="N47" s="369"/>
    </row>
    <row r="48" spans="1:15" x14ac:dyDescent="0.25">
      <c r="A48" s="6"/>
      <c r="B48" s="341" t="s">
        <v>45</v>
      </c>
      <c r="C48" s="392">
        <v>99.4</v>
      </c>
      <c r="D48" s="393">
        <v>107.33327</v>
      </c>
      <c r="E48" s="393">
        <v>51.589895999999996</v>
      </c>
      <c r="F48" s="394">
        <v>74.409193999999999</v>
      </c>
      <c r="G48" s="375">
        <v>98.778000000000006</v>
      </c>
      <c r="I48" s="369"/>
      <c r="J48" s="369"/>
      <c r="K48" s="369"/>
      <c r="L48" s="369"/>
      <c r="M48" s="369"/>
      <c r="N48" s="369"/>
    </row>
    <row r="49" spans="1:15" x14ac:dyDescent="0.25">
      <c r="A49" s="6"/>
      <c r="B49" s="341" t="s">
        <v>46</v>
      </c>
      <c r="C49" s="392">
        <v>90.3</v>
      </c>
      <c r="D49" s="393">
        <v>117.81834000000001</v>
      </c>
      <c r="E49" s="393">
        <v>68.252665999999991</v>
      </c>
      <c r="F49" s="394">
        <v>72.284805000000006</v>
      </c>
      <c r="G49" s="375">
        <v>99.323999999999998</v>
      </c>
      <c r="I49" s="369"/>
      <c r="J49" s="369"/>
      <c r="K49" s="369"/>
      <c r="L49" s="369"/>
      <c r="M49" s="369"/>
      <c r="N49" s="369"/>
    </row>
    <row r="50" spans="1:15" x14ac:dyDescent="0.25">
      <c r="A50" s="6"/>
      <c r="B50" s="341" t="s">
        <v>55</v>
      </c>
      <c r="C50" s="392">
        <v>87.8</v>
      </c>
      <c r="D50" s="393">
        <v>103.44632</v>
      </c>
      <c r="E50" s="393">
        <v>65.064920000000001</v>
      </c>
      <c r="F50" s="394">
        <v>66.577892000000006</v>
      </c>
      <c r="G50" s="375">
        <v>94.483000000000004</v>
      </c>
      <c r="I50" s="369"/>
      <c r="J50" s="369"/>
      <c r="K50" s="369"/>
      <c r="L50" s="369"/>
      <c r="M50" s="369"/>
      <c r="N50" s="369"/>
    </row>
    <row r="51" spans="1:15" x14ac:dyDescent="0.25">
      <c r="A51" s="6"/>
      <c r="B51" s="341" t="s">
        <v>56</v>
      </c>
      <c r="C51" s="392">
        <v>81.900000000000006</v>
      </c>
      <c r="D51" s="393">
        <v>90.426969999999997</v>
      </c>
      <c r="E51" s="393">
        <v>58.873540999999996</v>
      </c>
      <c r="F51" s="393">
        <v>59.465797999999999</v>
      </c>
      <c r="G51" s="375">
        <v>110.997</v>
      </c>
      <c r="I51" s="369"/>
      <c r="J51" s="369"/>
      <c r="K51" s="369"/>
      <c r="L51" s="369"/>
      <c r="M51" s="369"/>
      <c r="N51" s="369"/>
    </row>
    <row r="52" spans="1:15" x14ac:dyDescent="0.25">
      <c r="A52" s="6"/>
      <c r="B52" s="341" t="s">
        <v>57</v>
      </c>
      <c r="C52" s="392">
        <v>66</v>
      </c>
      <c r="D52" s="393">
        <v>83.145229999999998</v>
      </c>
      <c r="E52" s="393">
        <v>48.126509000000006</v>
      </c>
      <c r="F52" s="394">
        <v>55.070331999999993</v>
      </c>
      <c r="G52" s="375">
        <v>76.051000000000002</v>
      </c>
      <c r="I52" s="369"/>
      <c r="J52" s="369"/>
      <c r="K52" s="369"/>
      <c r="L52" s="369"/>
      <c r="M52" s="369"/>
      <c r="N52" s="369"/>
    </row>
    <row r="53" spans="1:15" ht="15.75" thickBot="1" x14ac:dyDescent="0.3">
      <c r="A53" s="6"/>
      <c r="B53" s="345" t="s">
        <v>58</v>
      </c>
      <c r="C53" s="396">
        <v>103.8</v>
      </c>
      <c r="D53" s="397">
        <v>89.365840000000006</v>
      </c>
      <c r="E53" s="398">
        <v>58.72625</v>
      </c>
      <c r="F53" s="397">
        <v>69.067084000000008</v>
      </c>
      <c r="G53" s="375">
        <v>95.087000000000003</v>
      </c>
      <c r="I53" s="369"/>
      <c r="J53" s="369"/>
      <c r="K53" s="369"/>
      <c r="L53" s="369"/>
      <c r="M53" s="369"/>
      <c r="N53" s="369"/>
    </row>
    <row r="54" spans="1:15" ht="15.75" thickBot="1" x14ac:dyDescent="0.3">
      <c r="B54" s="399"/>
      <c r="C54" s="400">
        <f>+SUM(C42:C53)</f>
        <v>1097.5999999999999</v>
      </c>
      <c r="D54" s="400">
        <f t="shared" ref="D54:G54" si="2">+SUM(D42:D53)</f>
        <v>1080.2424900000001</v>
      </c>
      <c r="E54" s="400">
        <f t="shared" si="2"/>
        <v>738.85136100000011</v>
      </c>
      <c r="F54" s="400">
        <f t="shared" si="2"/>
        <v>760.32535099999996</v>
      </c>
      <c r="G54" s="387">
        <f t="shared" si="2"/>
        <v>1041.5709999999999</v>
      </c>
      <c r="I54" s="369"/>
      <c r="J54" s="369"/>
      <c r="K54" s="369"/>
      <c r="L54" s="369"/>
      <c r="M54" s="369"/>
      <c r="N54" s="369"/>
    </row>
    <row r="55" spans="1:15" x14ac:dyDescent="0.25">
      <c r="C55" s="16"/>
      <c r="D55" s="16"/>
      <c r="E55" s="16"/>
      <c r="F55" s="16"/>
    </row>
    <row r="56" spans="1:15" x14ac:dyDescent="0.25">
      <c r="C56" s="16"/>
      <c r="D56" s="16"/>
      <c r="E56" s="16"/>
      <c r="F56" s="16"/>
    </row>
    <row r="57" spans="1:15" ht="16.5" thickBot="1" x14ac:dyDescent="0.3">
      <c r="C57" s="485" t="s">
        <v>190</v>
      </c>
      <c r="D57" s="485"/>
      <c r="E57" s="485"/>
      <c r="F57" s="485"/>
      <c r="G57" s="485"/>
      <c r="I57" s="486" t="s">
        <v>190</v>
      </c>
      <c r="J57" s="486"/>
      <c r="K57" s="486"/>
      <c r="L57" s="486"/>
      <c r="M57" s="486"/>
      <c r="N57" s="486"/>
      <c r="O57" s="368"/>
    </row>
    <row r="58" spans="1:15" ht="15.75" thickBot="1" x14ac:dyDescent="0.3">
      <c r="B58" s="24"/>
      <c r="C58" s="167" t="s">
        <v>233</v>
      </c>
      <c r="D58" s="331" t="s">
        <v>186</v>
      </c>
      <c r="E58" s="330" t="s">
        <v>187</v>
      </c>
      <c r="F58" s="167" t="s">
        <v>188</v>
      </c>
      <c r="G58" s="167" t="s">
        <v>189</v>
      </c>
      <c r="I58" s="369"/>
      <c r="J58" s="369"/>
      <c r="K58" s="369"/>
      <c r="L58" s="369"/>
      <c r="M58" s="369"/>
      <c r="N58" s="369"/>
    </row>
    <row r="59" spans="1:15" x14ac:dyDescent="0.25">
      <c r="A59" s="6"/>
      <c r="B59" s="336" t="s">
        <v>39</v>
      </c>
      <c r="C59" s="389">
        <v>51.3</v>
      </c>
      <c r="D59" s="390">
        <v>39.580289999999991</v>
      </c>
      <c r="E59" s="390">
        <v>42.192538999999968</v>
      </c>
      <c r="F59" s="391">
        <v>25.320353000000004</v>
      </c>
      <c r="G59" s="371">
        <v>38.408901540294202</v>
      </c>
      <c r="H59" s="4"/>
      <c r="I59" s="369"/>
      <c r="J59" s="369"/>
      <c r="K59" s="369"/>
      <c r="L59" s="369"/>
      <c r="M59" s="369"/>
      <c r="N59" s="369"/>
    </row>
    <row r="60" spans="1:15" x14ac:dyDescent="0.25">
      <c r="A60" s="6"/>
      <c r="B60" s="341" t="s">
        <v>40</v>
      </c>
      <c r="C60" s="392">
        <v>50.560499999999934</v>
      </c>
      <c r="D60" s="393">
        <v>47.737710000000106</v>
      </c>
      <c r="E60" s="393">
        <v>39.500586000000069</v>
      </c>
      <c r="F60" s="394">
        <v>46.902145999999981</v>
      </c>
      <c r="G60" s="375">
        <v>40.438747368009544</v>
      </c>
      <c r="I60" s="369"/>
      <c r="J60" s="369"/>
      <c r="K60" s="369"/>
      <c r="L60" s="369"/>
      <c r="M60" s="369"/>
      <c r="N60" s="369"/>
    </row>
    <row r="61" spans="1:15" x14ac:dyDescent="0.25">
      <c r="A61" s="6"/>
      <c r="B61" s="341" t="s">
        <v>41</v>
      </c>
      <c r="C61" s="392">
        <v>62.651329999999803</v>
      </c>
      <c r="D61" s="393">
        <v>51.740049999999883</v>
      </c>
      <c r="E61" s="393">
        <v>23.514308999999976</v>
      </c>
      <c r="F61" s="394">
        <v>37.019948999999897</v>
      </c>
      <c r="G61" s="375">
        <v>54.225039957053212</v>
      </c>
      <c r="I61" s="369"/>
      <c r="J61" s="369"/>
      <c r="K61" s="369"/>
      <c r="L61" s="369"/>
      <c r="M61" s="369"/>
      <c r="N61" s="369"/>
    </row>
    <row r="62" spans="1:15" x14ac:dyDescent="0.25">
      <c r="A62" s="6"/>
      <c r="B62" s="341" t="s">
        <v>42</v>
      </c>
      <c r="C62" s="392">
        <v>42.707800000000134</v>
      </c>
      <c r="D62" s="393">
        <v>54.079529999999977</v>
      </c>
      <c r="E62" s="393">
        <v>14.338199999999894</v>
      </c>
      <c r="F62" s="394">
        <v>38.703651000000164</v>
      </c>
      <c r="G62" s="375">
        <v>49.430284128360796</v>
      </c>
      <c r="I62" s="369"/>
      <c r="J62" s="369"/>
      <c r="K62" s="369"/>
      <c r="L62" s="369"/>
      <c r="M62" s="369"/>
      <c r="N62" s="369"/>
    </row>
    <row r="63" spans="1:15" x14ac:dyDescent="0.25">
      <c r="A63" s="6"/>
      <c r="B63" s="341" t="s">
        <v>43</v>
      </c>
      <c r="C63" s="392">
        <v>49.396000000000186</v>
      </c>
      <c r="D63" s="393">
        <v>44.300939999999855</v>
      </c>
      <c r="E63" s="393">
        <v>30.050971000000089</v>
      </c>
      <c r="F63" s="394">
        <v>31.149568000000116</v>
      </c>
      <c r="G63" s="375">
        <v>40.568916641591116</v>
      </c>
      <c r="I63" s="369"/>
      <c r="J63" s="369"/>
      <c r="K63" s="369"/>
      <c r="L63" s="369"/>
      <c r="M63" s="369"/>
      <c r="N63" s="369"/>
    </row>
    <row r="64" spans="1:15" x14ac:dyDescent="0.25">
      <c r="A64" s="6"/>
      <c r="B64" s="341" t="s">
        <v>44</v>
      </c>
      <c r="C64" s="392">
        <v>51.598760000000084</v>
      </c>
      <c r="D64" s="393">
        <v>70.669459999999845</v>
      </c>
      <c r="E64" s="393">
        <v>30.523865999999913</v>
      </c>
      <c r="F64" s="394">
        <v>29.476640999999852</v>
      </c>
      <c r="G64" s="375">
        <v>43.606513839920041</v>
      </c>
      <c r="I64" s="369"/>
      <c r="J64" s="369"/>
      <c r="K64" s="369"/>
      <c r="L64" s="369"/>
      <c r="M64" s="369"/>
      <c r="N64" s="369"/>
    </row>
    <row r="65" spans="1:15" x14ac:dyDescent="0.25">
      <c r="A65" s="6"/>
      <c r="B65" s="341" t="s">
        <v>45</v>
      </c>
      <c r="C65" s="392">
        <v>44.472069999999917</v>
      </c>
      <c r="D65" s="393">
        <v>56.208309999999756</v>
      </c>
      <c r="E65" s="393">
        <v>21.662618000000137</v>
      </c>
      <c r="F65" s="394">
        <v>33.780936000000068</v>
      </c>
      <c r="G65" s="375">
        <v>35.672966110545204</v>
      </c>
      <c r="I65" s="369"/>
      <c r="J65" s="369"/>
      <c r="K65" s="369"/>
      <c r="L65" s="369"/>
      <c r="M65" s="369"/>
      <c r="N65" s="369"/>
    </row>
    <row r="66" spans="1:15" x14ac:dyDescent="0.25">
      <c r="A66" s="6"/>
      <c r="B66" s="341" t="s">
        <v>46</v>
      </c>
      <c r="C66" s="392">
        <v>47.783869999999865</v>
      </c>
      <c r="D66" s="393">
        <v>40.9214300000001</v>
      </c>
      <c r="E66" s="393">
        <v>24.30773699999996</v>
      </c>
      <c r="F66" s="394">
        <v>33.620891999999913</v>
      </c>
      <c r="G66" s="375">
        <v>36.885763834672744</v>
      </c>
      <c r="I66" s="369"/>
      <c r="J66" s="369"/>
      <c r="K66" s="369"/>
      <c r="L66" s="369"/>
      <c r="M66" s="369"/>
      <c r="N66" s="369"/>
    </row>
    <row r="67" spans="1:15" x14ac:dyDescent="0.25">
      <c r="A67" s="6"/>
      <c r="B67" s="341" t="s">
        <v>55</v>
      </c>
      <c r="C67" s="392">
        <v>33.109299999999962</v>
      </c>
      <c r="D67" s="393">
        <v>53.415010000000166</v>
      </c>
      <c r="E67" s="393">
        <v>26.220445000000069</v>
      </c>
      <c r="F67" s="394">
        <v>26.832244999999958</v>
      </c>
      <c r="G67" s="375">
        <v>37.955560000000105</v>
      </c>
      <c r="I67" s="369"/>
      <c r="J67" s="369"/>
      <c r="K67" s="369"/>
      <c r="L67" s="369"/>
      <c r="M67" s="369"/>
      <c r="N67" s="369"/>
    </row>
    <row r="68" spans="1:15" x14ac:dyDescent="0.25">
      <c r="A68" s="6"/>
      <c r="B68" s="341" t="s">
        <v>56</v>
      </c>
      <c r="C68" s="392">
        <v>37.55460000000005</v>
      </c>
      <c r="D68" s="393">
        <v>33.554689999999937</v>
      </c>
      <c r="E68" s="393">
        <v>33.425129999999903</v>
      </c>
      <c r="F68" s="393">
        <v>34.862613000000017</v>
      </c>
      <c r="G68" s="375">
        <v>37.736179999999948</v>
      </c>
      <c r="I68" s="369"/>
      <c r="J68" s="369"/>
      <c r="K68" s="369"/>
      <c r="L68" s="369"/>
      <c r="M68" s="369"/>
      <c r="N68" s="369"/>
    </row>
    <row r="69" spans="1:15" x14ac:dyDescent="0.25">
      <c r="A69" s="6"/>
      <c r="B69" s="341" t="s">
        <v>57</v>
      </c>
      <c r="C69" s="392">
        <v>37.081300000000056</v>
      </c>
      <c r="D69" s="393">
        <v>53.860740000000078</v>
      </c>
      <c r="E69" s="393">
        <v>29.022998000000023</v>
      </c>
      <c r="F69" s="394">
        <v>30.873044000000007</v>
      </c>
      <c r="G69" s="375">
        <v>35.512659999999983</v>
      </c>
      <c r="I69" s="369"/>
      <c r="J69" s="369"/>
      <c r="K69" s="369"/>
      <c r="L69" s="369"/>
      <c r="M69" s="369"/>
      <c r="N69" s="369"/>
    </row>
    <row r="70" spans="1:15" ht="15.75" thickBot="1" x14ac:dyDescent="0.3">
      <c r="A70" s="6"/>
      <c r="B70" s="345" t="s">
        <v>58</v>
      </c>
      <c r="C70" s="396">
        <v>34.63692999999995</v>
      </c>
      <c r="D70" s="397">
        <v>48.50745999999998</v>
      </c>
      <c r="E70" s="398">
        <v>33.929872000000039</v>
      </c>
      <c r="F70" s="397">
        <v>31.315436000000048</v>
      </c>
      <c r="G70" s="375">
        <v>32.33750000000002</v>
      </c>
      <c r="I70" s="369"/>
      <c r="J70" s="369"/>
      <c r="K70" s="369"/>
      <c r="L70" s="369"/>
      <c r="M70" s="369"/>
      <c r="N70" s="369"/>
    </row>
    <row r="71" spans="1:15" ht="15.75" thickBot="1" x14ac:dyDescent="0.3">
      <c r="B71" s="399"/>
      <c r="C71" s="400">
        <f>+SUM(C59:C70)</f>
        <v>542.85245999999995</v>
      </c>
      <c r="D71" s="400">
        <f t="shared" ref="D71:G71" si="3">+SUM(D59:D70)</f>
        <v>594.57561999999962</v>
      </c>
      <c r="E71" s="400">
        <f t="shared" si="3"/>
        <v>348.68927100000002</v>
      </c>
      <c r="F71" s="400">
        <f t="shared" si="3"/>
        <v>399.85747399999997</v>
      </c>
      <c r="G71" s="449">
        <f t="shared" si="3"/>
        <v>482.77903342044692</v>
      </c>
      <c r="I71" s="369"/>
      <c r="J71" s="369"/>
      <c r="K71" s="369"/>
      <c r="L71" s="369"/>
      <c r="M71" s="369"/>
      <c r="N71" s="369"/>
    </row>
    <row r="72" spans="1:15" x14ac:dyDescent="0.25">
      <c r="C72" s="16"/>
      <c r="D72" s="16"/>
      <c r="E72" s="16"/>
      <c r="F72" s="16"/>
    </row>
    <row r="73" spans="1:15" x14ac:dyDescent="0.25">
      <c r="C73" s="16"/>
      <c r="D73" s="16"/>
      <c r="E73" s="16"/>
      <c r="F73" s="16"/>
      <c r="G73" s="179"/>
    </row>
    <row r="74" spans="1:15" ht="16.5" thickBot="1" x14ac:dyDescent="0.3">
      <c r="C74" s="487" t="s">
        <v>191</v>
      </c>
      <c r="D74" s="487"/>
      <c r="E74" s="487"/>
      <c r="F74" s="487"/>
      <c r="G74" s="487"/>
      <c r="I74" s="486" t="s">
        <v>191</v>
      </c>
      <c r="J74" s="486"/>
      <c r="K74" s="486"/>
      <c r="L74" s="486"/>
      <c r="M74" s="486"/>
      <c r="N74" s="486"/>
      <c r="O74" s="368"/>
    </row>
    <row r="75" spans="1:15" ht="15.75" thickBot="1" x14ac:dyDescent="0.3">
      <c r="B75" s="24"/>
      <c r="C75" s="167" t="s">
        <v>233</v>
      </c>
      <c r="D75" s="331" t="s">
        <v>186</v>
      </c>
      <c r="E75" s="330" t="s">
        <v>187</v>
      </c>
      <c r="F75" s="167" t="s">
        <v>188</v>
      </c>
      <c r="G75" s="167" t="s">
        <v>189</v>
      </c>
      <c r="I75" s="369"/>
      <c r="J75" s="369"/>
      <c r="K75" s="369"/>
      <c r="L75" s="369"/>
      <c r="M75" s="369"/>
      <c r="N75" s="369"/>
    </row>
    <row r="76" spans="1:15" x14ac:dyDescent="0.25">
      <c r="A76" s="6"/>
      <c r="B76" s="336" t="s">
        <v>39</v>
      </c>
      <c r="C76" s="389">
        <v>147</v>
      </c>
      <c r="D76" s="390">
        <v>123.07807</v>
      </c>
      <c r="E76" s="390">
        <v>130.72025099999996</v>
      </c>
      <c r="F76" s="391">
        <v>81.075489000000005</v>
      </c>
      <c r="G76" s="371">
        <v>98.686901540294201</v>
      </c>
      <c r="H76" s="4"/>
      <c r="I76" s="369"/>
      <c r="J76" s="369"/>
      <c r="K76" s="369"/>
      <c r="L76" s="369"/>
      <c r="M76" s="369"/>
      <c r="N76" s="369"/>
    </row>
    <row r="77" spans="1:15" x14ac:dyDescent="0.25">
      <c r="A77" s="6"/>
      <c r="B77" s="341" t="s">
        <v>40</v>
      </c>
      <c r="C77" s="392">
        <v>146.26049999999992</v>
      </c>
      <c r="D77" s="393">
        <v>131.14616000000012</v>
      </c>
      <c r="E77" s="393">
        <v>107.19118500000008</v>
      </c>
      <c r="F77" s="394">
        <v>99.61674499999998</v>
      </c>
      <c r="G77" s="375">
        <v>100.37574736800954</v>
      </c>
      <c r="I77" s="369"/>
      <c r="J77" s="369"/>
      <c r="K77" s="369"/>
      <c r="L77" s="369"/>
      <c r="M77" s="369"/>
      <c r="N77" s="369"/>
    </row>
    <row r="78" spans="1:15" x14ac:dyDescent="0.25">
      <c r="A78" s="6"/>
      <c r="B78" s="341" t="s">
        <v>41</v>
      </c>
      <c r="C78" s="392">
        <v>146.1513299999998</v>
      </c>
      <c r="D78" s="393">
        <v>133.16687999999988</v>
      </c>
      <c r="E78" s="393">
        <v>87.083088999999973</v>
      </c>
      <c r="F78" s="394">
        <v>96.849011999999902</v>
      </c>
      <c r="G78" s="375">
        <v>123.94803995705321</v>
      </c>
      <c r="I78" s="369"/>
      <c r="J78" s="369"/>
      <c r="K78" s="369"/>
      <c r="L78" s="369"/>
      <c r="M78" s="369"/>
      <c r="N78" s="369"/>
    </row>
    <row r="79" spans="1:15" x14ac:dyDescent="0.25">
      <c r="A79" s="6"/>
      <c r="B79" s="341" t="s">
        <v>42</v>
      </c>
      <c r="C79" s="392">
        <v>125.20780000000013</v>
      </c>
      <c r="D79" s="393">
        <v>127.82544999999998</v>
      </c>
      <c r="E79" s="393">
        <v>70.309390999999891</v>
      </c>
      <c r="F79" s="394">
        <v>108.24867500000016</v>
      </c>
      <c r="G79" s="375">
        <v>138.7342841283608</v>
      </c>
      <c r="I79" s="369"/>
      <c r="J79" s="369"/>
      <c r="K79" s="369"/>
      <c r="L79" s="369"/>
      <c r="M79" s="369"/>
      <c r="N79" s="369"/>
    </row>
    <row r="80" spans="1:15" x14ac:dyDescent="0.25">
      <c r="A80" s="6"/>
      <c r="B80" s="341" t="s">
        <v>43</v>
      </c>
      <c r="C80" s="392">
        <v>153.59600000000017</v>
      </c>
      <c r="D80" s="393">
        <v>132.63050999999984</v>
      </c>
      <c r="E80" s="393">
        <v>78.314312000000086</v>
      </c>
      <c r="F80" s="394">
        <v>96.145352000000116</v>
      </c>
      <c r="G80" s="375">
        <v>131.19691664159112</v>
      </c>
      <c r="I80" s="369"/>
      <c r="J80" s="369"/>
      <c r="K80" s="369"/>
      <c r="L80" s="369"/>
      <c r="M80" s="369"/>
      <c r="N80" s="369"/>
    </row>
    <row r="81" spans="1:14" x14ac:dyDescent="0.25">
      <c r="A81" s="6"/>
      <c r="B81" s="341" t="s">
        <v>44</v>
      </c>
      <c r="C81" s="392">
        <v>158.3987600000001</v>
      </c>
      <c r="D81" s="393">
        <v>148.96742999999987</v>
      </c>
      <c r="E81" s="393">
        <v>94.719821999999908</v>
      </c>
      <c r="F81" s="394">
        <v>90.087280999999848</v>
      </c>
      <c r="G81" s="375">
        <v>140.58751383992004</v>
      </c>
      <c r="I81" s="369"/>
      <c r="J81" s="369"/>
      <c r="K81" s="369"/>
      <c r="L81" s="369"/>
      <c r="M81" s="369"/>
      <c r="N81" s="369"/>
    </row>
    <row r="82" spans="1:14" x14ac:dyDescent="0.25">
      <c r="A82" s="6"/>
      <c r="B82" s="341" t="s">
        <v>45</v>
      </c>
      <c r="C82" s="392">
        <v>143.87206999999992</v>
      </c>
      <c r="D82" s="393">
        <v>163.54157999999975</v>
      </c>
      <c r="E82" s="393">
        <v>73.252514000000133</v>
      </c>
      <c r="F82" s="394">
        <v>108.19013000000007</v>
      </c>
      <c r="G82" s="375">
        <v>134.45096611054521</v>
      </c>
      <c r="I82" s="369"/>
      <c r="J82" s="369"/>
      <c r="K82" s="369"/>
      <c r="L82" s="369"/>
      <c r="M82" s="369"/>
      <c r="N82" s="369"/>
    </row>
    <row r="83" spans="1:14" x14ac:dyDescent="0.25">
      <c r="A83" s="6"/>
      <c r="B83" s="341" t="s">
        <v>46</v>
      </c>
      <c r="C83" s="392">
        <v>138.08386999999988</v>
      </c>
      <c r="D83" s="393">
        <v>158.73977000000011</v>
      </c>
      <c r="E83" s="393">
        <v>92.560402999999951</v>
      </c>
      <c r="F83" s="394">
        <v>105.90569699999992</v>
      </c>
      <c r="G83" s="375">
        <v>136.20976383467274</v>
      </c>
      <c r="I83" s="369"/>
      <c r="J83" s="369"/>
      <c r="K83" s="369"/>
      <c r="L83" s="369"/>
      <c r="M83" s="369"/>
      <c r="N83" s="369"/>
    </row>
    <row r="84" spans="1:14" x14ac:dyDescent="0.25">
      <c r="A84" s="6"/>
      <c r="B84" s="341" t="s">
        <v>55</v>
      </c>
      <c r="C84" s="392">
        <v>120.90929999999996</v>
      </c>
      <c r="D84" s="393">
        <v>156.86133000000018</v>
      </c>
      <c r="E84" s="393">
        <v>91.28536500000007</v>
      </c>
      <c r="F84" s="394">
        <v>93.410136999999963</v>
      </c>
      <c r="G84" s="375">
        <v>132.43856000000011</v>
      </c>
      <c r="I84" s="369"/>
      <c r="J84" s="369"/>
      <c r="K84" s="369"/>
      <c r="L84" s="369"/>
      <c r="M84" s="369"/>
      <c r="N84" s="369"/>
    </row>
    <row r="85" spans="1:14" x14ac:dyDescent="0.25">
      <c r="A85" s="6"/>
      <c r="B85" s="341" t="s">
        <v>56</v>
      </c>
      <c r="C85" s="392">
        <v>119.45460000000006</v>
      </c>
      <c r="D85" s="393">
        <v>123.98165999999993</v>
      </c>
      <c r="E85" s="393">
        <v>92.298670999999899</v>
      </c>
      <c r="F85" s="393">
        <v>94.328411000000017</v>
      </c>
      <c r="G85" s="375">
        <v>148.73317999999995</v>
      </c>
      <c r="I85" s="369"/>
      <c r="J85" s="369"/>
      <c r="K85" s="369"/>
      <c r="L85" s="369"/>
      <c r="M85" s="369"/>
      <c r="N85" s="369"/>
    </row>
    <row r="86" spans="1:14" x14ac:dyDescent="0.25">
      <c r="A86" s="6"/>
      <c r="B86" s="341" t="s">
        <v>57</v>
      </c>
      <c r="C86" s="392">
        <v>103.08130000000006</v>
      </c>
      <c r="D86" s="393">
        <v>137.00597000000008</v>
      </c>
      <c r="E86" s="393">
        <v>77.149507000000028</v>
      </c>
      <c r="F86" s="394">
        <v>85.943376000000001</v>
      </c>
      <c r="G86" s="375">
        <v>111.56365999999998</v>
      </c>
      <c r="I86" s="369"/>
      <c r="J86" s="369"/>
      <c r="K86" s="369"/>
      <c r="L86" s="369"/>
      <c r="M86" s="369"/>
      <c r="N86" s="369"/>
    </row>
    <row r="87" spans="1:14" ht="15.75" thickBot="1" x14ac:dyDescent="0.3">
      <c r="A87" s="6"/>
      <c r="B87" s="345" t="s">
        <v>58</v>
      </c>
      <c r="C87" s="396">
        <v>138.43692999999996</v>
      </c>
      <c r="D87" s="397">
        <v>137.87329999999997</v>
      </c>
      <c r="E87" s="398">
        <v>92.656122000000039</v>
      </c>
      <c r="F87" s="397">
        <v>100.38252000000006</v>
      </c>
      <c r="G87" s="375">
        <v>127.42450000000002</v>
      </c>
      <c r="I87" s="369"/>
      <c r="J87" s="369"/>
      <c r="K87" s="369"/>
      <c r="L87" s="369"/>
      <c r="M87" s="369"/>
      <c r="N87" s="369"/>
    </row>
    <row r="88" spans="1:14" ht="15.75" thickBot="1" x14ac:dyDescent="0.3">
      <c r="B88" s="399"/>
      <c r="C88" s="400">
        <f>+SUM(C76:C87)</f>
        <v>1640.45246</v>
      </c>
      <c r="D88" s="400">
        <f t="shared" ref="D88:G88" si="4">+SUM(D76:D87)</f>
        <v>1674.8181099999997</v>
      </c>
      <c r="E88" s="400">
        <f t="shared" si="4"/>
        <v>1087.540632</v>
      </c>
      <c r="F88" s="400">
        <f t="shared" si="4"/>
        <v>1160.1828250000001</v>
      </c>
      <c r="G88" s="449">
        <f t="shared" si="4"/>
        <v>1524.3500334204468</v>
      </c>
      <c r="I88" s="369"/>
      <c r="J88" s="369"/>
      <c r="K88" s="369"/>
      <c r="L88" s="369"/>
      <c r="M88" s="369"/>
      <c r="N88" s="369"/>
    </row>
    <row r="90" spans="1:14" ht="15.75" x14ac:dyDescent="0.25">
      <c r="B90" s="488" t="s">
        <v>121</v>
      </c>
      <c r="C90" s="488"/>
      <c r="D90" s="488"/>
      <c r="E90" s="488"/>
      <c r="F90" s="488"/>
      <c r="G90" s="488"/>
      <c r="H90" s="488"/>
      <c r="I90" s="488"/>
      <c r="J90" s="488"/>
      <c r="K90" s="488"/>
      <c r="L90" s="488"/>
      <c r="M90" s="488"/>
      <c r="N90" s="488"/>
    </row>
  </sheetData>
  <mergeCells count="12">
    <mergeCell ref="C40:G40"/>
    <mergeCell ref="I40:N40"/>
    <mergeCell ref="D2:L4"/>
    <mergeCell ref="C6:G6"/>
    <mergeCell ref="I6:N6"/>
    <mergeCell ref="C23:G23"/>
    <mergeCell ref="I23:N23"/>
    <mergeCell ref="C57:G57"/>
    <mergeCell ref="I57:N57"/>
    <mergeCell ref="C74:G74"/>
    <mergeCell ref="I74:N74"/>
    <mergeCell ref="B90:N90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  <headerFooter>
    <oddHeader>&amp;L&amp;G&amp;RCAMPAÑA: 2024/2025. MES: SEPTIEMBRE
Fecha de emisión de datos: 07/05/2026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3490-2B20-428C-AD2B-FE86D45D0039}">
  <dimension ref="D2:Q56"/>
  <sheetViews>
    <sheetView view="pageLayout" topLeftCell="C9" zoomScale="70" zoomScaleNormal="70" zoomScalePageLayoutView="70" workbookViewId="0">
      <selection activeCell="J42" sqref="J42:J53"/>
    </sheetView>
  </sheetViews>
  <sheetFormatPr baseColWidth="10" defaultColWidth="11.42578125" defaultRowHeight="15" x14ac:dyDescent="0.25"/>
  <cols>
    <col min="3" max="3" width="11.42578125" customWidth="1"/>
    <col min="11" max="11" width="11.7109375" customWidth="1"/>
    <col min="12" max="12" width="14.140625" customWidth="1"/>
    <col min="16" max="16" width="13" customWidth="1"/>
    <col min="17" max="17" width="13.28515625" customWidth="1"/>
  </cols>
  <sheetData>
    <row r="2" spans="4:17" ht="15" customHeight="1" x14ac:dyDescent="0.25">
      <c r="G2" s="482" t="s">
        <v>192</v>
      </c>
      <c r="H2" s="482"/>
      <c r="I2" s="482"/>
      <c r="J2" s="482"/>
      <c r="K2" s="482"/>
      <c r="L2" s="482"/>
      <c r="M2" s="482"/>
      <c r="N2" s="482"/>
      <c r="O2" s="482"/>
    </row>
    <row r="3" spans="4:17" ht="15" customHeight="1" x14ac:dyDescent="0.25">
      <c r="G3" s="482"/>
      <c r="H3" s="482"/>
      <c r="I3" s="482"/>
      <c r="J3" s="482"/>
      <c r="K3" s="482"/>
      <c r="L3" s="482"/>
      <c r="M3" s="482"/>
      <c r="N3" s="482"/>
      <c r="O3" s="482"/>
    </row>
    <row r="4" spans="4:17" ht="24.75" customHeight="1" x14ac:dyDescent="0.25">
      <c r="G4" s="482"/>
      <c r="H4" s="482"/>
      <c r="I4" s="482"/>
      <c r="J4" s="482"/>
      <c r="K4" s="482"/>
      <c r="L4" s="482"/>
      <c r="M4" s="482"/>
      <c r="N4" s="482"/>
      <c r="O4" s="482"/>
    </row>
    <row r="5" spans="4:17" ht="26.25" customHeight="1" x14ac:dyDescent="0.25">
      <c r="I5" s="310"/>
      <c r="J5" s="310"/>
      <c r="K5" s="310"/>
      <c r="L5" s="310"/>
      <c r="M5" s="310"/>
    </row>
    <row r="6" spans="4:17" ht="15.75" thickBot="1" x14ac:dyDescent="0.3">
      <c r="F6" s="491" t="s">
        <v>193</v>
      </c>
      <c r="G6" s="491"/>
      <c r="H6" s="491"/>
      <c r="I6" s="491"/>
      <c r="J6" s="491"/>
      <c r="L6" s="486" t="s">
        <v>193</v>
      </c>
      <c r="M6" s="486"/>
      <c r="N6" s="486"/>
      <c r="O6" s="486"/>
      <c r="P6" s="486"/>
      <c r="Q6" s="486"/>
    </row>
    <row r="7" spans="4:17" ht="15.75" thickBot="1" x14ac:dyDescent="0.3">
      <c r="E7" s="24"/>
      <c r="F7" s="353" t="s">
        <v>233</v>
      </c>
      <c r="G7" s="353" t="s">
        <v>186</v>
      </c>
      <c r="H7" s="353" t="s">
        <v>187</v>
      </c>
      <c r="I7" s="353" t="s">
        <v>188</v>
      </c>
      <c r="J7" s="353" t="s">
        <v>189</v>
      </c>
      <c r="M7" s="369"/>
      <c r="N7" s="369"/>
      <c r="O7" s="369"/>
      <c r="P7" s="369"/>
    </row>
    <row r="8" spans="4:17" x14ac:dyDescent="0.25">
      <c r="D8" s="6"/>
      <c r="E8" s="336" t="s">
        <v>39</v>
      </c>
      <c r="F8" s="402">
        <v>195.2081</v>
      </c>
      <c r="G8" s="403">
        <v>171.77331999999998</v>
      </c>
      <c r="H8" s="403">
        <v>155.70436999999998</v>
      </c>
      <c r="I8" s="403">
        <v>82.324390000000008</v>
      </c>
      <c r="J8" s="403">
        <v>54.821289999999998</v>
      </c>
      <c r="K8" s="4"/>
      <c r="M8" s="369"/>
      <c r="N8" s="369"/>
      <c r="O8" s="369"/>
      <c r="P8" s="369"/>
    </row>
    <row r="9" spans="4:17" x14ac:dyDescent="0.25">
      <c r="D9" s="6"/>
      <c r="E9" s="341" t="s">
        <v>40</v>
      </c>
      <c r="F9" s="404">
        <v>328.36399999999998</v>
      </c>
      <c r="G9" s="404">
        <v>345.36573999999996</v>
      </c>
      <c r="H9" s="404">
        <v>234.30274</v>
      </c>
      <c r="I9" s="404">
        <v>236.68863000000002</v>
      </c>
      <c r="J9" s="404">
        <v>236.50212999999997</v>
      </c>
      <c r="M9" s="369"/>
      <c r="N9" s="369"/>
      <c r="O9" s="369"/>
      <c r="P9" s="369"/>
    </row>
    <row r="10" spans="4:17" x14ac:dyDescent="0.25">
      <c r="D10" s="6"/>
      <c r="E10" s="341" t="s">
        <v>41</v>
      </c>
      <c r="F10" s="404">
        <v>666.36200000000008</v>
      </c>
      <c r="G10" s="404">
        <v>740.33460000000002</v>
      </c>
      <c r="H10" s="404">
        <v>396.56389000000001</v>
      </c>
      <c r="I10" s="404">
        <v>471.98804999999999</v>
      </c>
      <c r="J10" s="404">
        <v>697.73919000000001</v>
      </c>
      <c r="M10" s="369"/>
      <c r="N10" s="369"/>
      <c r="O10" s="369"/>
      <c r="P10" s="369"/>
    </row>
    <row r="11" spans="4:17" x14ac:dyDescent="0.25">
      <c r="D11" s="6"/>
      <c r="E11" s="341" t="s">
        <v>42</v>
      </c>
      <c r="F11" s="404">
        <v>873.18310000000008</v>
      </c>
      <c r="G11" s="404">
        <v>1055.0070900000001</v>
      </c>
      <c r="H11" s="404">
        <v>503.45074</v>
      </c>
      <c r="I11" s="404">
        <v>554.38471000000004</v>
      </c>
      <c r="J11" s="404">
        <v>888.37991</v>
      </c>
      <c r="M11" s="369"/>
      <c r="N11" s="369"/>
      <c r="O11" s="369"/>
      <c r="P11" s="369"/>
    </row>
    <row r="12" spans="4:17" x14ac:dyDescent="0.25">
      <c r="D12" s="6"/>
      <c r="E12" s="341" t="s">
        <v>43</v>
      </c>
      <c r="F12" s="404">
        <v>937.91409999999996</v>
      </c>
      <c r="G12" s="404">
        <v>1024.68668</v>
      </c>
      <c r="H12" s="404">
        <v>474.38193000000001</v>
      </c>
      <c r="I12" s="404">
        <v>527.90192999999999</v>
      </c>
      <c r="J12" s="404">
        <v>905.64439000000004</v>
      </c>
      <c r="M12" s="369"/>
      <c r="N12" s="369"/>
      <c r="O12" s="369"/>
      <c r="P12" s="369"/>
    </row>
    <row r="13" spans="4:17" x14ac:dyDescent="0.25">
      <c r="D13" s="6"/>
      <c r="E13" s="341" t="s">
        <v>44</v>
      </c>
      <c r="F13" s="404">
        <v>824.06679999999994</v>
      </c>
      <c r="G13" s="404">
        <v>931.13413000000003</v>
      </c>
      <c r="H13" s="404">
        <v>409.40063000000004</v>
      </c>
      <c r="I13" s="404">
        <v>474.62288000000001</v>
      </c>
      <c r="J13" s="404">
        <v>788.05705</v>
      </c>
      <c r="M13" s="369"/>
      <c r="N13" s="369"/>
      <c r="O13" s="369"/>
      <c r="P13" s="369"/>
    </row>
    <row r="14" spans="4:17" x14ac:dyDescent="0.25">
      <c r="D14" s="6"/>
      <c r="E14" s="341" t="s">
        <v>45</v>
      </c>
      <c r="F14" s="404">
        <v>689.44269999999995</v>
      </c>
      <c r="G14" s="404">
        <v>796.21762000000001</v>
      </c>
      <c r="H14" s="404">
        <v>350.80296999999996</v>
      </c>
      <c r="I14" s="404">
        <v>399.02364999999998</v>
      </c>
      <c r="J14" s="404">
        <v>678.02169000000004</v>
      </c>
      <c r="M14" s="369"/>
      <c r="N14" s="369"/>
      <c r="O14" s="369"/>
      <c r="P14" s="369"/>
    </row>
    <row r="15" spans="4:17" x14ac:dyDescent="0.25">
      <c r="D15" s="6"/>
      <c r="E15" s="341" t="s">
        <v>46</v>
      </c>
      <c r="F15" s="404">
        <v>566.95100000000002</v>
      </c>
      <c r="G15" s="404">
        <v>664.76520000000005</v>
      </c>
      <c r="H15" s="404">
        <v>271.39996000000002</v>
      </c>
      <c r="I15" s="404">
        <v>320.47838999999999</v>
      </c>
      <c r="J15" s="404">
        <v>563.77396999999996</v>
      </c>
      <c r="M15" s="369"/>
      <c r="N15" s="369"/>
      <c r="O15" s="369"/>
      <c r="P15" s="369"/>
    </row>
    <row r="16" spans="4:17" x14ac:dyDescent="0.25">
      <c r="D16" s="6"/>
      <c r="E16" s="341" t="s">
        <v>55</v>
      </c>
      <c r="F16" s="404">
        <v>470.09520000000003</v>
      </c>
      <c r="G16" s="404">
        <v>534.84075999999993</v>
      </c>
      <c r="H16" s="404">
        <v>211.13153999999997</v>
      </c>
      <c r="I16" s="404">
        <v>252.31005000000002</v>
      </c>
      <c r="J16" s="404">
        <v>449.60960999999998</v>
      </c>
      <c r="M16" s="369"/>
      <c r="N16" s="369"/>
      <c r="O16" s="369"/>
      <c r="P16" s="369"/>
    </row>
    <row r="17" spans="4:17" x14ac:dyDescent="0.25">
      <c r="D17" s="6"/>
      <c r="E17" s="341" t="s">
        <v>56</v>
      </c>
      <c r="F17" s="404">
        <v>383.92019999999997</v>
      </c>
      <c r="G17" s="404">
        <v>425.15010000000001</v>
      </c>
      <c r="H17" s="404">
        <v>159.67197000000002</v>
      </c>
      <c r="I17" s="404">
        <v>189.36770999999999</v>
      </c>
      <c r="J17" s="404">
        <v>321.44963000000001</v>
      </c>
      <c r="M17" s="369"/>
      <c r="N17" s="369"/>
      <c r="O17" s="369"/>
      <c r="P17" s="369"/>
    </row>
    <row r="18" spans="4:17" x14ac:dyDescent="0.25">
      <c r="D18" s="6"/>
      <c r="E18" s="341" t="s">
        <v>57</v>
      </c>
      <c r="F18" s="404">
        <v>315.07299999999998</v>
      </c>
      <c r="G18" s="404">
        <v>331.14209999999997</v>
      </c>
      <c r="H18" s="404">
        <v>125.45559999999999</v>
      </c>
      <c r="I18" s="404">
        <v>139.47251</v>
      </c>
      <c r="J18" s="404">
        <v>239.81246999999999</v>
      </c>
      <c r="M18" s="369"/>
      <c r="N18" s="369"/>
      <c r="O18" s="369"/>
      <c r="P18" s="369"/>
    </row>
    <row r="19" spans="4:17" ht="15.75" thickBot="1" x14ac:dyDescent="0.3">
      <c r="D19" s="6"/>
      <c r="E19" s="345" t="s">
        <v>58</v>
      </c>
      <c r="F19" s="405">
        <v>213.12287000000001</v>
      </c>
      <c r="G19" s="405">
        <v>227.69511</v>
      </c>
      <c r="H19" s="405">
        <v>84.41313000000001</v>
      </c>
      <c r="I19" s="405">
        <v>78.305929999999989</v>
      </c>
      <c r="J19" s="405">
        <v>141.15647000000001</v>
      </c>
    </row>
    <row r="20" spans="4:17" x14ac:dyDescent="0.25">
      <c r="E20" s="351"/>
      <c r="F20" s="406"/>
      <c r="G20" s="406"/>
      <c r="H20" s="407"/>
      <c r="I20" s="407"/>
      <c r="J20" s="407"/>
    </row>
    <row r="23" spans="4:17" ht="15.75" thickBot="1" x14ac:dyDescent="0.3">
      <c r="F23" s="491" t="s">
        <v>194</v>
      </c>
      <c r="G23" s="491"/>
      <c r="H23" s="491"/>
      <c r="I23" s="491"/>
      <c r="J23" s="491"/>
      <c r="L23" s="486" t="s">
        <v>194</v>
      </c>
      <c r="M23" s="486"/>
      <c r="N23" s="486"/>
      <c r="O23" s="486"/>
      <c r="P23" s="486"/>
      <c r="Q23" s="486"/>
    </row>
    <row r="24" spans="4:17" ht="15.75" thickBot="1" x14ac:dyDescent="0.3">
      <c r="E24" s="401"/>
      <c r="F24" s="353" t="s">
        <v>233</v>
      </c>
      <c r="G24" s="353" t="s">
        <v>186</v>
      </c>
      <c r="H24" s="353" t="s">
        <v>187</v>
      </c>
      <c r="I24" s="353" t="s">
        <v>188</v>
      </c>
      <c r="J24" s="353" t="s">
        <v>189</v>
      </c>
      <c r="M24" s="369"/>
      <c r="N24" s="369"/>
      <c r="O24" s="369"/>
      <c r="P24" s="369"/>
    </row>
    <row r="25" spans="4:17" x14ac:dyDescent="0.25">
      <c r="D25" s="6"/>
      <c r="E25" s="336" t="s">
        <v>39</v>
      </c>
      <c r="F25" s="402">
        <v>205.66722999999999</v>
      </c>
      <c r="G25" s="402">
        <v>192.8152</v>
      </c>
      <c r="H25" s="402">
        <v>212.10380000000001</v>
      </c>
      <c r="I25" s="402">
        <v>137.9716</v>
      </c>
      <c r="J25" s="408">
        <v>86.128100000000003</v>
      </c>
      <c r="M25" s="369"/>
      <c r="N25" s="369"/>
      <c r="O25" s="369"/>
      <c r="P25" s="369"/>
    </row>
    <row r="26" spans="4:17" x14ac:dyDescent="0.25">
      <c r="D26" s="6"/>
      <c r="E26" s="341" t="s">
        <v>40</v>
      </c>
      <c r="F26" s="404">
        <v>191.05082999999999</v>
      </c>
      <c r="G26" s="404">
        <v>195.1934</v>
      </c>
      <c r="H26" s="404">
        <v>217.5282</v>
      </c>
      <c r="I26" s="404">
        <v>142.23269999999999</v>
      </c>
      <c r="J26" s="375">
        <v>94.317800000000005</v>
      </c>
      <c r="M26" s="369"/>
      <c r="N26" s="369"/>
      <c r="O26" s="369"/>
      <c r="P26" s="369"/>
    </row>
    <row r="27" spans="4:17" x14ac:dyDescent="0.25">
      <c r="D27" s="6"/>
      <c r="E27" s="341" t="s">
        <v>41</v>
      </c>
      <c r="F27" s="404">
        <v>203.10149999999999</v>
      </c>
      <c r="G27" s="404">
        <v>245.36189999999999</v>
      </c>
      <c r="H27" s="404">
        <v>242.46109999999999</v>
      </c>
      <c r="I27" s="404">
        <v>165.08199999999999</v>
      </c>
      <c r="J27" s="375">
        <v>136.1557</v>
      </c>
      <c r="M27" s="369"/>
      <c r="N27" s="369"/>
      <c r="O27" s="369"/>
      <c r="P27" s="369"/>
    </row>
    <row r="28" spans="4:17" x14ac:dyDescent="0.25">
      <c r="D28" s="6"/>
      <c r="E28" s="341" t="s">
        <v>42</v>
      </c>
      <c r="F28" s="404">
        <v>234.87260000000001</v>
      </c>
      <c r="G28" s="404">
        <v>286.88850000000002</v>
      </c>
      <c r="H28" s="404">
        <v>260.65730000000002</v>
      </c>
      <c r="I28" s="404">
        <v>180.8159</v>
      </c>
      <c r="J28" s="375">
        <v>175.64659999999998</v>
      </c>
      <c r="M28" s="369"/>
      <c r="N28" s="369"/>
      <c r="O28" s="369"/>
      <c r="P28" s="369"/>
    </row>
    <row r="29" spans="4:17" x14ac:dyDescent="0.25">
      <c r="D29" s="6"/>
      <c r="E29" s="341" t="s">
        <v>43</v>
      </c>
      <c r="F29" s="404">
        <v>260.6456</v>
      </c>
      <c r="G29" s="404">
        <v>310.80520000000001</v>
      </c>
      <c r="H29" s="404">
        <v>266.70580000000001</v>
      </c>
      <c r="I29" s="404">
        <v>184.75970000000001</v>
      </c>
      <c r="J29" s="375">
        <v>200.29760000000005</v>
      </c>
      <c r="M29" s="369"/>
      <c r="N29" s="369"/>
      <c r="O29" s="369"/>
      <c r="P29" s="369"/>
    </row>
    <row r="30" spans="4:17" x14ac:dyDescent="0.25">
      <c r="D30" s="6"/>
      <c r="E30" s="341" t="s">
        <v>44</v>
      </c>
      <c r="F30" s="404">
        <v>278.49414000000002</v>
      </c>
      <c r="G30" s="404">
        <v>288.18549999999999</v>
      </c>
      <c r="H30" s="404">
        <v>262.41399999999999</v>
      </c>
      <c r="I30" s="404">
        <v>183.45050000000001</v>
      </c>
      <c r="J30" s="375">
        <v>211.55319999999998</v>
      </c>
      <c r="M30" s="369"/>
      <c r="N30" s="369"/>
      <c r="O30" s="369"/>
      <c r="P30" s="369"/>
    </row>
    <row r="31" spans="4:17" x14ac:dyDescent="0.25">
      <c r="D31" s="6"/>
      <c r="E31" s="341" t="s">
        <v>45</v>
      </c>
      <c r="F31" s="404">
        <v>287.84616999999997</v>
      </c>
      <c r="G31" s="404">
        <v>288.60899999999998</v>
      </c>
      <c r="H31" s="404">
        <v>259.05500000000001</v>
      </c>
      <c r="I31" s="404">
        <v>177.31720000000001</v>
      </c>
      <c r="J31" s="375">
        <v>206.93770000000001</v>
      </c>
      <c r="M31" s="369"/>
      <c r="N31" s="369"/>
      <c r="O31" s="369"/>
      <c r="P31" s="369"/>
    </row>
    <row r="32" spans="4:17" x14ac:dyDescent="0.25">
      <c r="D32" s="6"/>
      <c r="E32" s="341" t="s">
        <v>46</v>
      </c>
      <c r="F32" s="404">
        <v>290.05399999999997</v>
      </c>
      <c r="G32" s="404">
        <v>284.66480000000001</v>
      </c>
      <c r="H32" s="404">
        <v>260.26749999999998</v>
      </c>
      <c r="I32" s="404">
        <v>170.4718</v>
      </c>
      <c r="J32" s="375">
        <v>200.47430000000003</v>
      </c>
      <c r="M32" s="369"/>
      <c r="N32" s="369"/>
      <c r="O32" s="369"/>
      <c r="P32" s="369"/>
    </row>
    <row r="33" spans="4:17" x14ac:dyDescent="0.25">
      <c r="D33" s="6"/>
      <c r="E33" s="341" t="s">
        <v>55</v>
      </c>
      <c r="F33" s="404">
        <v>279.3005</v>
      </c>
      <c r="G33" s="404">
        <v>274.20260000000002</v>
      </c>
      <c r="H33" s="404">
        <v>245.41909999999999</v>
      </c>
      <c r="I33" s="404">
        <v>162.5891</v>
      </c>
      <c r="J33" s="375">
        <v>196.74110000000002</v>
      </c>
      <c r="M33" s="369"/>
      <c r="N33" s="369"/>
      <c r="O33" s="369"/>
      <c r="P33" s="369"/>
    </row>
    <row r="34" spans="4:17" x14ac:dyDescent="0.25">
      <c r="D34" s="6"/>
      <c r="E34" s="341" t="s">
        <v>56</v>
      </c>
      <c r="F34" s="404">
        <v>256.52089999999998</v>
      </c>
      <c r="G34" s="404">
        <v>272.56639999999999</v>
      </c>
      <c r="H34" s="404">
        <v>223.768</v>
      </c>
      <c r="I34" s="404">
        <v>152.9032</v>
      </c>
      <c r="J34" s="395">
        <v>189.27790000000002</v>
      </c>
      <c r="M34" s="369"/>
      <c r="N34" s="369"/>
      <c r="O34" s="369"/>
      <c r="P34" s="369"/>
    </row>
    <row r="35" spans="4:17" x14ac:dyDescent="0.25">
      <c r="D35" s="6"/>
      <c r="E35" s="341" t="s">
        <v>57</v>
      </c>
      <c r="F35" s="404">
        <v>230.7868</v>
      </c>
      <c r="G35" s="404">
        <v>249.81630000000001</v>
      </c>
      <c r="H35" s="404">
        <v>195.69630000000001</v>
      </c>
      <c r="I35" s="404">
        <v>132.1592</v>
      </c>
      <c r="J35" s="375">
        <v>166.11640000000003</v>
      </c>
      <c r="M35" s="369"/>
      <c r="N35" s="369"/>
      <c r="O35" s="369"/>
      <c r="P35" s="369"/>
    </row>
    <row r="36" spans="4:17" ht="15.75" thickBot="1" x14ac:dyDescent="0.3">
      <c r="D36" s="6"/>
      <c r="E36" s="345" t="s">
        <v>58</v>
      </c>
      <c r="F36" s="409">
        <v>210.5</v>
      </c>
      <c r="G36" s="409">
        <v>226.91139999999999</v>
      </c>
      <c r="H36" s="409">
        <v>163.82689999999999</v>
      </c>
      <c r="I36" s="409">
        <v>108.563</v>
      </c>
      <c r="J36" s="410">
        <v>148.51589999999999</v>
      </c>
      <c r="M36" s="369"/>
      <c r="N36" s="369"/>
      <c r="O36" s="369"/>
      <c r="P36" s="369"/>
    </row>
    <row r="37" spans="4:17" x14ac:dyDescent="0.25">
      <c r="E37" s="351"/>
      <c r="F37" s="407"/>
      <c r="G37" s="407"/>
      <c r="H37" s="407"/>
      <c r="I37" s="407"/>
      <c r="J37" s="407"/>
      <c r="M37" s="369"/>
      <c r="N37" s="369"/>
      <c r="O37" s="369"/>
      <c r="P37" s="369"/>
    </row>
    <row r="38" spans="4:17" ht="23.25" customHeight="1" x14ac:dyDescent="0.25">
      <c r="J38" s="179"/>
    </row>
    <row r="40" spans="4:17" ht="15.75" thickBot="1" x14ac:dyDescent="0.3">
      <c r="F40" s="491" t="s">
        <v>195</v>
      </c>
      <c r="G40" s="491"/>
      <c r="H40" s="491"/>
      <c r="I40" s="491"/>
      <c r="J40" s="491"/>
      <c r="L40" s="486" t="s">
        <v>195</v>
      </c>
      <c r="M40" s="486"/>
      <c r="N40" s="486"/>
      <c r="O40" s="486"/>
      <c r="P40" s="486"/>
      <c r="Q40" s="486"/>
    </row>
    <row r="41" spans="4:17" ht="15.75" thickBot="1" x14ac:dyDescent="0.3">
      <c r="E41" s="401"/>
      <c r="F41" s="353" t="s">
        <v>233</v>
      </c>
      <c r="G41" s="353" t="s">
        <v>186</v>
      </c>
      <c r="H41" s="353" t="s">
        <v>187</v>
      </c>
      <c r="I41" s="353" t="s">
        <v>188</v>
      </c>
      <c r="J41" s="353" t="s">
        <v>189</v>
      </c>
    </row>
    <row r="42" spans="4:17" x14ac:dyDescent="0.25">
      <c r="D42" s="6"/>
      <c r="E42" s="336" t="s">
        <v>39</v>
      </c>
      <c r="F42" s="411">
        <v>400.87532999999996</v>
      </c>
      <c r="G42" s="411">
        <v>364.58852000000002</v>
      </c>
      <c r="H42" s="411">
        <v>367.80817000000002</v>
      </c>
      <c r="I42" s="411">
        <v>220.29599000000002</v>
      </c>
      <c r="J42" s="411">
        <v>140.94938999999999</v>
      </c>
    </row>
    <row r="43" spans="4:17" x14ac:dyDescent="0.25">
      <c r="D43" s="6"/>
      <c r="E43" s="341" t="s">
        <v>40</v>
      </c>
      <c r="F43" s="412">
        <v>519.41482999999994</v>
      </c>
      <c r="G43" s="412">
        <v>540.55913999999996</v>
      </c>
      <c r="H43" s="412">
        <v>451.83094</v>
      </c>
      <c r="I43" s="412">
        <v>378.92133000000001</v>
      </c>
      <c r="J43" s="412">
        <v>330.81993</v>
      </c>
    </row>
    <row r="44" spans="4:17" x14ac:dyDescent="0.25">
      <c r="D44" s="6"/>
      <c r="E44" s="341" t="s">
        <v>41</v>
      </c>
      <c r="F44" s="412">
        <v>869.46350000000007</v>
      </c>
      <c r="G44" s="412">
        <v>985.69650000000001</v>
      </c>
      <c r="H44" s="412">
        <v>639.02499</v>
      </c>
      <c r="I44" s="412">
        <v>637.07005000000004</v>
      </c>
      <c r="J44" s="412">
        <v>833.89489000000003</v>
      </c>
    </row>
    <row r="45" spans="4:17" x14ac:dyDescent="0.25">
      <c r="D45" s="6"/>
      <c r="E45" s="341" t="s">
        <v>42</v>
      </c>
      <c r="F45" s="412">
        <v>1108.0557000000001</v>
      </c>
      <c r="G45" s="412">
        <v>1341.8955900000001</v>
      </c>
      <c r="H45" s="412">
        <v>764.10804000000007</v>
      </c>
      <c r="I45" s="412">
        <v>735.2006100000001</v>
      </c>
      <c r="J45" s="412">
        <v>1064.0265099999999</v>
      </c>
    </row>
    <row r="46" spans="4:17" x14ac:dyDescent="0.25">
      <c r="D46" s="6"/>
      <c r="E46" s="341" t="s">
        <v>43</v>
      </c>
      <c r="F46" s="412">
        <v>1198.5597</v>
      </c>
      <c r="G46" s="412">
        <v>1335.49188</v>
      </c>
      <c r="H46" s="412">
        <v>741.08772999999997</v>
      </c>
      <c r="I46" s="412">
        <v>712.66163000000006</v>
      </c>
      <c r="J46" s="412">
        <v>1105.94199</v>
      </c>
    </row>
    <row r="47" spans="4:17" x14ac:dyDescent="0.25">
      <c r="D47" s="6"/>
      <c r="E47" s="341" t="s">
        <v>44</v>
      </c>
      <c r="F47" s="404">
        <v>1102.5609399999998</v>
      </c>
      <c r="G47" s="404">
        <v>1219.31963</v>
      </c>
      <c r="H47" s="404">
        <v>671.81463000000008</v>
      </c>
      <c r="I47" s="404">
        <v>658.07338000000004</v>
      </c>
      <c r="J47" s="404">
        <v>999.61024999999995</v>
      </c>
    </row>
    <row r="48" spans="4:17" x14ac:dyDescent="0.25">
      <c r="D48" s="6"/>
      <c r="E48" s="341" t="s">
        <v>45</v>
      </c>
      <c r="F48" s="404">
        <v>977.28886999999986</v>
      </c>
      <c r="G48" s="404">
        <v>1084.82662</v>
      </c>
      <c r="H48" s="404">
        <v>609.85797000000002</v>
      </c>
      <c r="I48" s="404">
        <v>576.34085000000005</v>
      </c>
      <c r="J48" s="404">
        <v>884.95938999999998</v>
      </c>
    </row>
    <row r="49" spans="4:17" x14ac:dyDescent="0.25">
      <c r="D49" s="6"/>
      <c r="E49" s="341" t="s">
        <v>46</v>
      </c>
      <c r="F49" s="404">
        <v>857.005</v>
      </c>
      <c r="G49" s="404">
        <v>949.43000000000006</v>
      </c>
      <c r="H49" s="404">
        <v>531.66746000000001</v>
      </c>
      <c r="I49" s="404">
        <v>490.95019000000002</v>
      </c>
      <c r="J49" s="404">
        <v>764.24827000000005</v>
      </c>
    </row>
    <row r="50" spans="4:17" x14ac:dyDescent="0.25">
      <c r="D50" s="6"/>
      <c r="E50" s="341" t="s">
        <v>55</v>
      </c>
      <c r="F50" s="404">
        <v>749.39570000000003</v>
      </c>
      <c r="G50" s="404">
        <v>809.04335999999989</v>
      </c>
      <c r="H50" s="404">
        <v>456.55063999999993</v>
      </c>
      <c r="I50" s="404">
        <v>414.89915000000002</v>
      </c>
      <c r="J50" s="404">
        <v>646.35070999999994</v>
      </c>
    </row>
    <row r="51" spans="4:17" x14ac:dyDescent="0.25">
      <c r="D51" s="6"/>
      <c r="E51" s="341" t="s">
        <v>56</v>
      </c>
      <c r="F51" s="404">
        <v>640.44110000000001</v>
      </c>
      <c r="G51" s="404">
        <v>697.7165</v>
      </c>
      <c r="H51" s="404">
        <v>383.43997000000002</v>
      </c>
      <c r="I51" s="404">
        <v>342.27090999999996</v>
      </c>
      <c r="J51" s="413">
        <v>510.72753</v>
      </c>
    </row>
    <row r="52" spans="4:17" x14ac:dyDescent="0.25">
      <c r="D52" s="6"/>
      <c r="E52" s="341" t="s">
        <v>57</v>
      </c>
      <c r="F52" s="404">
        <v>545.85979999999995</v>
      </c>
      <c r="G52" s="404">
        <v>580.95839999999998</v>
      </c>
      <c r="H52" s="404">
        <v>321.15190000000001</v>
      </c>
      <c r="I52" s="404">
        <v>271.63171</v>
      </c>
      <c r="J52" s="404">
        <v>405.92887000000002</v>
      </c>
    </row>
    <row r="53" spans="4:17" ht="15.75" thickBot="1" x14ac:dyDescent="0.3">
      <c r="D53" s="6"/>
      <c r="E53" s="345" t="s">
        <v>58</v>
      </c>
      <c r="F53" s="409">
        <v>423.62287000000003</v>
      </c>
      <c r="G53" s="409">
        <v>454.60650999999996</v>
      </c>
      <c r="H53" s="409">
        <v>248.24002999999999</v>
      </c>
      <c r="I53" s="409">
        <v>186.86892999999998</v>
      </c>
      <c r="J53" s="409">
        <v>289.67237</v>
      </c>
    </row>
    <row r="54" spans="4:17" x14ac:dyDescent="0.25">
      <c r="E54" s="351"/>
      <c r="F54" s="407"/>
      <c r="G54" s="407"/>
      <c r="H54" s="407"/>
      <c r="I54" s="407"/>
      <c r="J54" s="407"/>
    </row>
    <row r="56" spans="4:17" ht="15.75" x14ac:dyDescent="0.25">
      <c r="E56" s="488" t="s">
        <v>121</v>
      </c>
      <c r="F56" s="488"/>
      <c r="G56" s="488"/>
      <c r="H56" s="488"/>
      <c r="I56" s="488"/>
      <c r="J56" s="488"/>
      <c r="K56" s="488"/>
      <c r="L56" s="488"/>
      <c r="M56" s="488"/>
      <c r="N56" s="488"/>
      <c r="O56" s="488"/>
      <c r="P56" s="488"/>
      <c r="Q56" s="488"/>
    </row>
  </sheetData>
  <mergeCells count="8">
    <mergeCell ref="E56:Q56"/>
    <mergeCell ref="G2:O4"/>
    <mergeCell ref="F6:J6"/>
    <mergeCell ref="L6:Q6"/>
    <mergeCell ref="F23:J23"/>
    <mergeCell ref="L23:Q23"/>
    <mergeCell ref="F40:J40"/>
    <mergeCell ref="L40:Q40"/>
  </mergeCells>
  <pageMargins left="0.7" right="0.7" top="0.75" bottom="0.75" header="0.3" footer="0.3"/>
  <pageSetup paperSize="9" scale="55" fitToWidth="0" fitToHeight="0" orientation="landscape" r:id="rId1"/>
  <headerFooter>
    <oddHeader>&amp;L&amp;G&amp;RCAMPAÑA: 2024/2025. MES: SEPTIEMBRE
Fecha de emisión de datos: 07/05/2026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6EF8-C75B-4058-BADF-602D5D7A83A1}">
  <dimension ref="B2:K84"/>
  <sheetViews>
    <sheetView view="pageLayout" zoomScaleNormal="60" zoomScaleSheetLayoutView="70" workbookViewId="0">
      <selection activeCell="I71" sqref="I71:K71"/>
    </sheetView>
  </sheetViews>
  <sheetFormatPr baseColWidth="10" defaultColWidth="11.42578125" defaultRowHeight="15" x14ac:dyDescent="0.25"/>
  <cols>
    <col min="1" max="1" width="14.85546875" customWidth="1"/>
    <col min="2" max="2" width="12.5703125" customWidth="1"/>
    <col min="3" max="3" width="12.140625" customWidth="1"/>
    <col min="10" max="10" width="15.140625" customWidth="1"/>
    <col min="11" max="11" width="19.28515625" customWidth="1"/>
    <col min="12" max="12" width="11.42578125" customWidth="1"/>
  </cols>
  <sheetData>
    <row r="2" spans="2:11" ht="15" customHeight="1" x14ac:dyDescent="0.25">
      <c r="E2" s="482" t="s">
        <v>196</v>
      </c>
      <c r="F2" s="482"/>
      <c r="G2" s="482"/>
      <c r="H2" s="482"/>
      <c r="I2" s="482"/>
    </row>
    <row r="3" spans="2:11" ht="15" customHeight="1" x14ac:dyDescent="0.25">
      <c r="E3" s="482"/>
      <c r="F3" s="482"/>
      <c r="G3" s="482"/>
      <c r="H3" s="482"/>
      <c r="I3" s="482"/>
    </row>
    <row r="4" spans="2:11" ht="15" customHeight="1" x14ac:dyDescent="0.25">
      <c r="E4" s="482"/>
      <c r="F4" s="482"/>
      <c r="G4" s="482"/>
      <c r="H4" s="482"/>
      <c r="I4" s="482"/>
    </row>
    <row r="5" spans="2:11" ht="15" customHeight="1" x14ac:dyDescent="0.25">
      <c r="E5" s="310"/>
      <c r="F5" s="310"/>
      <c r="G5" s="310"/>
      <c r="H5" s="310"/>
      <c r="I5" s="310"/>
    </row>
    <row r="6" spans="2:11" ht="16.5" thickBot="1" x14ac:dyDescent="0.3">
      <c r="D6" s="492" t="s">
        <v>197</v>
      </c>
      <c r="E6" s="492"/>
      <c r="F6" s="492"/>
      <c r="G6" s="492"/>
      <c r="H6" s="492"/>
      <c r="I6" s="492"/>
      <c r="J6" s="492"/>
      <c r="K6" s="492"/>
    </row>
    <row r="7" spans="2:11" ht="30" customHeight="1" thickBot="1" x14ac:dyDescent="0.3">
      <c r="C7" s="401"/>
      <c r="D7" s="414" t="s">
        <v>233</v>
      </c>
      <c r="E7" s="414" t="s">
        <v>186</v>
      </c>
      <c r="F7" s="414" t="s">
        <v>187</v>
      </c>
      <c r="G7" s="414" t="s">
        <v>188</v>
      </c>
      <c r="H7" s="414" t="s">
        <v>189</v>
      </c>
      <c r="I7" s="415" t="s">
        <v>234</v>
      </c>
      <c r="J7" s="415" t="s">
        <v>235</v>
      </c>
      <c r="K7" s="415" t="s">
        <v>236</v>
      </c>
    </row>
    <row r="8" spans="2:11" x14ac:dyDescent="0.25">
      <c r="B8" s="6"/>
      <c r="C8" s="336" t="s">
        <v>39</v>
      </c>
      <c r="D8" s="424">
        <v>38.299999999999997</v>
      </c>
      <c r="E8" s="424">
        <v>51.3461</v>
      </c>
      <c r="F8" s="424">
        <v>30.671399999999998</v>
      </c>
      <c r="G8" s="424">
        <v>38.6693</v>
      </c>
      <c r="H8" s="424">
        <v>36.869638065065338</v>
      </c>
      <c r="I8" s="418">
        <f>IF(ISNUMBER(H8),H8/G8-1,"")</f>
        <v>-4.6539811554247468E-2</v>
      </c>
      <c r="J8" s="418">
        <f>IF(ISNUMBER(H8),H8/AVERAGE(E8:G8)-1,"")</f>
        <v>-8.3504457859550518E-2</v>
      </c>
      <c r="K8" s="418">
        <f>IF(ISNUMBER(H8),H8/AVERAGE(D8:G8)-1,"")</f>
        <v>-7.2384925916734177E-2</v>
      </c>
    </row>
    <row r="9" spans="2:11" x14ac:dyDescent="0.25">
      <c r="B9" s="6"/>
      <c r="C9" s="341" t="s">
        <v>40</v>
      </c>
      <c r="D9" s="416">
        <v>283</v>
      </c>
      <c r="E9" s="416">
        <v>339.51589999999999</v>
      </c>
      <c r="F9" s="416">
        <v>199.68899999999999</v>
      </c>
      <c r="G9" s="416">
        <v>268.68360000000001</v>
      </c>
      <c r="H9" s="416">
        <v>303.53992543307487</v>
      </c>
      <c r="I9" s="420">
        <f t="shared" ref="I9:I19" si="0">IF(ISNUMBER(H9),H9/G9-1,"")</f>
        <v>0.12973000746258734</v>
      </c>
      <c r="J9" s="420">
        <f t="shared" ref="J9:J19" si="1">IF(ISNUMBER(H9),H9/AVERAGE(E9:G9)-1,"")</f>
        <v>0.12716021616748407</v>
      </c>
      <c r="K9" s="420">
        <f t="shared" ref="K9:K19" si="2">IF(ISNUMBER(H9),H9/AVERAGE(D9:G9)-1,"")</f>
        <v>0.11300073447680448</v>
      </c>
    </row>
    <row r="10" spans="2:11" x14ac:dyDescent="0.25">
      <c r="B10" s="6"/>
      <c r="C10" s="341" t="s">
        <v>41</v>
      </c>
      <c r="D10" s="416">
        <v>758.3</v>
      </c>
      <c r="E10" s="416">
        <v>882.22590000000002</v>
      </c>
      <c r="F10" s="416">
        <v>438.55250000000001</v>
      </c>
      <c r="G10" s="416">
        <v>597.16419999999994</v>
      </c>
      <c r="H10" s="416">
        <v>899.97092539012806</v>
      </c>
      <c r="I10" s="420">
        <f t="shared" si="0"/>
        <v>0.50707447866119271</v>
      </c>
      <c r="J10" s="420">
        <f t="shared" si="1"/>
        <v>0.4077130234087214</v>
      </c>
      <c r="K10" s="420">
        <f t="shared" si="2"/>
        <v>0.3451260739816755</v>
      </c>
    </row>
    <row r="11" spans="2:11" x14ac:dyDescent="0.25">
      <c r="B11" s="6"/>
      <c r="C11" s="341" t="s">
        <v>42</v>
      </c>
      <c r="D11" s="416">
        <v>1110.4000000000001</v>
      </c>
      <c r="E11" s="416">
        <v>1353.4133000000002</v>
      </c>
      <c r="F11" s="416">
        <v>620.9049</v>
      </c>
      <c r="G11" s="416">
        <v>785.35109999999997</v>
      </c>
      <c r="H11" s="416">
        <v>1251.4518295184887</v>
      </c>
      <c r="I11" s="420">
        <f t="shared" si="0"/>
        <v>0.59349344454790831</v>
      </c>
      <c r="J11" s="420">
        <f t="shared" si="1"/>
        <v>0.36043673368960039</v>
      </c>
      <c r="K11" s="420">
        <f t="shared" si="2"/>
        <v>0.29346710098290862</v>
      </c>
    </row>
    <row r="12" spans="2:11" x14ac:dyDescent="0.25">
      <c r="B12" s="6"/>
      <c r="C12" s="341" t="s">
        <v>43</v>
      </c>
      <c r="D12" s="416">
        <v>1337.8000000000002</v>
      </c>
      <c r="E12" s="416">
        <v>1462.2205000000001</v>
      </c>
      <c r="F12" s="416">
        <v>656.98230000000001</v>
      </c>
      <c r="G12" s="416">
        <v>838.49309999999991</v>
      </c>
      <c r="H12" s="416">
        <v>1405.52222616008</v>
      </c>
      <c r="I12" s="420">
        <f t="shared" si="0"/>
        <v>0.67624781427549041</v>
      </c>
      <c r="J12" s="420">
        <f t="shared" si="1"/>
        <v>0.42562549398004057</v>
      </c>
      <c r="K12" s="420">
        <f t="shared" si="2"/>
        <v>0.30883349339020882</v>
      </c>
    </row>
    <row r="13" spans="2:11" x14ac:dyDescent="0.25">
      <c r="B13" s="6"/>
      <c r="C13" s="341" t="s">
        <v>44</v>
      </c>
      <c r="D13" s="416">
        <v>1382.4</v>
      </c>
      <c r="E13" s="450">
        <v>1482.9781</v>
      </c>
      <c r="F13" s="450">
        <v>664.99959999999999</v>
      </c>
      <c r="G13" s="416">
        <v>852.59019999999987</v>
      </c>
      <c r="H13" s="451">
        <v>1417.7259999999999</v>
      </c>
      <c r="I13" s="420">
        <f t="shared" si="0"/>
        <v>0.66284576107020721</v>
      </c>
      <c r="J13" s="420">
        <f t="shared" si="1"/>
        <v>0.41745767526207267</v>
      </c>
      <c r="K13" s="420">
        <f t="shared" si="2"/>
        <v>0.29385022418256823</v>
      </c>
    </row>
    <row r="14" spans="2:11" x14ac:dyDescent="0.25">
      <c r="B14" s="6"/>
      <c r="C14" s="341" t="s">
        <v>45</v>
      </c>
      <c r="D14" s="416">
        <v>1385.5</v>
      </c>
      <c r="E14" s="450">
        <v>1490.0948000000001</v>
      </c>
      <c r="F14" s="450">
        <v>665.97180000000003</v>
      </c>
      <c r="G14" s="416">
        <v>855.38429999999983</v>
      </c>
      <c r="H14" s="451">
        <v>1420.8911061105453</v>
      </c>
      <c r="I14" s="420">
        <f t="shared" si="0"/>
        <v>0.66111431564800238</v>
      </c>
      <c r="J14" s="420">
        <f t="shared" si="1"/>
        <v>0.41548823470163021</v>
      </c>
      <c r="K14" s="420">
        <f t="shared" si="2"/>
        <v>0.29261494014913403</v>
      </c>
    </row>
    <row r="15" spans="2:11" x14ac:dyDescent="0.25">
      <c r="B15" s="6"/>
      <c r="C15" s="341" t="s">
        <v>46</v>
      </c>
      <c r="D15" s="416">
        <v>1390</v>
      </c>
      <c r="E15" s="450">
        <v>1493.0084000000002</v>
      </c>
      <c r="F15" s="450">
        <v>666.0127</v>
      </c>
      <c r="G15" s="416">
        <v>855.57669999999985</v>
      </c>
      <c r="H15" s="451">
        <v>1421.112749945218</v>
      </c>
      <c r="I15" s="420">
        <f t="shared" si="0"/>
        <v>0.66099982613507158</v>
      </c>
      <c r="J15" s="420">
        <f t="shared" si="1"/>
        <v>0.41423119523130247</v>
      </c>
      <c r="K15" s="420">
        <f t="shared" si="2"/>
        <v>0.2905720925939872</v>
      </c>
    </row>
    <row r="16" spans="2:11" x14ac:dyDescent="0.25">
      <c r="B16" s="6"/>
      <c r="C16" s="341" t="s">
        <v>55</v>
      </c>
      <c r="D16" s="416">
        <v>1390</v>
      </c>
      <c r="E16" s="450">
        <v>1493.0084000000002</v>
      </c>
      <c r="F16" s="450">
        <v>666.0127</v>
      </c>
      <c r="G16" s="416">
        <v>855.57669999999985</v>
      </c>
      <c r="H16" s="451">
        <v>1421.112749945218</v>
      </c>
      <c r="I16" s="420">
        <f t="shared" si="0"/>
        <v>0.66099982613507158</v>
      </c>
      <c r="J16" s="420">
        <f t="shared" si="1"/>
        <v>0.41423119523130247</v>
      </c>
      <c r="K16" s="420">
        <f t="shared" si="2"/>
        <v>0.2905720925939872</v>
      </c>
    </row>
    <row r="17" spans="2:11" x14ac:dyDescent="0.25">
      <c r="B17" s="6"/>
      <c r="C17" s="341" t="s">
        <v>56</v>
      </c>
      <c r="D17" s="416">
        <v>1390</v>
      </c>
      <c r="E17" s="450">
        <v>1493.0084000000002</v>
      </c>
      <c r="F17" s="450">
        <v>666.0127</v>
      </c>
      <c r="G17" s="416">
        <v>855.57669999999985</v>
      </c>
      <c r="H17" s="451">
        <v>1421.112749945218</v>
      </c>
      <c r="I17" s="420">
        <f t="shared" si="0"/>
        <v>0.66099982613507158</v>
      </c>
      <c r="J17" s="420">
        <f t="shared" si="1"/>
        <v>0.41423119523130247</v>
      </c>
      <c r="K17" s="420">
        <f t="shared" si="2"/>
        <v>0.2905720925939872</v>
      </c>
    </row>
    <row r="18" spans="2:11" x14ac:dyDescent="0.25">
      <c r="B18" s="6"/>
      <c r="C18" s="341" t="s">
        <v>57</v>
      </c>
      <c r="D18" s="416">
        <v>1390</v>
      </c>
      <c r="E18" s="450">
        <v>1493.0084000000002</v>
      </c>
      <c r="F18" s="450">
        <v>666.0127</v>
      </c>
      <c r="G18" s="416">
        <v>855.57669999999985</v>
      </c>
      <c r="H18" s="451">
        <v>1421.112749945218</v>
      </c>
      <c r="I18" s="420">
        <f t="shared" si="0"/>
        <v>0.66099982613507158</v>
      </c>
      <c r="J18" s="420">
        <f t="shared" si="1"/>
        <v>0.41423119523130247</v>
      </c>
      <c r="K18" s="420">
        <f t="shared" si="2"/>
        <v>0.2905720925939872</v>
      </c>
    </row>
    <row r="19" spans="2:11" ht="15.75" thickBot="1" x14ac:dyDescent="0.3">
      <c r="B19" s="6"/>
      <c r="C19" s="345" t="s">
        <v>58</v>
      </c>
      <c r="D19" s="421">
        <v>1390</v>
      </c>
      <c r="E19" s="457">
        <v>1493.0084000000002</v>
      </c>
      <c r="F19" s="457">
        <v>666.0127</v>
      </c>
      <c r="G19" s="421">
        <v>855.57669999999985</v>
      </c>
      <c r="H19" s="458">
        <v>1421.112749945218</v>
      </c>
      <c r="I19" s="423">
        <f t="shared" si="0"/>
        <v>0.66099982613507158</v>
      </c>
      <c r="J19" s="423">
        <f t="shared" si="1"/>
        <v>0.41423119523130247</v>
      </c>
      <c r="K19" s="423">
        <f t="shared" si="2"/>
        <v>0.2905720925939872</v>
      </c>
    </row>
    <row r="21" spans="2:11" ht="5.25" customHeight="1" x14ac:dyDescent="0.25"/>
    <row r="22" spans="2:11" ht="16.5" thickBot="1" x14ac:dyDescent="0.3">
      <c r="D22" s="493" t="s">
        <v>198</v>
      </c>
      <c r="E22" s="493"/>
      <c r="F22" s="493"/>
      <c r="G22" s="493"/>
      <c r="H22" s="493"/>
      <c r="I22" s="493"/>
      <c r="J22" s="493"/>
      <c r="K22" s="493"/>
    </row>
    <row r="23" spans="2:11" ht="28.5" customHeight="1" thickBot="1" x14ac:dyDescent="0.3">
      <c r="C23" s="401"/>
      <c r="D23" s="414" t="s">
        <v>233</v>
      </c>
      <c r="E23" s="414" t="s">
        <v>186</v>
      </c>
      <c r="F23" s="414" t="s">
        <v>187</v>
      </c>
      <c r="G23" s="414" t="s">
        <v>188</v>
      </c>
      <c r="H23" s="414" t="s">
        <v>189</v>
      </c>
      <c r="I23" s="415" t="s">
        <v>234</v>
      </c>
      <c r="J23" s="415" t="s">
        <v>235</v>
      </c>
      <c r="K23" s="415" t="s">
        <v>236</v>
      </c>
    </row>
    <row r="24" spans="2:11" x14ac:dyDescent="0.25">
      <c r="C24" s="336" t="s">
        <v>39</v>
      </c>
      <c r="D24" s="370">
        <v>18.399999999999999</v>
      </c>
      <c r="E24" s="452">
        <v>12.69769</v>
      </c>
      <c r="F24" s="452">
        <v>13.250510999999999</v>
      </c>
      <c r="G24" s="453">
        <v>14.465849000000002</v>
      </c>
      <c r="H24" s="419">
        <v>15.916</v>
      </c>
      <c r="I24" s="418">
        <f>IF(ISNUMBER(H24),H24/G24-1,"")</f>
        <v>0.10024651854170452</v>
      </c>
      <c r="J24" s="418">
        <f>IF(ISNUMBER(H24),H24/AVERAGE(E24:G24)-1,"")</f>
        <v>0.18147030550019116</v>
      </c>
      <c r="K24" s="418">
        <f>IF(ISNUMBER(H24),H24/AVERAGE(D24:G24)-1,"")</f>
        <v>8.2462438822016093E-2</v>
      </c>
    </row>
    <row r="25" spans="2:11" x14ac:dyDescent="0.25">
      <c r="C25" s="341" t="s">
        <v>40</v>
      </c>
      <c r="D25" s="372">
        <v>38.5</v>
      </c>
      <c r="E25" s="373">
        <v>31.644669999999998</v>
      </c>
      <c r="F25" s="373">
        <v>35.446866</v>
      </c>
      <c r="G25" s="374">
        <v>42.746533999999997</v>
      </c>
      <c r="H25" s="419">
        <v>39.492000000000004</v>
      </c>
      <c r="I25" s="420">
        <f t="shared" ref="I25:I35" si="3">IF(ISNUMBER(H25),H25/G25-1,"")</f>
        <v>-7.6135623065954117E-2</v>
      </c>
      <c r="J25" s="420">
        <f t="shared" ref="J25:J35" si="4">IF(ISNUMBER(H25),H25/AVERAGE(E25:G25)-1,"")</f>
        <v>7.8642405133302562E-2</v>
      </c>
      <c r="K25" s="420">
        <f t="shared" ref="K25:K35" si="5">IF(ISNUMBER(H25),H25/AVERAGE(D25:G25)-1,"")</f>
        <v>6.4918803379335088E-2</v>
      </c>
    </row>
    <row r="26" spans="2:11" x14ac:dyDescent="0.25">
      <c r="C26" s="341" t="s">
        <v>41</v>
      </c>
      <c r="D26" s="372">
        <v>59.4</v>
      </c>
      <c r="E26" s="373">
        <v>67.238910000000004</v>
      </c>
      <c r="F26" s="373">
        <v>70.860504999999989</v>
      </c>
      <c r="G26" s="374">
        <v>69.504065999999995</v>
      </c>
      <c r="H26" s="419">
        <v>70.084000000000003</v>
      </c>
      <c r="I26" s="420">
        <f t="shared" si="3"/>
        <v>8.3438859533773169E-3</v>
      </c>
      <c r="J26" s="420">
        <f t="shared" si="4"/>
        <v>1.2757584734333083E-2</v>
      </c>
      <c r="K26" s="420">
        <f t="shared" si="5"/>
        <v>4.9933877079303191E-2</v>
      </c>
    </row>
    <row r="27" spans="2:11" x14ac:dyDescent="0.25">
      <c r="C27" s="341" t="s">
        <v>42</v>
      </c>
      <c r="D27" s="372">
        <v>71.099999999999994</v>
      </c>
      <c r="E27" s="373">
        <v>80.076050000000009</v>
      </c>
      <c r="F27" s="373">
        <v>83.900545999999991</v>
      </c>
      <c r="G27" s="374">
        <v>87.718700999999996</v>
      </c>
      <c r="H27" s="419">
        <v>87.469000000000008</v>
      </c>
      <c r="I27" s="420">
        <f t="shared" si="3"/>
        <v>-2.8466107814340003E-3</v>
      </c>
      <c r="J27" s="420">
        <f t="shared" si="4"/>
        <v>4.2558216731399812E-2</v>
      </c>
      <c r="K27" s="420">
        <f t="shared" si="5"/>
        <v>8.3894354260062309E-2</v>
      </c>
    </row>
    <row r="28" spans="2:11" x14ac:dyDescent="0.25">
      <c r="C28" s="341" t="s">
        <v>43</v>
      </c>
      <c r="D28" s="372">
        <v>87.8</v>
      </c>
      <c r="E28" s="373">
        <v>97.495650000000012</v>
      </c>
      <c r="F28" s="373">
        <v>103.11714799999999</v>
      </c>
      <c r="G28" s="374">
        <v>108.23317299999999</v>
      </c>
      <c r="H28" s="419">
        <v>106.51100000000001</v>
      </c>
      <c r="I28" s="420">
        <f t="shared" si="3"/>
        <v>-1.5911692804201349E-2</v>
      </c>
      <c r="J28" s="420">
        <f t="shared" si="4"/>
        <v>3.4603103175984362E-2</v>
      </c>
      <c r="K28" s="420">
        <f t="shared" si="5"/>
        <v>7.4116545104147891E-2</v>
      </c>
    </row>
    <row r="29" spans="2:11" x14ac:dyDescent="0.25">
      <c r="C29" s="341" t="s">
        <v>44</v>
      </c>
      <c r="D29" s="372">
        <v>105.6</v>
      </c>
      <c r="E29" s="373">
        <v>109.53323000000002</v>
      </c>
      <c r="F29" s="373">
        <v>120.54656999999999</v>
      </c>
      <c r="G29" s="374">
        <v>129.64120399999999</v>
      </c>
      <c r="H29" s="419">
        <v>128.56300000000002</v>
      </c>
      <c r="I29" s="420">
        <f t="shared" si="3"/>
        <v>-8.3168311210684021E-3</v>
      </c>
      <c r="J29" s="420">
        <f t="shared" si="4"/>
        <v>7.2189268102899273E-2</v>
      </c>
      <c r="K29" s="420">
        <f t="shared" si="5"/>
        <v>0.10515535636555984</v>
      </c>
    </row>
    <row r="30" spans="2:11" x14ac:dyDescent="0.25">
      <c r="C30" s="341" t="s">
        <v>45</v>
      </c>
      <c r="D30" s="372">
        <v>121.1</v>
      </c>
      <c r="E30" s="373">
        <v>131.46510000000001</v>
      </c>
      <c r="F30" s="373">
        <v>130.87022399999998</v>
      </c>
      <c r="G30" s="374">
        <v>153.27210399999998</v>
      </c>
      <c r="H30" s="419">
        <v>145.19800000000001</v>
      </c>
      <c r="I30" s="420">
        <f t="shared" si="3"/>
        <v>-5.2678235564639797E-2</v>
      </c>
      <c r="J30" s="420">
        <f t="shared" si="4"/>
        <v>4.8090025955936477E-2</v>
      </c>
      <c r="K30" s="420">
        <f t="shared" si="5"/>
        <v>8.213892653634014E-2</v>
      </c>
    </row>
    <row r="31" spans="2:11" x14ac:dyDescent="0.25">
      <c r="C31" s="341" t="s">
        <v>46</v>
      </c>
      <c r="D31" s="372">
        <v>134.4</v>
      </c>
      <c r="E31" s="373">
        <v>151.89465000000001</v>
      </c>
      <c r="F31" s="373">
        <v>145.19921699999998</v>
      </c>
      <c r="G31" s="374">
        <v>173.59344099999998</v>
      </c>
      <c r="H31" s="419">
        <v>160.47499999999999</v>
      </c>
      <c r="I31" s="420">
        <f t="shared" si="3"/>
        <v>-7.5569911653516897E-2</v>
      </c>
      <c r="J31" s="420">
        <f t="shared" si="4"/>
        <v>2.2812792734151932E-2</v>
      </c>
      <c r="K31" s="420">
        <f t="shared" si="5"/>
        <v>6.0838645123258761E-2</v>
      </c>
    </row>
    <row r="32" spans="2:11" x14ac:dyDescent="0.25">
      <c r="C32" s="341" t="s">
        <v>55</v>
      </c>
      <c r="D32" s="372">
        <v>147.70000000000002</v>
      </c>
      <c r="E32" s="373">
        <v>168.36934000000002</v>
      </c>
      <c r="F32" s="373">
        <v>161.36776199999997</v>
      </c>
      <c r="G32" s="374">
        <v>190.94453799999999</v>
      </c>
      <c r="H32" s="419">
        <v>175.01599999999999</v>
      </c>
      <c r="I32" s="420">
        <f t="shared" si="3"/>
        <v>-8.3419710073089459E-2</v>
      </c>
      <c r="J32" s="420">
        <f t="shared" si="4"/>
        <v>8.3858535899210551E-3</v>
      </c>
      <c r="K32" s="420">
        <f t="shared" si="5"/>
        <v>4.7401601276779504E-2</v>
      </c>
    </row>
    <row r="33" spans="2:11" x14ac:dyDescent="0.25">
      <c r="C33" s="341" t="s">
        <v>56</v>
      </c>
      <c r="D33" s="372">
        <v>158.20000000000002</v>
      </c>
      <c r="E33" s="373">
        <v>181.02414000000002</v>
      </c>
      <c r="F33" s="373">
        <v>180.55576299999996</v>
      </c>
      <c r="G33" s="373">
        <v>212.62950899999998</v>
      </c>
      <c r="H33" s="419">
        <v>188.12599999999998</v>
      </c>
      <c r="I33" s="420">
        <f t="shared" si="3"/>
        <v>-0.11524039685385346</v>
      </c>
      <c r="J33" s="420">
        <f t="shared" si="4"/>
        <v>-1.7121648991709759E-2</v>
      </c>
      <c r="K33" s="420">
        <f t="shared" si="5"/>
        <v>2.7436277675797927E-2</v>
      </c>
    </row>
    <row r="34" spans="2:11" x14ac:dyDescent="0.25">
      <c r="C34" s="341" t="s">
        <v>57</v>
      </c>
      <c r="D34" s="372">
        <v>166.70000000000002</v>
      </c>
      <c r="E34" s="373">
        <v>201.27201000000002</v>
      </c>
      <c r="F34" s="373">
        <v>195.41719999999995</v>
      </c>
      <c r="G34" s="374">
        <v>228.02828499999998</v>
      </c>
      <c r="H34" s="419">
        <v>194.89099999999996</v>
      </c>
      <c r="I34" s="420">
        <f t="shared" si="3"/>
        <v>-0.14532094121569183</v>
      </c>
      <c r="J34" s="420">
        <f t="shared" si="4"/>
        <v>-6.4100165787737473E-2</v>
      </c>
      <c r="K34" s="420">
        <f t="shared" si="5"/>
        <v>-1.4977549870817786E-2</v>
      </c>
    </row>
    <row r="35" spans="2:11" ht="15.75" thickBot="1" x14ac:dyDescent="0.3">
      <c r="C35" s="345" t="s">
        <v>58</v>
      </c>
      <c r="D35" s="454">
        <v>182.9</v>
      </c>
      <c r="E35" s="455">
        <v>212.79342000000003</v>
      </c>
      <c r="F35" s="456">
        <v>215.16145199999994</v>
      </c>
      <c r="G35" s="455">
        <v>243.23502499999998</v>
      </c>
      <c r="H35" s="422">
        <v>206.05899999999997</v>
      </c>
      <c r="I35" s="423">
        <f t="shared" si="3"/>
        <v>-0.15283993331141354</v>
      </c>
      <c r="J35" s="423">
        <f t="shared" si="4"/>
        <v>-7.8983454961033317E-2</v>
      </c>
      <c r="K35" s="423">
        <f t="shared" si="5"/>
        <v>-3.4954045358529862E-2</v>
      </c>
    </row>
    <row r="37" spans="2:11" ht="5.25" customHeight="1" x14ac:dyDescent="0.25"/>
    <row r="38" spans="2:11" ht="16.5" thickBot="1" x14ac:dyDescent="0.3">
      <c r="D38" s="493" t="s">
        <v>199</v>
      </c>
      <c r="E38" s="493"/>
      <c r="F38" s="493"/>
      <c r="G38" s="493"/>
      <c r="H38" s="493"/>
      <c r="I38" s="493"/>
      <c r="J38" s="493"/>
      <c r="K38" s="493"/>
    </row>
    <row r="39" spans="2:11" ht="24.75" thickBot="1" x14ac:dyDescent="0.3">
      <c r="C39" s="401"/>
      <c r="D39" s="414" t="s">
        <v>233</v>
      </c>
      <c r="E39" s="414" t="s">
        <v>186</v>
      </c>
      <c r="F39" s="414" t="s">
        <v>187</v>
      </c>
      <c r="G39" s="414" t="s">
        <v>188</v>
      </c>
      <c r="H39" s="414" t="s">
        <v>189</v>
      </c>
      <c r="I39" s="415" t="s">
        <v>234</v>
      </c>
      <c r="J39" s="415" t="s">
        <v>235</v>
      </c>
      <c r="K39" s="415" t="s">
        <v>236</v>
      </c>
    </row>
    <row r="40" spans="2:11" x14ac:dyDescent="0.25">
      <c r="B40" s="6"/>
      <c r="C40" s="336" t="s">
        <v>39</v>
      </c>
      <c r="D40" s="402">
        <v>95.7</v>
      </c>
      <c r="E40" s="402">
        <v>83.497780000000006</v>
      </c>
      <c r="F40" s="402">
        <v>88.527711999999994</v>
      </c>
      <c r="G40" s="402">
        <v>55.755136</v>
      </c>
      <c r="H40" s="417">
        <v>60.277999999999999</v>
      </c>
      <c r="I40" s="418">
        <f>IF(ISNUMBER(H40),H40/G40-1,"")</f>
        <v>8.1120132143521317E-2</v>
      </c>
      <c r="J40" s="418">
        <f>IF(ISNUMBER(H40),H40/AVERAGE(E40:G40)-1,"")</f>
        <v>-0.20610456829542145</v>
      </c>
      <c r="K40" s="418">
        <f>IF(ISNUMBER(H40),H40/AVERAGE(D40:G40)-1,"")</f>
        <v>-0.25463233612864145</v>
      </c>
    </row>
    <row r="41" spans="2:11" x14ac:dyDescent="0.25">
      <c r="B41" s="6"/>
      <c r="C41" s="341" t="s">
        <v>40</v>
      </c>
      <c r="D41" s="404">
        <v>191.4</v>
      </c>
      <c r="E41" s="404">
        <v>166.90622999999999</v>
      </c>
      <c r="F41" s="404">
        <v>156.218311</v>
      </c>
      <c r="G41" s="404">
        <v>108.469735</v>
      </c>
      <c r="H41" s="419">
        <v>120.215</v>
      </c>
      <c r="I41" s="420">
        <f t="shared" ref="I41:I51" si="6">IF(ISNUMBER(H41),H41/G41-1,"")</f>
        <v>0.10828149437260093</v>
      </c>
      <c r="J41" s="420">
        <f t="shared" ref="J41:J51" si="7">IF(ISNUMBER(H41),H41/AVERAGE(E41:G41)-1,"")</f>
        <v>-0.1643888252123159</v>
      </c>
      <c r="K41" s="420">
        <f t="shared" ref="K41:K51" si="8">IF(ISNUMBER(H41),H41/AVERAGE(D41:G41)-1,"")</f>
        <v>-0.22814700146619005</v>
      </c>
    </row>
    <row r="42" spans="2:11" x14ac:dyDescent="0.25">
      <c r="B42" s="6"/>
      <c r="C42" s="341" t="s">
        <v>41</v>
      </c>
      <c r="D42" s="404">
        <v>274.89999999999998</v>
      </c>
      <c r="E42" s="404">
        <v>248.33305999999999</v>
      </c>
      <c r="F42" s="404">
        <v>219.787091</v>
      </c>
      <c r="G42" s="404">
        <v>168.29879800000001</v>
      </c>
      <c r="H42" s="419">
        <v>189.93799999999999</v>
      </c>
      <c r="I42" s="420">
        <f t="shared" si="6"/>
        <v>0.12857609357376387</v>
      </c>
      <c r="J42" s="420">
        <f t="shared" si="7"/>
        <v>-0.1046558231879422</v>
      </c>
      <c r="K42" s="420">
        <f t="shared" si="8"/>
        <v>-0.16631602927418132</v>
      </c>
    </row>
    <row r="43" spans="2:11" x14ac:dyDescent="0.25">
      <c r="B43" s="6"/>
      <c r="C43" s="341" t="s">
        <v>42</v>
      </c>
      <c r="D43" s="404">
        <v>357.4</v>
      </c>
      <c r="E43" s="404">
        <v>322.07898</v>
      </c>
      <c r="F43" s="404">
        <v>275.75828200000001</v>
      </c>
      <c r="G43" s="404">
        <v>237.84382199999999</v>
      </c>
      <c r="H43" s="419">
        <v>279.24199999999996</v>
      </c>
      <c r="I43" s="420">
        <f t="shared" si="6"/>
        <v>0.17405614176516204</v>
      </c>
      <c r="J43" s="420">
        <f t="shared" si="7"/>
        <v>2.4470052501510686E-3</v>
      </c>
      <c r="K43" s="420">
        <f t="shared" si="8"/>
        <v>-6.3795399173389389E-2</v>
      </c>
    </row>
    <row r="44" spans="2:11" x14ac:dyDescent="0.25">
      <c r="B44" s="6"/>
      <c r="C44" s="341" t="s">
        <v>43</v>
      </c>
      <c r="D44" s="404">
        <v>461.59999999999997</v>
      </c>
      <c r="E44" s="404">
        <v>410.40854999999999</v>
      </c>
      <c r="F44" s="404">
        <v>324.02162299999998</v>
      </c>
      <c r="G44" s="404">
        <v>302.839606</v>
      </c>
      <c r="H44" s="419">
        <v>369.86999999999995</v>
      </c>
      <c r="I44" s="420">
        <f t="shared" si="6"/>
        <v>0.22133958924778141</v>
      </c>
      <c r="J44" s="420">
        <f t="shared" si="7"/>
        <v>6.9740989725682434E-2</v>
      </c>
      <c r="K44" s="420">
        <f t="shared" si="8"/>
        <v>-1.2936266560085397E-2</v>
      </c>
    </row>
    <row r="45" spans="2:11" x14ac:dyDescent="0.25">
      <c r="B45" s="6"/>
      <c r="C45" s="341" t="s">
        <v>44</v>
      </c>
      <c r="D45" s="404">
        <v>568.4</v>
      </c>
      <c r="E45" s="404">
        <v>488.70652000000001</v>
      </c>
      <c r="F45" s="404">
        <v>388.217579</v>
      </c>
      <c r="G45" s="404">
        <v>363.45024599999999</v>
      </c>
      <c r="H45" s="419">
        <v>466.85099999999994</v>
      </c>
      <c r="I45" s="420">
        <f t="shared" si="6"/>
        <v>0.2844976861014421</v>
      </c>
      <c r="J45" s="420">
        <f t="shared" si="7"/>
        <v>0.1291373492572514</v>
      </c>
      <c r="K45" s="420">
        <f t="shared" si="8"/>
        <v>3.2414023983738049E-2</v>
      </c>
    </row>
    <row r="46" spans="2:11" x14ac:dyDescent="0.25">
      <c r="B46" s="6"/>
      <c r="C46" s="341" t="s">
        <v>45</v>
      </c>
      <c r="D46" s="404">
        <v>667.8</v>
      </c>
      <c r="E46" s="404">
        <v>596.03979000000004</v>
      </c>
      <c r="F46" s="404">
        <v>439.80747500000001</v>
      </c>
      <c r="G46" s="404">
        <v>437.85944000000001</v>
      </c>
      <c r="H46" s="419">
        <v>565.62899999999991</v>
      </c>
      <c r="I46" s="420">
        <f t="shared" si="6"/>
        <v>0.29180496827931779</v>
      </c>
      <c r="J46" s="420">
        <f t="shared" si="7"/>
        <v>0.15144145998847147</v>
      </c>
      <c r="K46" s="420">
        <f t="shared" si="8"/>
        <v>5.6506615046997721E-2</v>
      </c>
    </row>
    <row r="47" spans="2:11" x14ac:dyDescent="0.25">
      <c r="B47" s="6"/>
      <c r="C47" s="341" t="s">
        <v>46</v>
      </c>
      <c r="D47" s="404">
        <v>758.09999999999991</v>
      </c>
      <c r="E47" s="404">
        <v>713.85813000000007</v>
      </c>
      <c r="F47" s="404">
        <v>508.06014099999999</v>
      </c>
      <c r="G47" s="404">
        <v>510.14424500000001</v>
      </c>
      <c r="H47" s="419">
        <v>664.95299999999986</v>
      </c>
      <c r="I47" s="420">
        <f t="shared" si="6"/>
        <v>0.30346074961602243</v>
      </c>
      <c r="J47" s="420">
        <f t="shared" si="7"/>
        <v>0.15172459514157621</v>
      </c>
      <c r="K47" s="420">
        <f t="shared" si="8"/>
        <v>6.8127876357447992E-2</v>
      </c>
    </row>
    <row r="48" spans="2:11" x14ac:dyDescent="0.25">
      <c r="B48" s="6"/>
      <c r="C48" s="341" t="s">
        <v>55</v>
      </c>
      <c r="D48" s="404">
        <v>845.89999999999986</v>
      </c>
      <c r="E48" s="404">
        <v>817.30445000000009</v>
      </c>
      <c r="F48" s="404">
        <v>573.12506099999996</v>
      </c>
      <c r="G48" s="404">
        <v>576.72213699999998</v>
      </c>
      <c r="H48" s="419">
        <v>759.43599999999992</v>
      </c>
      <c r="I48" s="420">
        <f t="shared" si="6"/>
        <v>0.31681437433708215</v>
      </c>
      <c r="J48" s="420">
        <f t="shared" si="7"/>
        <v>0.15817608790677218</v>
      </c>
      <c r="K48" s="420">
        <f t="shared" si="8"/>
        <v>7.9874947251590722E-2</v>
      </c>
    </row>
    <row r="49" spans="2:11" x14ac:dyDescent="0.25">
      <c r="B49" s="6"/>
      <c r="C49" s="341" t="s">
        <v>56</v>
      </c>
      <c r="D49" s="404">
        <v>927.79999999999984</v>
      </c>
      <c r="E49" s="404">
        <v>907.73142000000007</v>
      </c>
      <c r="F49" s="404">
        <v>631.99860200000001</v>
      </c>
      <c r="G49" s="404">
        <v>636.18793499999992</v>
      </c>
      <c r="H49" s="419">
        <v>870.43299999999988</v>
      </c>
      <c r="I49" s="420">
        <f t="shared" si="6"/>
        <v>0.36820104895576167</v>
      </c>
      <c r="J49" s="420">
        <f t="shared" si="7"/>
        <v>0.2000907440463755</v>
      </c>
      <c r="K49" s="420">
        <f t="shared" si="8"/>
        <v>0.12179394140741495</v>
      </c>
    </row>
    <row r="50" spans="2:11" x14ac:dyDescent="0.25">
      <c r="B50" s="6"/>
      <c r="C50" s="341" t="s">
        <v>57</v>
      </c>
      <c r="D50" s="404">
        <v>993.79999999999984</v>
      </c>
      <c r="E50" s="404">
        <v>990.87665000000004</v>
      </c>
      <c r="F50" s="404">
        <v>680.12511100000006</v>
      </c>
      <c r="G50" s="404">
        <v>691.25826699999993</v>
      </c>
      <c r="H50" s="419">
        <v>946.48399999999992</v>
      </c>
      <c r="I50" s="420">
        <f t="shared" si="6"/>
        <v>0.3692190678711984</v>
      </c>
      <c r="J50" s="420">
        <f t="shared" si="7"/>
        <v>0.20200653879920782</v>
      </c>
      <c r="K50" s="420">
        <f t="shared" si="8"/>
        <v>0.12808947647345237</v>
      </c>
    </row>
    <row r="51" spans="2:11" ht="15.75" thickBot="1" x14ac:dyDescent="0.3">
      <c r="B51" s="6"/>
      <c r="C51" s="345" t="s">
        <v>58</v>
      </c>
      <c r="D51" s="405">
        <v>1097.5999999999999</v>
      </c>
      <c r="E51" s="405">
        <v>1080.2424900000001</v>
      </c>
      <c r="F51" s="405">
        <v>738.85136100000011</v>
      </c>
      <c r="G51" s="405">
        <v>760.32535099999996</v>
      </c>
      <c r="H51" s="422">
        <v>1041.5709999999999</v>
      </c>
      <c r="I51" s="423">
        <f t="shared" si="6"/>
        <v>0.36990171198434751</v>
      </c>
      <c r="J51" s="423">
        <f t="shared" si="7"/>
        <v>0.21140177508843694</v>
      </c>
      <c r="K51" s="423">
        <f t="shared" si="8"/>
        <v>0.13306016942578913</v>
      </c>
    </row>
    <row r="53" spans="2:11" ht="6" customHeight="1" x14ac:dyDescent="0.25"/>
    <row r="54" spans="2:11" ht="16.5" thickBot="1" x14ac:dyDescent="0.3">
      <c r="D54" s="493" t="s">
        <v>200</v>
      </c>
      <c r="E54" s="493"/>
      <c r="F54" s="493"/>
      <c r="G54" s="493"/>
      <c r="H54" s="493"/>
      <c r="I54" s="493"/>
      <c r="J54" s="493"/>
      <c r="K54" s="493"/>
    </row>
    <row r="55" spans="2:11" ht="35.450000000000003" customHeight="1" thickBot="1" x14ac:dyDescent="0.3">
      <c r="C55" s="401"/>
      <c r="D55" s="414" t="s">
        <v>233</v>
      </c>
      <c r="E55" s="414" t="s">
        <v>186</v>
      </c>
      <c r="F55" s="414" t="s">
        <v>187</v>
      </c>
      <c r="G55" s="414" t="s">
        <v>188</v>
      </c>
      <c r="H55" s="414" t="s">
        <v>189</v>
      </c>
      <c r="I55" s="415" t="s">
        <v>234</v>
      </c>
      <c r="J55" s="415" t="s">
        <v>235</v>
      </c>
      <c r="K55" s="415" t="s">
        <v>236</v>
      </c>
    </row>
    <row r="56" spans="2:11" x14ac:dyDescent="0.25">
      <c r="B56" s="6"/>
      <c r="C56" s="336" t="s">
        <v>39</v>
      </c>
      <c r="D56" s="416">
        <v>51.3</v>
      </c>
      <c r="E56" s="450">
        <v>39.580289999999991</v>
      </c>
      <c r="F56" s="450">
        <v>42.192538999999968</v>
      </c>
      <c r="G56" s="416">
        <v>25.320353000000004</v>
      </c>
      <c r="H56" s="416">
        <v>38.408901540294202</v>
      </c>
      <c r="I56" s="418">
        <f>IF(ISNUMBER(H56),H56/G56-1,"")</f>
        <v>0.51691809116145393</v>
      </c>
      <c r="J56" s="418">
        <f>IF(ISNUMBER(H56),H56/AVERAGE(E56:G56)-1,"")</f>
        <v>7.594808996227842E-2</v>
      </c>
      <c r="K56" s="418">
        <f>IF(ISNUMBER(H56),H56/AVERAGE(D56:G56)-1,"")</f>
        <v>-3.0036493861352986E-2</v>
      </c>
    </row>
    <row r="57" spans="2:11" x14ac:dyDescent="0.25">
      <c r="B57" s="6"/>
      <c r="C57" s="341" t="s">
        <v>40</v>
      </c>
      <c r="D57" s="416">
        <v>101.86049999999993</v>
      </c>
      <c r="E57" s="416">
        <v>87.318000000000097</v>
      </c>
      <c r="F57" s="416">
        <v>81.693125000000038</v>
      </c>
      <c r="G57" s="416">
        <v>72.222498999999985</v>
      </c>
      <c r="H57" s="416">
        <v>78.847648908303739</v>
      </c>
      <c r="I57" s="420">
        <f t="shared" ref="I57:I67" si="9">IF(ISNUMBER(H57),H57/G57-1,"")</f>
        <v>9.1732493337066012E-2</v>
      </c>
      <c r="J57" s="420">
        <f t="shared" ref="J57:J67" si="10">IF(ISNUMBER(H57),H57/AVERAGE(E57:G57)-1,"")</f>
        <v>-1.9444541757118072E-2</v>
      </c>
      <c r="K57" s="420">
        <f t="shared" ref="K57:K67" si="11">IF(ISNUMBER(H57),H57/AVERAGE(D57:G57)-1,"")</f>
        <v>-8.0746146403792962E-2</v>
      </c>
    </row>
    <row r="58" spans="2:11" x14ac:dyDescent="0.25">
      <c r="B58" s="6"/>
      <c r="C58" s="341" t="s">
        <v>41</v>
      </c>
      <c r="D58" s="416">
        <v>164.51182999999975</v>
      </c>
      <c r="E58" s="416">
        <v>139.05804999999998</v>
      </c>
      <c r="F58" s="416">
        <v>105.20743400000001</v>
      </c>
      <c r="G58" s="416">
        <v>109.24244799999988</v>
      </c>
      <c r="H58" s="416">
        <v>133.07268886535695</v>
      </c>
      <c r="I58" s="420">
        <f t="shared" si="9"/>
        <v>0.21814085368498048</v>
      </c>
      <c r="J58" s="420">
        <f t="shared" si="10"/>
        <v>0.12930441005230686</v>
      </c>
      <c r="K58" s="420">
        <f t="shared" si="11"/>
        <v>2.7549129412225426E-2</v>
      </c>
    </row>
    <row r="59" spans="2:11" x14ac:dyDescent="0.25">
      <c r="B59" s="6"/>
      <c r="C59" s="341" t="s">
        <v>42</v>
      </c>
      <c r="D59" s="416">
        <v>207.21962999999988</v>
      </c>
      <c r="E59" s="416">
        <v>193.13757999999996</v>
      </c>
      <c r="F59" s="416">
        <v>119.54563399999989</v>
      </c>
      <c r="G59" s="416">
        <v>147.94609900000006</v>
      </c>
      <c r="H59" s="416">
        <v>182.50297299371775</v>
      </c>
      <c r="I59" s="420">
        <f t="shared" si="9"/>
        <v>0.23357745981337219</v>
      </c>
      <c r="J59" s="420">
        <f t="shared" si="10"/>
        <v>0.18861067571953094</v>
      </c>
      <c r="K59" s="420">
        <f t="shared" si="11"/>
        <v>9.3079355184172652E-2</v>
      </c>
    </row>
    <row r="60" spans="2:11" x14ac:dyDescent="0.25">
      <c r="B60" s="6"/>
      <c r="C60" s="341" t="s">
        <v>43</v>
      </c>
      <c r="D60" s="416">
        <v>256.61563000000007</v>
      </c>
      <c r="E60" s="416">
        <v>237.43851999999981</v>
      </c>
      <c r="F60" s="416">
        <v>149.59660499999998</v>
      </c>
      <c r="G60" s="416">
        <v>179.09566700000016</v>
      </c>
      <c r="H60" s="416">
        <v>223.07188963530888</v>
      </c>
      <c r="I60" s="420">
        <f t="shared" si="9"/>
        <v>0.24554598875532085</v>
      </c>
      <c r="J60" s="420">
        <f t="shared" si="10"/>
        <v>0.18208668096245639</v>
      </c>
      <c r="K60" s="420">
        <f t="shared" si="11"/>
        <v>8.4523171030253863E-2</v>
      </c>
    </row>
    <row r="61" spans="2:11" x14ac:dyDescent="0.25">
      <c r="B61" s="6"/>
      <c r="C61" s="341" t="s">
        <v>44</v>
      </c>
      <c r="D61" s="416">
        <v>308.21439000000015</v>
      </c>
      <c r="E61" s="416">
        <v>308.10797999999966</v>
      </c>
      <c r="F61" s="416">
        <v>180.1204709999999</v>
      </c>
      <c r="G61" s="416">
        <v>208.57230800000002</v>
      </c>
      <c r="H61" s="451">
        <v>266.67840347522895</v>
      </c>
      <c r="I61" s="420">
        <f t="shared" si="9"/>
        <v>0.27858969406057943</v>
      </c>
      <c r="J61" s="420">
        <f t="shared" si="10"/>
        <v>0.14815490668213727</v>
      </c>
      <c r="K61" s="420">
        <f t="shared" si="11"/>
        <v>6.1390581985064197E-2</v>
      </c>
    </row>
    <row r="62" spans="2:11" x14ac:dyDescent="0.25">
      <c r="B62" s="6"/>
      <c r="C62" s="341" t="s">
        <v>45</v>
      </c>
      <c r="D62" s="416">
        <v>352.68646000000007</v>
      </c>
      <c r="E62" s="416">
        <v>364.31628999999941</v>
      </c>
      <c r="F62" s="416">
        <v>201.78308900000002</v>
      </c>
      <c r="G62" s="416">
        <v>242.35324400000007</v>
      </c>
      <c r="H62" s="451">
        <v>302.35136958577414</v>
      </c>
      <c r="I62" s="420">
        <f t="shared" si="9"/>
        <v>0.24756477196473603</v>
      </c>
      <c r="J62" s="420">
        <f t="shared" si="10"/>
        <v>0.12196322079014776</v>
      </c>
      <c r="K62" s="420">
        <f t="shared" si="11"/>
        <v>4.1568142912210559E-2</v>
      </c>
    </row>
    <row r="63" spans="2:11" x14ac:dyDescent="0.25">
      <c r="B63" s="6"/>
      <c r="C63" s="341" t="s">
        <v>46</v>
      </c>
      <c r="D63" s="416">
        <v>400.47032999999993</v>
      </c>
      <c r="E63" s="416">
        <v>405.23771999999951</v>
      </c>
      <c r="F63" s="416">
        <v>226.09082599999999</v>
      </c>
      <c r="G63" s="416">
        <v>275.97413599999999</v>
      </c>
      <c r="H63" s="451">
        <v>339.23713342044687</v>
      </c>
      <c r="I63" s="420">
        <f t="shared" si="9"/>
        <v>0.22923524043733901</v>
      </c>
      <c r="J63" s="420">
        <f t="shared" si="10"/>
        <v>0.12168895832861781</v>
      </c>
      <c r="K63" s="420">
        <f t="shared" si="11"/>
        <v>3.7602490057952132E-2</v>
      </c>
    </row>
    <row r="64" spans="2:11" x14ac:dyDescent="0.25">
      <c r="B64" s="6"/>
      <c r="C64" s="341" t="s">
        <v>55</v>
      </c>
      <c r="D64" s="416">
        <v>433.5796299999999</v>
      </c>
      <c r="E64" s="416">
        <v>458.65272999999968</v>
      </c>
      <c r="F64" s="416">
        <v>252.31127100000006</v>
      </c>
      <c r="G64" s="416">
        <v>302.80638099999993</v>
      </c>
      <c r="H64" s="451">
        <v>377.19269342044697</v>
      </c>
      <c r="I64" s="420">
        <f t="shared" si="9"/>
        <v>0.24565635695915877</v>
      </c>
      <c r="J64" s="420">
        <f t="shared" si="10"/>
        <v>0.11620747691299305</v>
      </c>
      <c r="K64" s="420">
        <f t="shared" si="11"/>
        <v>4.2436702368154222E-2</v>
      </c>
    </row>
    <row r="65" spans="2:11" x14ac:dyDescent="0.25">
      <c r="B65" s="6"/>
      <c r="C65" s="341" t="s">
        <v>56</v>
      </c>
      <c r="D65" s="416">
        <v>471.13422999999995</v>
      </c>
      <c r="E65" s="450">
        <v>492.20741999999962</v>
      </c>
      <c r="F65" s="450">
        <v>285.73640099999994</v>
      </c>
      <c r="G65" s="416">
        <v>337.66899399999994</v>
      </c>
      <c r="H65" s="451">
        <v>414.92887342044691</v>
      </c>
      <c r="I65" s="420">
        <f t="shared" si="9"/>
        <v>0.22880359403222839</v>
      </c>
      <c r="J65" s="420">
        <f t="shared" si="10"/>
        <v>0.11578730857563801</v>
      </c>
      <c r="K65" s="420">
        <f t="shared" si="11"/>
        <v>4.5986188480211299E-2</v>
      </c>
    </row>
    <row r="66" spans="2:11" x14ac:dyDescent="0.25">
      <c r="B66" s="6"/>
      <c r="C66" s="341" t="s">
        <v>57</v>
      </c>
      <c r="D66" s="416">
        <v>508.21553</v>
      </c>
      <c r="E66" s="416">
        <v>546.06815999999969</v>
      </c>
      <c r="F66" s="416">
        <v>314.75939899999997</v>
      </c>
      <c r="G66" s="416">
        <v>368.54203799999993</v>
      </c>
      <c r="H66" s="451">
        <v>450.44153342044689</v>
      </c>
      <c r="I66" s="420">
        <f t="shared" si="9"/>
        <v>0.22222565399838312</v>
      </c>
      <c r="J66" s="420">
        <f t="shared" si="10"/>
        <v>9.920125205548036E-2</v>
      </c>
      <c r="K66" s="420">
        <f t="shared" si="11"/>
        <v>3.6936899196759576E-2</v>
      </c>
    </row>
    <row r="67" spans="2:11" ht="15.75" thickBot="1" x14ac:dyDescent="0.3">
      <c r="B67" s="6"/>
      <c r="C67" s="345" t="s">
        <v>58</v>
      </c>
      <c r="D67" s="416">
        <v>542.85245999999995</v>
      </c>
      <c r="E67" s="450">
        <v>594.57561999999962</v>
      </c>
      <c r="F67" s="416">
        <v>348.68927100000002</v>
      </c>
      <c r="G67" s="416">
        <v>399.85747399999997</v>
      </c>
      <c r="H67" s="451">
        <v>482.77903342044692</v>
      </c>
      <c r="I67" s="423">
        <f t="shared" si="9"/>
        <v>0.20737779036849258</v>
      </c>
      <c r="J67" s="423">
        <f t="shared" si="10"/>
        <v>7.8335926794980804E-2</v>
      </c>
      <c r="K67" s="423">
        <f t="shared" si="11"/>
        <v>2.3935265775240744E-2</v>
      </c>
    </row>
    <row r="69" spans="2:11" ht="6" customHeight="1" x14ac:dyDescent="0.25"/>
    <row r="70" spans="2:11" ht="16.5" thickBot="1" x14ac:dyDescent="0.3">
      <c r="D70" s="493" t="s">
        <v>201</v>
      </c>
      <c r="E70" s="493"/>
      <c r="F70" s="493"/>
      <c r="G70" s="493"/>
      <c r="H70" s="493"/>
      <c r="I70" s="493"/>
      <c r="J70" s="493"/>
      <c r="K70" s="493"/>
    </row>
    <row r="71" spans="2:11" ht="24.75" thickBot="1" x14ac:dyDescent="0.3">
      <c r="C71" s="401"/>
      <c r="D71" s="414" t="s">
        <v>233</v>
      </c>
      <c r="E71" s="414" t="s">
        <v>186</v>
      </c>
      <c r="F71" s="414" t="s">
        <v>187</v>
      </c>
      <c r="G71" s="414" t="s">
        <v>188</v>
      </c>
      <c r="H71" s="414" t="s">
        <v>189</v>
      </c>
      <c r="I71" s="415" t="s">
        <v>234</v>
      </c>
      <c r="J71" s="415" t="s">
        <v>235</v>
      </c>
      <c r="K71" s="415" t="s">
        <v>236</v>
      </c>
    </row>
    <row r="72" spans="2:11" x14ac:dyDescent="0.25">
      <c r="B72" s="6"/>
      <c r="C72" s="336" t="s">
        <v>39</v>
      </c>
      <c r="D72" s="402">
        <v>147</v>
      </c>
      <c r="E72" s="403">
        <v>123.07807</v>
      </c>
      <c r="F72" s="403">
        <v>130.72025099999996</v>
      </c>
      <c r="G72" s="416">
        <v>81.075489000000005</v>
      </c>
      <c r="H72" s="417">
        <v>98.686901540294201</v>
      </c>
      <c r="I72" s="418">
        <f>IF(ISNUMBER(H72),H72/G72-1,"")</f>
        <v>0.21722240294220363</v>
      </c>
      <c r="J72" s="418">
        <f>IF(ISNUMBER(H72),H72/AVERAGE(E72:G72)-1,"")</f>
        <v>-0.11590367541468038</v>
      </c>
      <c r="K72" s="418">
        <f>IF(ISNUMBER(H72),H72/AVERAGE(D72:G72)-1,"")</f>
        <v>-0.18080709519951543</v>
      </c>
    </row>
    <row r="73" spans="2:11" x14ac:dyDescent="0.25">
      <c r="B73" s="6"/>
      <c r="C73" s="341" t="s">
        <v>40</v>
      </c>
      <c r="D73" s="404">
        <v>293.26049999999992</v>
      </c>
      <c r="E73" s="404">
        <v>254.22423000000012</v>
      </c>
      <c r="F73" s="404">
        <v>237.91143600000004</v>
      </c>
      <c r="G73" s="413">
        <v>180.69223399999998</v>
      </c>
      <c r="H73" s="419">
        <v>199.06264890830374</v>
      </c>
      <c r="I73" s="420">
        <f t="shared" ref="I73:I83" si="12">IF(ISNUMBER(H73),H73/G73-1,"")</f>
        <v>0.10166687577897648</v>
      </c>
      <c r="J73" s="420">
        <f t="shared" ref="J73:J83" si="13">IF(ISNUMBER(H73),H73/AVERAGE(E73:G73)-1,"")</f>
        <v>-0.11242095233430249</v>
      </c>
      <c r="K73" s="420">
        <f t="shared" ref="K73:K83" si="14">IF(ISNUMBER(H73),H73/AVERAGE(D73:G73)-1,"")</f>
        <v>-0.17579944481973386</v>
      </c>
    </row>
    <row r="74" spans="2:11" x14ac:dyDescent="0.25">
      <c r="B74" s="6"/>
      <c r="C74" s="341" t="s">
        <v>41</v>
      </c>
      <c r="D74" s="404">
        <v>439.41182999999972</v>
      </c>
      <c r="E74" s="404">
        <v>387.39111000000003</v>
      </c>
      <c r="F74" s="404">
        <v>324.99452500000001</v>
      </c>
      <c r="G74" s="413">
        <v>277.54124599999989</v>
      </c>
      <c r="H74" s="419">
        <v>323.01068886535694</v>
      </c>
      <c r="I74" s="420">
        <f t="shared" si="12"/>
        <v>0.16382949749154418</v>
      </c>
      <c r="J74" s="420">
        <f t="shared" si="13"/>
        <v>-2.1107432079045751E-2</v>
      </c>
      <c r="K74" s="420">
        <f t="shared" si="14"/>
        <v>-9.6055577647173984E-2</v>
      </c>
    </row>
    <row r="75" spans="2:11" x14ac:dyDescent="0.25">
      <c r="B75" s="6"/>
      <c r="C75" s="341" t="s">
        <v>42</v>
      </c>
      <c r="D75" s="404">
        <v>564.61962999999992</v>
      </c>
      <c r="E75" s="404">
        <v>515.21655999999996</v>
      </c>
      <c r="F75" s="404">
        <v>395.3039159999999</v>
      </c>
      <c r="G75" s="413">
        <v>385.78992100000005</v>
      </c>
      <c r="H75" s="419">
        <v>461.74497299371774</v>
      </c>
      <c r="I75" s="420">
        <f t="shared" si="12"/>
        <v>0.19688189830578207</v>
      </c>
      <c r="J75" s="420">
        <f t="shared" si="13"/>
        <v>6.8598170767547595E-2</v>
      </c>
      <c r="K75" s="420">
        <f t="shared" si="14"/>
        <v>-7.4963243231761512E-3</v>
      </c>
    </row>
    <row r="76" spans="2:11" x14ac:dyDescent="0.25">
      <c r="B76" s="6"/>
      <c r="C76" s="341" t="s">
        <v>43</v>
      </c>
      <c r="D76" s="404">
        <v>718.21563000000015</v>
      </c>
      <c r="E76" s="404">
        <v>647.8470699999998</v>
      </c>
      <c r="F76" s="404">
        <v>473.61822799999999</v>
      </c>
      <c r="G76" s="413">
        <v>481.93527300000017</v>
      </c>
      <c r="H76" s="419">
        <v>592.94188963530883</v>
      </c>
      <c r="I76" s="420">
        <f t="shared" si="12"/>
        <v>0.23033511522056327</v>
      </c>
      <c r="J76" s="420">
        <f t="shared" si="13"/>
        <v>0.10940815481718236</v>
      </c>
      <c r="K76" s="420">
        <f t="shared" si="14"/>
        <v>2.1601915734234201E-2</v>
      </c>
    </row>
    <row r="77" spans="2:11" x14ac:dyDescent="0.25">
      <c r="B77" s="6"/>
      <c r="C77" s="341" t="s">
        <v>44</v>
      </c>
      <c r="D77" s="404">
        <v>876.61439000000018</v>
      </c>
      <c r="E77" s="404">
        <v>796.81449999999973</v>
      </c>
      <c r="F77" s="404">
        <v>568.33804999999984</v>
      </c>
      <c r="G77" s="413">
        <v>572.02255400000001</v>
      </c>
      <c r="H77" s="419">
        <v>733.52940347522883</v>
      </c>
      <c r="I77" s="420">
        <f t="shared" si="12"/>
        <v>0.28234349912578582</v>
      </c>
      <c r="J77" s="420">
        <f t="shared" si="13"/>
        <v>0.13597795360975651</v>
      </c>
      <c r="K77" s="420">
        <f t="shared" si="14"/>
        <v>4.276372491883218E-2</v>
      </c>
    </row>
    <row r="78" spans="2:11" x14ac:dyDescent="0.25">
      <c r="B78" s="6"/>
      <c r="C78" s="341" t="s">
        <v>45</v>
      </c>
      <c r="D78" s="404">
        <v>1020.4864600000001</v>
      </c>
      <c r="E78" s="404">
        <v>960.35607999999945</v>
      </c>
      <c r="F78" s="404">
        <v>641.59056399999997</v>
      </c>
      <c r="G78" s="413">
        <v>680.21268400000008</v>
      </c>
      <c r="H78" s="419">
        <v>867.98036958577404</v>
      </c>
      <c r="I78" s="420">
        <f t="shared" si="12"/>
        <v>0.27604261138090447</v>
      </c>
      <c r="J78" s="420">
        <f t="shared" si="13"/>
        <v>0.14099882370584527</v>
      </c>
      <c r="K78" s="420">
        <f t="shared" si="14"/>
        <v>5.1254570186773041E-2</v>
      </c>
    </row>
    <row r="79" spans="2:11" x14ac:dyDescent="0.25">
      <c r="B79" s="6"/>
      <c r="C79" s="341" t="s">
        <v>46</v>
      </c>
      <c r="D79" s="404">
        <v>1158.57033</v>
      </c>
      <c r="E79" s="404">
        <v>1119.0958499999995</v>
      </c>
      <c r="F79" s="404">
        <v>734.15096699999992</v>
      </c>
      <c r="G79" s="413">
        <v>786.118381</v>
      </c>
      <c r="H79" s="419">
        <v>1004.1901334204467</v>
      </c>
      <c r="I79" s="420">
        <f t="shared" si="12"/>
        <v>0.2774031973950839</v>
      </c>
      <c r="J79" s="420">
        <f t="shared" si="13"/>
        <v>0.14139960720257294</v>
      </c>
      <c r="K79" s="420">
        <f t="shared" si="14"/>
        <v>5.7616830003699882E-2</v>
      </c>
    </row>
    <row r="80" spans="2:11" x14ac:dyDescent="0.25">
      <c r="B80" s="6"/>
      <c r="C80" s="341" t="s">
        <v>55</v>
      </c>
      <c r="D80" s="404">
        <v>1279.47963</v>
      </c>
      <c r="E80" s="404">
        <v>1275.9571799999997</v>
      </c>
      <c r="F80" s="404">
        <v>825.43633199999999</v>
      </c>
      <c r="G80" s="413">
        <v>879.52851799999996</v>
      </c>
      <c r="H80" s="419">
        <v>1136.6286934204468</v>
      </c>
      <c r="I80" s="420">
        <f t="shared" si="12"/>
        <v>0.29231590580494049</v>
      </c>
      <c r="J80" s="420">
        <f t="shared" si="13"/>
        <v>0.14390314337116039</v>
      </c>
      <c r="K80" s="420">
        <f t="shared" si="14"/>
        <v>6.7156370810771859E-2</v>
      </c>
    </row>
    <row r="81" spans="2:11" x14ac:dyDescent="0.25">
      <c r="B81" s="6"/>
      <c r="C81" s="341" t="s">
        <v>56</v>
      </c>
      <c r="D81" s="404">
        <v>1398.9342300000001</v>
      </c>
      <c r="E81" s="404">
        <v>1399.9388399999996</v>
      </c>
      <c r="F81" s="404">
        <v>917.73500299999989</v>
      </c>
      <c r="G81" s="413">
        <v>973.85692900000004</v>
      </c>
      <c r="H81" s="419">
        <v>1285.3618734204467</v>
      </c>
      <c r="I81" s="420">
        <f t="shared" si="12"/>
        <v>0.31986725682622996</v>
      </c>
      <c r="J81" s="420">
        <f t="shared" si="13"/>
        <v>0.17151741465212123</v>
      </c>
      <c r="K81" s="420">
        <f t="shared" si="14"/>
        <v>9.6148780875561446E-2</v>
      </c>
    </row>
    <row r="82" spans="2:11" x14ac:dyDescent="0.25">
      <c r="B82" s="6"/>
      <c r="C82" s="341" t="s">
        <v>57</v>
      </c>
      <c r="D82" s="404">
        <v>1502.0155300000001</v>
      </c>
      <c r="E82" s="404">
        <v>1536.9448099999997</v>
      </c>
      <c r="F82" s="404">
        <v>994.88450999999986</v>
      </c>
      <c r="G82" s="413">
        <v>1059.800305</v>
      </c>
      <c r="H82" s="419">
        <v>1396.9255334204468</v>
      </c>
      <c r="I82" s="420">
        <f t="shared" si="12"/>
        <v>0.31810259614941971</v>
      </c>
      <c r="J82" s="420">
        <f t="shared" si="13"/>
        <v>0.16681758360909527</v>
      </c>
      <c r="K82" s="420">
        <f t="shared" si="14"/>
        <v>9.699477754095498E-2</v>
      </c>
    </row>
    <row r="83" spans="2:11" ht="15.75" thickBot="1" x14ac:dyDescent="0.3">
      <c r="B83" s="6"/>
      <c r="C83" s="345" t="s">
        <v>58</v>
      </c>
      <c r="D83" s="405">
        <v>1640.45246</v>
      </c>
      <c r="E83" s="405">
        <v>1674.8181099999997</v>
      </c>
      <c r="F83" s="405">
        <v>1087.540632</v>
      </c>
      <c r="G83" s="421">
        <v>1160.1828250000001</v>
      </c>
      <c r="H83" s="422">
        <v>1524.3500334204468</v>
      </c>
      <c r="I83" s="423">
        <f t="shared" si="12"/>
        <v>0.31388777748924768</v>
      </c>
      <c r="J83" s="423">
        <f t="shared" si="13"/>
        <v>0.1658385315107973</v>
      </c>
      <c r="K83" s="423">
        <f t="shared" si="14"/>
        <v>9.606447608752533E-2</v>
      </c>
    </row>
    <row r="84" spans="2:11" ht="15.75" x14ac:dyDescent="0.25">
      <c r="C84" s="488" t="s">
        <v>121</v>
      </c>
      <c r="D84" s="488"/>
      <c r="E84" s="488"/>
      <c r="F84" s="488"/>
      <c r="G84" s="488"/>
      <c r="H84" s="488"/>
      <c r="I84" s="488"/>
      <c r="J84" s="488"/>
      <c r="K84" s="488"/>
    </row>
  </sheetData>
  <mergeCells count="7">
    <mergeCell ref="C84:K84"/>
    <mergeCell ref="E2:I4"/>
    <mergeCell ref="D6:K6"/>
    <mergeCell ref="D22:K22"/>
    <mergeCell ref="D38:K38"/>
    <mergeCell ref="D54:K54"/>
    <mergeCell ref="D70:K70"/>
  </mergeCells>
  <conditionalFormatting sqref="I8:K19">
    <cfRule type="cellIs" dxfId="5" priority="1" operator="lessThan">
      <formula>0</formula>
    </cfRule>
  </conditionalFormatting>
  <conditionalFormatting sqref="I24:K35">
    <cfRule type="cellIs" dxfId="4" priority="2" operator="lessThan">
      <formula>0</formula>
    </cfRule>
  </conditionalFormatting>
  <conditionalFormatting sqref="I40:K51">
    <cfRule type="cellIs" dxfId="3" priority="3" operator="lessThan">
      <formula>0</formula>
    </cfRule>
  </conditionalFormatting>
  <conditionalFormatting sqref="I56:K67">
    <cfRule type="cellIs" dxfId="2" priority="4" operator="lessThan">
      <formula>0</formula>
    </cfRule>
  </conditionalFormatting>
  <conditionalFormatting sqref="I72:K83">
    <cfRule type="cellIs" dxfId="1" priority="5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&amp;L&amp;G&amp;RCAMPAÑA: 2024/2025. MES: SEPTIEMBRE
Fecha de emisión de datos: 07/05/2026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4A70-4CC7-4A11-8E48-6EC30E0039BB}">
  <dimension ref="B2:N78"/>
  <sheetViews>
    <sheetView view="pageLayout" topLeftCell="A5" zoomScale="70" zoomScaleNormal="100" zoomScaleSheetLayoutView="50" zoomScalePageLayoutView="70" workbookViewId="0">
      <selection activeCell="K22" sqref="K22"/>
    </sheetView>
  </sheetViews>
  <sheetFormatPr baseColWidth="10" defaultColWidth="11.42578125" defaultRowHeight="15" x14ac:dyDescent="0.25"/>
  <cols>
    <col min="6" max="6" width="14.5703125" customWidth="1"/>
    <col min="7" max="7" width="7.28515625" customWidth="1"/>
    <col min="8" max="8" width="10" customWidth="1"/>
    <col min="9" max="9" width="12.28515625" bestFit="1" customWidth="1"/>
  </cols>
  <sheetData>
    <row r="2" spans="2:14" ht="15" customHeight="1" x14ac:dyDescent="0.25">
      <c r="B2" s="482" t="s">
        <v>202</v>
      </c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</row>
    <row r="3" spans="2:14" ht="21.75" customHeight="1" x14ac:dyDescent="0.25"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</row>
    <row r="4" spans="2:14" ht="21.75" customHeight="1" x14ac:dyDescent="0.25"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</row>
    <row r="5" spans="2:14" ht="21.75" customHeight="1" x14ac:dyDescent="0.25">
      <c r="F5" s="310"/>
      <c r="G5" s="310"/>
      <c r="H5" s="310"/>
      <c r="I5" s="310"/>
      <c r="J5" s="310"/>
    </row>
    <row r="6" spans="2:14" ht="21.75" customHeight="1" x14ac:dyDescent="0.25">
      <c r="B6" s="494" t="s">
        <v>71</v>
      </c>
      <c r="C6" s="494"/>
      <c r="D6" s="494"/>
      <c r="E6" s="494"/>
      <c r="F6" s="494"/>
      <c r="G6" s="494"/>
      <c r="H6" s="310"/>
      <c r="I6" s="494" t="s">
        <v>169</v>
      </c>
      <c r="J6" s="494"/>
      <c r="K6" s="494"/>
      <c r="L6" s="494"/>
      <c r="M6" s="494"/>
      <c r="N6" s="494"/>
    </row>
    <row r="7" spans="2:14" x14ac:dyDescent="0.25">
      <c r="B7" s="425" t="s">
        <v>203</v>
      </c>
      <c r="C7" s="425"/>
      <c r="D7" s="369"/>
      <c r="E7" s="425"/>
      <c r="F7" s="425"/>
      <c r="G7" s="425"/>
      <c r="I7" s="495" t="s">
        <v>204</v>
      </c>
      <c r="J7" s="495"/>
      <c r="K7" s="495"/>
      <c r="L7" s="495"/>
      <c r="M7" s="495"/>
      <c r="N7" s="495"/>
    </row>
    <row r="8" spans="2:14" x14ac:dyDescent="0.25">
      <c r="B8" s="426"/>
      <c r="C8" s="426" t="s">
        <v>205</v>
      </c>
      <c r="D8" s="426" t="str">
        <f>+'04_CUADROS ACUMULADOS'!$H$7</f>
        <v>2024/25</v>
      </c>
      <c r="E8" s="426" t="s">
        <v>206</v>
      </c>
      <c r="F8" s="426"/>
      <c r="G8" s="426"/>
      <c r="I8" s="369"/>
      <c r="J8" s="426" t="s">
        <v>205</v>
      </c>
      <c r="K8" s="426" t="str">
        <f>+'04_CUADROS ACUMULADOS'!$H$7</f>
        <v>2024/25</v>
      </c>
      <c r="L8" s="426" t="s">
        <v>206</v>
      </c>
      <c r="M8" s="426"/>
      <c r="N8" s="369"/>
    </row>
    <row r="9" spans="2:14" x14ac:dyDescent="0.25">
      <c r="B9" s="426"/>
      <c r="C9" s="426" t="s">
        <v>207</v>
      </c>
      <c r="D9" s="426">
        <f>+IF('02_CUADRYGRÁF.COMP.ÚLT.5 CAMP.'!G8&lt;&gt;0,'02_CUADRYGRÁF.COMP.ÚLT.5 CAMP.'!G8,NA())</f>
        <v>36.869638065065338</v>
      </c>
      <c r="E9" s="426">
        <f>+AVERAGE('02_CUADRYGRÁF.COMP.ÚLT.5 CAMP.'!C8:F8)</f>
        <v>39.746699999999997</v>
      </c>
      <c r="F9" s="426"/>
      <c r="G9" s="426"/>
      <c r="I9" s="369"/>
      <c r="J9" s="426" t="s">
        <v>207</v>
      </c>
      <c r="K9" s="427">
        <f>+IF('02_CUADRYGRÁF.COMP.ÚLT.5 CAMP.'!G25&lt;&gt;0,'02_CUADRYGRÁF.COMP.ÚLT.5 CAMP.'!G25,NA())</f>
        <v>15.916</v>
      </c>
      <c r="L9" s="427">
        <f>+AVERAGE('02_CUADRYGRÁF.COMP.ÚLT.5 CAMP.'!C25:F25)</f>
        <v>14.703512500000002</v>
      </c>
      <c r="M9" s="426"/>
      <c r="N9" s="369"/>
    </row>
    <row r="10" spans="2:14" x14ac:dyDescent="0.25">
      <c r="B10" s="426"/>
      <c r="C10" s="426" t="s">
        <v>208</v>
      </c>
      <c r="D10" s="426">
        <f>+IF('02_CUADRYGRÁF.COMP.ÚLT.5 CAMP.'!G9&lt;&gt;0,'02_CUADRYGRÁF.COMP.ÚLT.5 CAMP.'!G9,NA())</f>
        <v>266.67028736800955</v>
      </c>
      <c r="E10" s="426">
        <f>+AVERAGE('02_CUADRYGRÁF.COMP.ÚLT.5 CAMP.'!C9:F9)</f>
        <v>232.97542499999997</v>
      </c>
      <c r="F10" s="426"/>
      <c r="G10" s="426"/>
      <c r="I10" s="369"/>
      <c r="J10" s="426" t="s">
        <v>208</v>
      </c>
      <c r="K10" s="427">
        <f>+IF('02_CUADRYGRÁF.COMP.ÚLT.5 CAMP.'!G26&lt;&gt;0,'02_CUADRYGRÁF.COMP.ÚLT.5 CAMP.'!G26,NA())</f>
        <v>23.576000000000001</v>
      </c>
      <c r="L10" s="427">
        <f>+AVERAGE('02_CUADRYGRÁF.COMP.ÚLT.5 CAMP.'!C26:F26)</f>
        <v>22.381005000000002</v>
      </c>
      <c r="M10" s="426"/>
      <c r="N10" s="369"/>
    </row>
    <row r="11" spans="2:14" x14ac:dyDescent="0.25">
      <c r="B11" s="426"/>
      <c r="C11" s="426" t="s">
        <v>209</v>
      </c>
      <c r="D11" s="426">
        <f>+IF('02_CUADRYGRÁF.COMP.ÚLT.5 CAMP.'!G10&lt;&gt;0,'02_CUADRYGRÁF.COMP.ÚLT.5 CAMP.'!G10,NA())</f>
        <v>596.43099995705325</v>
      </c>
      <c r="E11" s="426">
        <f>+AVERAGE('02_CUADRYGRÁF.COMP.ÚLT.5 CAMP.'!C10:F10)</f>
        <v>396.338525</v>
      </c>
      <c r="F11" s="426"/>
      <c r="G11" s="426"/>
      <c r="I11" s="369"/>
      <c r="J11" s="426" t="s">
        <v>209</v>
      </c>
      <c r="K11" s="427">
        <f>+IF('02_CUADRYGRÁF.COMP.ÚLT.5 CAMP.'!G27&lt;&gt;0,'02_CUADRYGRÁF.COMP.ÚLT.5 CAMP.'!G27,NA())</f>
        <v>30.591999999999999</v>
      </c>
      <c r="L11" s="427">
        <f>+AVERAGE('02_CUADRYGRÁF.COMP.ÚLT.5 CAMP.'!C27:F27)</f>
        <v>29.666352749999998</v>
      </c>
      <c r="M11" s="426"/>
      <c r="N11" s="369"/>
    </row>
    <row r="12" spans="2:14" x14ac:dyDescent="0.25">
      <c r="B12" s="426"/>
      <c r="C12" s="426" t="s">
        <v>210</v>
      </c>
      <c r="D12" s="426">
        <f>+IF('02_CUADRYGRÁF.COMP.ÚLT.5 CAMP.'!G11&lt;&gt;0,'02_CUADRYGRÁF.COMP.ÚLT.5 CAMP.'!G11,NA())</f>
        <v>351.48090412836069</v>
      </c>
      <c r="E12" s="426">
        <f>+AVERAGE('02_CUADRYGRÁF.COMP.ÚLT.5 CAMP.'!C11:F11)</f>
        <v>298.45667500000002</v>
      </c>
      <c r="F12" s="426"/>
      <c r="G12" s="426"/>
      <c r="I12" s="369"/>
      <c r="J12" s="426" t="s">
        <v>210</v>
      </c>
      <c r="K12" s="427">
        <f>+IF('02_CUADRYGRÁF.COMP.ÚLT.5 CAMP.'!G28&lt;&gt;0,'02_CUADRYGRÁF.COMP.ÚLT.5 CAMP.'!G28,NA())</f>
        <v>17.385000000000002</v>
      </c>
      <c r="L12" s="427">
        <f>+AVERAGE('02_CUADRYGRÁF.COMP.ÚLT.5 CAMP.'!C28:F28)</f>
        <v>13.947954000000001</v>
      </c>
      <c r="M12" s="426"/>
      <c r="N12" s="369"/>
    </row>
    <row r="13" spans="2:14" x14ac:dyDescent="0.25">
      <c r="B13" s="426"/>
      <c r="C13" s="426" t="s">
        <v>211</v>
      </c>
      <c r="D13" s="426">
        <f>+IF('02_CUADRYGRÁF.COMP.ÚLT.5 CAMP.'!G12&lt;&gt;0,'02_CUADRYGRÁF.COMP.ÚLT.5 CAMP.'!G12,NA())</f>
        <v>154.07039664159123</v>
      </c>
      <c r="E13" s="426">
        <f>+AVERAGE('02_CUADRYGRÁF.COMP.ÚLT.5 CAMP.'!C12:F12)</f>
        <v>106.35665</v>
      </c>
      <c r="F13" s="426"/>
      <c r="G13" s="426"/>
      <c r="I13" s="369"/>
      <c r="J13" s="426" t="s">
        <v>211</v>
      </c>
      <c r="K13" s="427">
        <f>+IF('02_CUADRYGRÁF.COMP.ÚLT.5 CAMP.'!G29&lt;&gt;0,'02_CUADRYGRÁF.COMP.ÚLT.5 CAMP.'!G29,NA())</f>
        <v>19.042000000000002</v>
      </c>
      <c r="L13" s="427">
        <f>+AVERAGE('02_CUADRYGRÁF.COMP.ÚLT.5 CAMP.'!C29:F29)</f>
        <v>18.462668499999999</v>
      </c>
      <c r="M13" s="426"/>
      <c r="N13" s="369"/>
    </row>
    <row r="14" spans="2:14" x14ac:dyDescent="0.25">
      <c r="B14" s="426"/>
      <c r="C14" s="426" t="s">
        <v>212</v>
      </c>
      <c r="D14" s="426">
        <f>+IF('02_CUADRYGRÁF.COMP.ÚLT.5 CAMP.'!G13&lt;&gt;0,'02_CUADRYGRÁF.COMP.ÚLT.5 CAMP.'!G13,NA())</f>
        <v>12.203773839919968</v>
      </c>
      <c r="E14" s="426">
        <f>+AVERAGE('02_CUADRYGRÁF.COMP.ÚLT.5 CAMP.'!C13:F13)</f>
        <v>21.868000000000002</v>
      </c>
      <c r="F14" s="426"/>
      <c r="G14" s="426"/>
      <c r="I14" s="369"/>
      <c r="J14" s="426" t="s">
        <v>212</v>
      </c>
      <c r="K14" s="427">
        <f>+IF('02_CUADRYGRÁF.COMP.ÚLT.5 CAMP.'!G30&lt;&gt;0,'02_CUADRYGRÁF.COMP.ÚLT.5 CAMP.'!G30,NA())</f>
        <v>22.052</v>
      </c>
      <c r="L14" s="427">
        <f>+AVERAGE('02_CUADRYGRÁF.COMP.ÚLT.5 CAMP.'!C30:F30)</f>
        <v>17.16875825</v>
      </c>
      <c r="M14" s="426"/>
      <c r="N14" s="369"/>
    </row>
    <row r="15" spans="2:14" x14ac:dyDescent="0.25">
      <c r="B15" s="426"/>
      <c r="C15" s="426" t="s">
        <v>213</v>
      </c>
      <c r="D15" s="426">
        <f>+IF('02_CUADRYGRÁF.COMP.ÚLT.5 CAMP.'!G14&lt;&gt;0,'02_CUADRYGRÁF.COMP.ÚLT.5 CAMP.'!G14,NA())</f>
        <v>3.1651061105452594</v>
      </c>
      <c r="E15" s="426">
        <f>+AVERAGE('02_CUADRYGRÁF.COMP.ÚLT.5 CAMP.'!C14:F14)</f>
        <v>3.4957500000000001</v>
      </c>
      <c r="F15" s="426"/>
      <c r="G15" s="426"/>
      <c r="I15" s="369"/>
      <c r="J15" s="426" t="s">
        <v>213</v>
      </c>
      <c r="K15" s="427">
        <f>+IF('02_CUADRYGRÁF.COMP.ÚLT.5 CAMP.'!G31&lt;&gt;0,'02_CUADRYGRÁF.COMP.ÚLT.5 CAMP.'!G31,NA())</f>
        <v>16.635000000000002</v>
      </c>
      <c r="L15" s="427">
        <f>+AVERAGE('02_CUADRYGRÁF.COMP.ÚLT.5 CAMP.'!C31:F31)</f>
        <v>17.846606000000001</v>
      </c>
      <c r="M15" s="426"/>
      <c r="N15" s="369"/>
    </row>
    <row r="16" spans="2:14" x14ac:dyDescent="0.25">
      <c r="B16" s="426"/>
      <c r="C16" s="426" t="s">
        <v>214</v>
      </c>
      <c r="D16" s="426">
        <f>+IF('02_CUADRYGRÁF.COMP.ÚLT.5 CAMP.'!G15&lt;&gt;0,'02_CUADRYGRÁF.COMP.ÚLT.5 CAMP.'!G15,NA())</f>
        <v>0.2216438346728094</v>
      </c>
      <c r="E16" s="426">
        <f>+AVERAGE('02_CUADRYGRÁF.COMP.ÚLT.5 CAMP.'!C15:F15)</f>
        <v>1.9117250000000001</v>
      </c>
      <c r="F16" s="426"/>
      <c r="G16" s="426"/>
      <c r="I16" s="369"/>
      <c r="J16" s="426" t="s">
        <v>214</v>
      </c>
      <c r="K16" s="427">
        <f>+IF('02_CUADRYGRÁF.COMP.ÚLT.5 CAMP.'!G32&lt;&gt;0,'02_CUADRYGRÁF.COMP.ÚLT.5 CAMP.'!G32,NA())</f>
        <v>15.276999999999999</v>
      </c>
      <c r="L16" s="427">
        <f>+AVERAGE('02_CUADRYGRÁF.COMP.ÚLT.5 CAMP.'!C32:F32)</f>
        <v>17.09497</v>
      </c>
      <c r="M16" s="426"/>
      <c r="N16" s="369"/>
    </row>
    <row r="17" spans="2:14" x14ac:dyDescent="0.25">
      <c r="B17" s="426"/>
      <c r="C17" s="426" t="s">
        <v>215</v>
      </c>
      <c r="D17" s="426"/>
      <c r="E17" s="426"/>
      <c r="F17" s="426"/>
      <c r="G17" s="426"/>
      <c r="I17" s="369"/>
      <c r="J17" s="426" t="s">
        <v>215</v>
      </c>
      <c r="K17" s="427">
        <f>+IF('02_CUADRYGRÁF.COMP.ÚLT.5 CAMP.'!G33&lt;&gt;0,'02_CUADRYGRÁF.COMP.ÚLT.5 CAMP.'!G33,NA())</f>
        <v>14.541</v>
      </c>
      <c r="L17" s="427">
        <f>+AVERAGE('02_CUADRYGRÁF.COMP.ÚLT.5 CAMP.'!C33:F33)</f>
        <v>15.823582999999999</v>
      </c>
      <c r="M17" s="426"/>
      <c r="N17" s="369"/>
    </row>
    <row r="18" spans="2:14" x14ac:dyDescent="0.25">
      <c r="B18" s="426"/>
      <c r="C18" s="426" t="s">
        <v>216</v>
      </c>
      <c r="D18" s="426"/>
      <c r="E18" s="426"/>
      <c r="F18" s="426"/>
      <c r="G18" s="426"/>
      <c r="I18" s="369"/>
      <c r="J18" s="426" t="s">
        <v>216</v>
      </c>
      <c r="K18" s="427">
        <f>+IF('02_CUADRYGRÁF.COMP.ÚLT.5 CAMP.'!G34&lt;&gt;0,'02_CUADRYGRÁF.COMP.ÚLT.5 CAMP.'!G34,NA())</f>
        <v>13.11</v>
      </c>
      <c r="L18" s="427">
        <f>+AVERAGE('02_CUADRYGRÁF.COMP.ÚLT.5 CAMP.'!C34:F34)</f>
        <v>16.006943</v>
      </c>
      <c r="M18" s="426"/>
      <c r="N18" s="369"/>
    </row>
    <row r="19" spans="2:14" x14ac:dyDescent="0.25">
      <c r="B19" s="426"/>
      <c r="C19" s="426" t="s">
        <v>217</v>
      </c>
      <c r="D19" s="426"/>
      <c r="E19" s="426"/>
      <c r="F19" s="426"/>
      <c r="G19" s="426"/>
      <c r="I19" s="369"/>
      <c r="J19" s="426" t="s">
        <v>217</v>
      </c>
      <c r="K19" s="427">
        <f>+IF('02_CUADRYGRÁF.COMP.ÚLT.5 CAMP.'!G35&lt;&gt;0,'02_CUADRYGRÁF.COMP.ÚLT.5 CAMP.'!G35,NA())</f>
        <v>6.7649999999999997</v>
      </c>
      <c r="L19" s="427">
        <f>+AVERAGE('02_CUADRYGRÁF.COMP.ÚLT.5 CAMP.'!C35:F35)</f>
        <v>14.75202075</v>
      </c>
      <c r="M19" s="426"/>
      <c r="N19" s="369"/>
    </row>
    <row r="20" spans="2:14" x14ac:dyDescent="0.25">
      <c r="B20" s="426"/>
      <c r="C20" s="426" t="s">
        <v>218</v>
      </c>
      <c r="D20" s="426"/>
      <c r="E20" s="426"/>
      <c r="F20" s="426"/>
      <c r="G20" s="426"/>
      <c r="I20" s="369"/>
      <c r="J20" s="426" t="s">
        <v>218</v>
      </c>
      <c r="K20" s="427">
        <f>+IF('02_CUADRYGRÁF.COMP.ÚLT.5 CAMP.'!G36&lt;&gt;0,'02_CUADRYGRÁF.COMP.ÚLT.5 CAMP.'!G36,NA())</f>
        <v>11.167999999999999</v>
      </c>
      <c r="L20" s="427">
        <f>+AVERAGE('02_CUADRYGRÁF.COMP.ÚLT.5 CAMP.'!C36:F36)</f>
        <v>15.6681005</v>
      </c>
      <c r="M20" s="426"/>
      <c r="N20" s="369"/>
    </row>
    <row r="21" spans="2:14" x14ac:dyDescent="0.25">
      <c r="B21" s="426"/>
      <c r="C21" s="426" t="s">
        <v>219</v>
      </c>
      <c r="D21" s="426">
        <f>SUMIF(D9:D20, "&lt;&gt;#N/D")</f>
        <v>1421.112749945218</v>
      </c>
      <c r="E21" s="426">
        <f>SUMIF(D9:D20,"&lt;&gt;#N/D",E9:E20)</f>
        <v>1101.1494499999999</v>
      </c>
      <c r="F21" s="426"/>
      <c r="G21" s="426"/>
      <c r="I21" s="369"/>
      <c r="J21" s="426" t="s">
        <v>219</v>
      </c>
      <c r="K21" s="427">
        <f>SUMIF(K9:K20, "&lt;&gt;#N/D")</f>
        <v>206.05899999999997</v>
      </c>
      <c r="L21" s="427">
        <f>SUMIF(K9:K20,"&lt;&gt;#N/D",L9:L20)</f>
        <v>213.52247425000004</v>
      </c>
      <c r="M21" s="426"/>
      <c r="N21" s="369"/>
    </row>
    <row r="22" spans="2:14" x14ac:dyDescent="0.25">
      <c r="B22" s="428"/>
      <c r="C22" s="429" t="s">
        <v>220</v>
      </c>
      <c r="D22" s="430">
        <f>+D21/E21-1</f>
        <v>0.2905720925939872</v>
      </c>
      <c r="E22" s="431"/>
      <c r="F22" s="431"/>
      <c r="G22" s="431"/>
      <c r="I22" s="432"/>
      <c r="J22" s="429" t="s">
        <v>221</v>
      </c>
      <c r="K22" s="430">
        <f>+K21/L21-1</f>
        <v>-3.4954045358530084E-2</v>
      </c>
    </row>
    <row r="23" spans="2:14" x14ac:dyDescent="0.25">
      <c r="C23" s="433"/>
      <c r="D23" s="431"/>
      <c r="E23" s="431"/>
      <c r="F23" s="431"/>
      <c r="G23" s="431"/>
      <c r="I23" s="24"/>
      <c r="J23" s="24"/>
    </row>
    <row r="24" spans="2:14" x14ac:dyDescent="0.25">
      <c r="B24" s="494" t="s">
        <v>190</v>
      </c>
      <c r="C24" s="494"/>
      <c r="D24" s="494"/>
      <c r="E24" s="494"/>
      <c r="F24" s="494"/>
      <c r="G24" s="494"/>
      <c r="I24" s="494" t="s">
        <v>171</v>
      </c>
      <c r="J24" s="494"/>
      <c r="K24" s="494"/>
      <c r="L24" s="494"/>
      <c r="M24" s="494"/>
      <c r="N24" s="494"/>
    </row>
    <row r="25" spans="2:14" x14ac:dyDescent="0.25">
      <c r="B25" s="495" t="s">
        <v>222</v>
      </c>
      <c r="C25" s="495"/>
      <c r="D25" s="495"/>
      <c r="E25" s="495"/>
      <c r="F25" s="495"/>
      <c r="G25" s="495"/>
      <c r="I25" s="495" t="s">
        <v>223</v>
      </c>
      <c r="J25" s="495"/>
      <c r="K25" s="495"/>
      <c r="L25" s="495"/>
      <c r="M25" s="495"/>
      <c r="N25" s="495"/>
    </row>
    <row r="26" spans="2:14" x14ac:dyDescent="0.25">
      <c r="B26" s="426"/>
      <c r="C26" s="426" t="s">
        <v>205</v>
      </c>
      <c r="D26" s="426" t="str">
        <f>+'04_CUADROS ACUMULADOS'!$H$7</f>
        <v>2024/25</v>
      </c>
      <c r="E26" s="426" t="s">
        <v>206</v>
      </c>
      <c r="F26" s="426"/>
      <c r="G26" s="369"/>
      <c r="I26" s="369"/>
      <c r="J26" s="426" t="s">
        <v>205</v>
      </c>
      <c r="K26" s="426" t="str">
        <f>+'04_CUADROS ACUMULADOS'!$H$7</f>
        <v>2024/25</v>
      </c>
      <c r="L26" s="426" t="s">
        <v>206</v>
      </c>
      <c r="M26" s="426"/>
      <c r="N26" s="369"/>
    </row>
    <row r="27" spans="2:14" x14ac:dyDescent="0.25">
      <c r="B27" s="426"/>
      <c r="C27" s="426" t="s">
        <v>207</v>
      </c>
      <c r="D27" s="427">
        <f>+IF('02_CUADRYGRÁF.COMP.ÚLT.5 CAMP.'!G59&lt;&gt;0,'02_CUADRYGRÁF.COMP.ÚLT.5 CAMP.'!G59,NA())</f>
        <v>38.408901540294202</v>
      </c>
      <c r="E27" s="427">
        <f>+AVERAGE('02_CUADRYGRÁF.COMP.ÚLT.5 CAMP.'!C59:F59)</f>
        <v>39.598295499999992</v>
      </c>
      <c r="F27" s="426"/>
      <c r="G27" s="369"/>
      <c r="I27" s="369"/>
      <c r="J27" s="426" t="s">
        <v>207</v>
      </c>
      <c r="K27" s="427">
        <f>+IF('02_CUADRYGRÁF.COMP.ÚLT.5 CAMP.'!G42&lt;&gt;0,'02_CUADRYGRÁF.COMP.ÚLT.5 CAMP.'!G42,NA())</f>
        <v>60.277999999999999</v>
      </c>
      <c r="L27" s="427">
        <f>+AVERAGE('02_CUADRYGRÁF.COMP.ÚLT.5 CAMP.'!C42:F42)</f>
        <v>80.870157000000006</v>
      </c>
      <c r="M27" s="426"/>
      <c r="N27" s="369"/>
    </row>
    <row r="28" spans="2:14" x14ac:dyDescent="0.25">
      <c r="B28" s="426"/>
      <c r="C28" s="426" t="s">
        <v>208</v>
      </c>
      <c r="D28" s="427">
        <f>+IF('02_CUADRYGRÁF.COMP.ÚLT.5 CAMP.'!G60&lt;&gt;0,'02_CUADRYGRÁF.COMP.ÚLT.5 CAMP.'!G60,NA())</f>
        <v>40.438747368009544</v>
      </c>
      <c r="E28" s="427">
        <f>+AVERAGE('02_CUADRYGRÁF.COMP.ÚLT.5 CAMP.'!C60:F60)</f>
        <v>46.175235500000021</v>
      </c>
      <c r="F28" s="426"/>
      <c r="G28" s="369"/>
      <c r="I28" s="369"/>
      <c r="J28" s="426" t="s">
        <v>208</v>
      </c>
      <c r="K28" s="427">
        <f>+IF('02_CUADRYGRÁF.COMP.ÚLT.5 CAMP.'!G43&lt;&gt;0,'02_CUADRYGRÁF.COMP.ÚLT.5 CAMP.'!G43,NA())</f>
        <v>59.936999999999998</v>
      </c>
      <c r="L28" s="427">
        <f>+AVERAGE('02_CUADRYGRÁF.COMP.ÚLT.5 CAMP.'!C43:F43)</f>
        <v>74.878412000000012</v>
      </c>
      <c r="M28" s="426"/>
      <c r="N28" s="369"/>
    </row>
    <row r="29" spans="2:14" x14ac:dyDescent="0.25">
      <c r="B29" s="426"/>
      <c r="C29" s="426" t="s">
        <v>209</v>
      </c>
      <c r="D29" s="427">
        <f>+IF('02_CUADRYGRÁF.COMP.ÚLT.5 CAMP.'!G61&lt;&gt;0,'02_CUADRYGRÁF.COMP.ÚLT.5 CAMP.'!G61,NA())</f>
        <v>54.225039957053212</v>
      </c>
      <c r="E29" s="427">
        <f>+AVERAGE('02_CUADRYGRÁF.COMP.ÚLT.5 CAMP.'!C61:F61)</f>
        <v>43.731409499999884</v>
      </c>
      <c r="F29" s="426"/>
      <c r="G29" s="369"/>
      <c r="I29" s="369"/>
      <c r="J29" s="426" t="s">
        <v>209</v>
      </c>
      <c r="K29" s="427">
        <f>+IF('02_CUADRYGRÁF.COMP.ÚLT.5 CAMP.'!G44&lt;&gt;0,'02_CUADRYGRÁF.COMP.ÚLT.5 CAMP.'!G44,NA())</f>
        <v>69.722999999999999</v>
      </c>
      <c r="L29" s="427">
        <f>+AVERAGE('02_CUADRYGRÁF.COMP.ÚLT.5 CAMP.'!C44:F44)</f>
        <v>72.081168250000005</v>
      </c>
      <c r="M29" s="426"/>
      <c r="N29" s="369"/>
    </row>
    <row r="30" spans="2:14" x14ac:dyDescent="0.25">
      <c r="B30" s="426"/>
      <c r="C30" s="426" t="s">
        <v>210</v>
      </c>
      <c r="D30" s="427">
        <f>+IF('02_CUADRYGRÁF.COMP.ÚLT.5 CAMP.'!G62&lt;&gt;0,'02_CUADRYGRÁF.COMP.ÚLT.5 CAMP.'!G62,NA())</f>
        <v>49.430284128360796</v>
      </c>
      <c r="E30" s="427">
        <f>+AVERAGE('02_CUADRYGRÁF.COMP.ÚLT.5 CAMP.'!C62:F62)</f>
        <v>37.457295250000044</v>
      </c>
      <c r="F30" s="426"/>
      <c r="G30" s="369"/>
      <c r="I30" s="369"/>
      <c r="J30" s="426" t="s">
        <v>210</v>
      </c>
      <c r="K30" s="427">
        <f>+IF('02_CUADRYGRÁF.COMP.ÚLT.5 CAMP.'!G45&lt;&gt;0,'02_CUADRYGRÁF.COMP.ÚLT.5 CAMP.'!G45,NA())</f>
        <v>89.304000000000002</v>
      </c>
      <c r="L30" s="427">
        <f>+AVERAGE('02_CUADRYGRÁF.COMP.ÚLT.5 CAMP.'!C45:F45)</f>
        <v>70.44053375</v>
      </c>
      <c r="M30" s="426"/>
      <c r="N30" s="369"/>
    </row>
    <row r="31" spans="2:14" x14ac:dyDescent="0.25">
      <c r="B31" s="426"/>
      <c r="C31" s="426" t="s">
        <v>211</v>
      </c>
      <c r="D31" s="427">
        <f>+IF('02_CUADRYGRÁF.COMP.ÚLT.5 CAMP.'!G63&lt;&gt;0,'02_CUADRYGRÁF.COMP.ÚLT.5 CAMP.'!G63,NA())</f>
        <v>40.568916641591116</v>
      </c>
      <c r="E31" s="427">
        <f>+AVERAGE('02_CUADRYGRÁF.COMP.ÚLT.5 CAMP.'!C63:F63)</f>
        <v>38.724369750000065</v>
      </c>
      <c r="F31" s="426"/>
      <c r="G31" s="369"/>
      <c r="I31" s="369"/>
      <c r="J31" s="426" t="s">
        <v>211</v>
      </c>
      <c r="K31" s="427">
        <f>+IF('02_CUADRYGRÁF.COMP.ÚLT.5 CAMP.'!G46&lt;&gt;0,'02_CUADRYGRÁF.COMP.ÚLT.5 CAMP.'!G46,NA())</f>
        <v>90.628</v>
      </c>
      <c r="L31" s="427">
        <f>+AVERAGE('02_CUADRYGRÁF.COMP.ÚLT.5 CAMP.'!C46:F46)</f>
        <v>76.447173750000005</v>
      </c>
      <c r="M31" s="426"/>
      <c r="N31" s="369"/>
    </row>
    <row r="32" spans="2:14" x14ac:dyDescent="0.25">
      <c r="B32" s="426"/>
      <c r="C32" s="426" t="s">
        <v>212</v>
      </c>
      <c r="D32" s="427">
        <f>+IF('02_CUADRYGRÁF.COMP.ÚLT.5 CAMP.'!G64&lt;&gt;0,'02_CUADRYGRÁF.COMP.ÚLT.5 CAMP.'!G64,NA())</f>
        <v>43.606513839920041</v>
      </c>
      <c r="E32" s="427">
        <f>+AVERAGE('02_CUADRYGRÁF.COMP.ÚLT.5 CAMP.'!C64:F64)</f>
        <v>45.567181749999925</v>
      </c>
      <c r="F32" s="426"/>
      <c r="G32" s="369"/>
      <c r="I32" s="369"/>
      <c r="J32" s="426" t="s">
        <v>212</v>
      </c>
      <c r="K32" s="427">
        <f>+IF('02_CUADRYGRÁF.COMP.ÚLT.5 CAMP.'!G47&lt;&gt;0,'02_CUADRYGRÁF.COMP.ÚLT.5 CAMP.'!G47,NA())</f>
        <v>96.980999999999995</v>
      </c>
      <c r="L32" s="427">
        <f>+AVERAGE('02_CUADRYGRÁF.COMP.ÚLT.5 CAMP.'!C47:F47)</f>
        <v>77.476141499999997</v>
      </c>
      <c r="M32" s="426"/>
      <c r="N32" s="369"/>
    </row>
    <row r="33" spans="2:14" x14ac:dyDescent="0.25">
      <c r="B33" s="426"/>
      <c r="C33" s="426" t="s">
        <v>213</v>
      </c>
      <c r="D33" s="427">
        <f>+IF('02_CUADRYGRÁF.COMP.ÚLT.5 CAMP.'!G65&lt;&gt;0,'02_CUADRYGRÁF.COMP.ÚLT.5 CAMP.'!G65,NA())</f>
        <v>35.672966110545204</v>
      </c>
      <c r="E33" s="427">
        <f>+AVERAGE('02_CUADRYGRÁF.COMP.ÚLT.5 CAMP.'!C65:F65)</f>
        <v>39.030983499999969</v>
      </c>
      <c r="F33" s="426"/>
      <c r="G33" s="369"/>
      <c r="I33" s="369"/>
      <c r="J33" s="426" t="s">
        <v>213</v>
      </c>
      <c r="K33" s="427">
        <f>+IF('02_CUADRYGRÁF.COMP.ÚLT.5 CAMP.'!G48&lt;&gt;0,'02_CUADRYGRÁF.COMP.ÚLT.5 CAMP.'!G48,NA())</f>
        <v>98.778000000000006</v>
      </c>
      <c r="L33" s="427">
        <f>+AVERAGE('02_CUADRYGRÁF.COMP.ÚLT.5 CAMP.'!C48:F48)</f>
        <v>83.183090000000007</v>
      </c>
      <c r="M33" s="426"/>
      <c r="N33" s="369"/>
    </row>
    <row r="34" spans="2:14" x14ac:dyDescent="0.25">
      <c r="B34" s="426"/>
      <c r="C34" s="426" t="s">
        <v>214</v>
      </c>
      <c r="D34" s="427">
        <f>+IF('02_CUADRYGRÁF.COMP.ÚLT.5 CAMP.'!G66&lt;&gt;0,'02_CUADRYGRÁF.COMP.ÚLT.5 CAMP.'!G66,NA())</f>
        <v>36.885763834672744</v>
      </c>
      <c r="E34" s="427">
        <f>+AVERAGE('02_CUADRYGRÁF.COMP.ÚLT.5 CAMP.'!C66:F66)</f>
        <v>36.658482249999963</v>
      </c>
      <c r="F34" s="426"/>
      <c r="G34" s="369"/>
      <c r="I34" s="369"/>
      <c r="J34" s="426" t="s">
        <v>214</v>
      </c>
      <c r="K34" s="427">
        <f>+IF('02_CUADRYGRÁF.COMP.ÚLT.5 CAMP.'!G49&lt;&gt;0,'02_CUADRYGRÁF.COMP.ÚLT.5 CAMP.'!G49,NA())</f>
        <v>99.323999999999998</v>
      </c>
      <c r="L34" s="427">
        <f>+AVERAGE('02_CUADRYGRÁF.COMP.ÚLT.5 CAMP.'!C49:F49)</f>
        <v>87.163952749999993</v>
      </c>
      <c r="M34" s="426"/>
      <c r="N34" s="369"/>
    </row>
    <row r="35" spans="2:14" x14ac:dyDescent="0.25">
      <c r="B35" s="426"/>
      <c r="C35" s="426" t="s">
        <v>215</v>
      </c>
      <c r="D35" s="427">
        <f>+IF('02_CUADRYGRÁF.COMP.ÚLT.5 CAMP.'!G67&lt;&gt;0,'02_CUADRYGRÁF.COMP.ÚLT.5 CAMP.'!G67,NA())</f>
        <v>37.955560000000105</v>
      </c>
      <c r="E35" s="427">
        <f>+AVERAGE('02_CUADRYGRÁF.COMP.ÚLT.5 CAMP.'!C67:F67)</f>
        <v>34.894250000000042</v>
      </c>
      <c r="F35" s="426"/>
      <c r="G35" s="369"/>
      <c r="I35" s="369"/>
      <c r="J35" s="426" t="s">
        <v>215</v>
      </c>
      <c r="K35" s="427">
        <f>+IF('02_CUADRYGRÁF.COMP.ÚLT.5 CAMP.'!G50&lt;&gt;0,'02_CUADRYGRÁF.COMP.ÚLT.5 CAMP.'!G50,NA())</f>
        <v>94.483000000000004</v>
      </c>
      <c r="L35" s="427">
        <f>+AVERAGE('02_CUADRYGRÁF.COMP.ÚLT.5 CAMP.'!C50:F50)</f>
        <v>80.722283000000004</v>
      </c>
      <c r="M35" s="426"/>
      <c r="N35" s="369"/>
    </row>
    <row r="36" spans="2:14" x14ac:dyDescent="0.25">
      <c r="B36" s="426"/>
      <c r="C36" s="426" t="s">
        <v>216</v>
      </c>
      <c r="D36" s="427">
        <f>+IF('02_CUADRYGRÁF.COMP.ÚLT.5 CAMP.'!G68&lt;&gt;0,'02_CUADRYGRÁF.COMP.ÚLT.5 CAMP.'!G68,NA())</f>
        <v>37.736179999999948</v>
      </c>
      <c r="E36" s="427">
        <f>+AVERAGE('02_CUADRYGRÁF.COMP.ÚLT.5 CAMP.'!C68:F68)</f>
        <v>34.849258249999977</v>
      </c>
      <c r="F36" s="426"/>
      <c r="G36" s="369"/>
      <c r="I36" s="369"/>
      <c r="J36" s="426" t="s">
        <v>216</v>
      </c>
      <c r="K36" s="427">
        <f>+IF('02_CUADRYGRÁF.COMP.ÚLT.5 CAMP.'!G51&lt;&gt;0,'02_CUADRYGRÁF.COMP.ÚLT.5 CAMP.'!G51,NA())</f>
        <v>110.997</v>
      </c>
      <c r="L36" s="427">
        <f>+AVERAGE('02_CUADRYGRÁF.COMP.ÚLT.5 CAMP.'!C51:F51)</f>
        <v>72.666577250000003</v>
      </c>
      <c r="M36" s="426"/>
      <c r="N36" s="369"/>
    </row>
    <row r="37" spans="2:14" x14ac:dyDescent="0.25">
      <c r="B37" s="426"/>
      <c r="C37" s="426" t="s">
        <v>217</v>
      </c>
      <c r="D37" s="427">
        <f>+IF('02_CUADRYGRÁF.COMP.ÚLT.5 CAMP.'!G69&lt;&gt;0,'02_CUADRYGRÁF.COMP.ÚLT.5 CAMP.'!G69,NA())</f>
        <v>35.512659999999983</v>
      </c>
      <c r="E37" s="427">
        <f>+AVERAGE('02_CUADRYGRÁF.COMP.ÚLT.5 CAMP.'!C69:F69)</f>
        <v>37.709520500000039</v>
      </c>
      <c r="F37" s="426"/>
      <c r="G37" s="369"/>
      <c r="I37" s="369"/>
      <c r="J37" s="426" t="s">
        <v>217</v>
      </c>
      <c r="K37" s="427">
        <f>+IF('02_CUADRYGRÁF.COMP.ÚLT.5 CAMP.'!G52&lt;&gt;0,'02_CUADRYGRÁF.COMP.ÚLT.5 CAMP.'!G52,NA())</f>
        <v>76.051000000000002</v>
      </c>
      <c r="L37" s="427">
        <f>+AVERAGE('02_CUADRYGRÁF.COMP.ÚLT.5 CAMP.'!C52:F52)</f>
        <v>63.085517749999994</v>
      </c>
      <c r="M37" s="426"/>
      <c r="N37" s="369"/>
    </row>
    <row r="38" spans="2:14" x14ac:dyDescent="0.25">
      <c r="B38" s="426"/>
      <c r="C38" s="426" t="s">
        <v>218</v>
      </c>
      <c r="D38" s="427">
        <f>+IF('02_CUADRYGRÁF.COMP.ÚLT.5 CAMP.'!G70&lt;&gt;0,'02_CUADRYGRÁF.COMP.ÚLT.5 CAMP.'!G70,NA())</f>
        <v>32.33750000000002</v>
      </c>
      <c r="E38" s="427">
        <f>+AVERAGE('02_CUADRYGRÁF.COMP.ÚLT.5 CAMP.'!C70:F70)</f>
        <v>37.097424500000002</v>
      </c>
      <c r="F38" s="426"/>
      <c r="G38" s="369"/>
      <c r="I38" s="369"/>
      <c r="J38" s="426" t="s">
        <v>218</v>
      </c>
      <c r="K38" s="427">
        <f>+IF('02_CUADRYGRÁF.COMP.ÚLT.5 CAMP.'!G53&lt;&gt;0,'02_CUADRYGRÁF.COMP.ÚLT.5 CAMP.'!G53,NA())</f>
        <v>95.087000000000003</v>
      </c>
      <c r="L38" s="427">
        <f>+AVERAGE('02_CUADRYGRÁF.COMP.ÚLT.5 CAMP.'!C53:F53)</f>
        <v>80.239793500000005</v>
      </c>
      <c r="M38" s="426"/>
      <c r="N38" s="369"/>
    </row>
    <row r="39" spans="2:14" x14ac:dyDescent="0.25">
      <c r="B39" s="426"/>
      <c r="C39" s="426" t="s">
        <v>219</v>
      </c>
      <c r="D39" s="427">
        <f>SUMIF(D27:D38, "&lt;&gt;#N/D")</f>
        <v>482.77903342044692</v>
      </c>
      <c r="E39" s="427">
        <f>SUMIF(D27:D38,"&lt;&gt;#N/D",E27:E38)</f>
        <v>471.49370625</v>
      </c>
      <c r="F39" s="426"/>
      <c r="G39" s="369"/>
      <c r="I39" s="369"/>
      <c r="J39" s="426" t="s">
        <v>219</v>
      </c>
      <c r="K39" s="427">
        <f>SUMIF(K27:K38, "&lt;&gt;#N/D")</f>
        <v>1041.5709999999999</v>
      </c>
      <c r="L39" s="427">
        <f>SUMIF(K27:K38,"&lt;&gt;#N/D",L27:L38)</f>
        <v>919.25480050000021</v>
      </c>
      <c r="M39" s="426"/>
      <c r="N39" s="369"/>
    </row>
    <row r="40" spans="2:14" s="108" customFormat="1" x14ac:dyDescent="0.25">
      <c r="B40" s="429"/>
      <c r="C40" s="429" t="s">
        <v>221</v>
      </c>
      <c r="D40" s="430">
        <f>+D39/E39-1</f>
        <v>2.3935265775240522E-2</v>
      </c>
      <c r="F40"/>
      <c r="G40"/>
      <c r="I40" s="434" t="s">
        <v>224</v>
      </c>
      <c r="J40" s="429"/>
      <c r="K40" s="430">
        <f>+K39/L39-1</f>
        <v>0.13306016942578869</v>
      </c>
    </row>
    <row r="42" spans="2:14" x14ac:dyDescent="0.25">
      <c r="B42" s="494" t="s">
        <v>225</v>
      </c>
      <c r="C42" s="494"/>
      <c r="D42" s="494"/>
      <c r="E42" s="494"/>
      <c r="F42" s="494"/>
      <c r="G42" s="494"/>
      <c r="I42" s="494" t="s">
        <v>195</v>
      </c>
      <c r="J42" s="494"/>
      <c r="K42" s="494"/>
      <c r="L42" s="494"/>
      <c r="M42" s="494"/>
      <c r="N42" s="494"/>
    </row>
    <row r="43" spans="2:14" x14ac:dyDescent="0.25">
      <c r="B43" s="495" t="s">
        <v>226</v>
      </c>
      <c r="C43" s="495"/>
      <c r="D43" s="495"/>
      <c r="E43" s="495"/>
      <c r="F43" s="495"/>
      <c r="G43" s="495"/>
      <c r="I43" s="495" t="s">
        <v>227</v>
      </c>
      <c r="J43" s="495"/>
      <c r="K43" s="495"/>
      <c r="L43" s="495"/>
      <c r="M43" s="495"/>
      <c r="N43" s="495"/>
    </row>
    <row r="44" spans="2:14" x14ac:dyDescent="0.25">
      <c r="B44" s="426"/>
      <c r="C44" s="426" t="s">
        <v>205</v>
      </c>
      <c r="D44" s="426" t="str">
        <f>+'04_CUADROS ACUMULADOS'!$H$7</f>
        <v>2024/25</v>
      </c>
      <c r="E44" s="426" t="s">
        <v>206</v>
      </c>
      <c r="F44" s="426"/>
      <c r="G44" s="369"/>
      <c r="I44" s="369"/>
      <c r="J44" s="426" t="s">
        <v>205</v>
      </c>
      <c r="K44" s="426" t="str">
        <f>+'04_CUADROS ACUMULADOS'!$H$7</f>
        <v>2024/25</v>
      </c>
      <c r="L44" s="426" t="s">
        <v>206</v>
      </c>
      <c r="M44" s="426"/>
      <c r="N44" s="369"/>
    </row>
    <row r="45" spans="2:14" x14ac:dyDescent="0.25">
      <c r="B45" s="426"/>
      <c r="C45" s="426" t="s">
        <v>207</v>
      </c>
      <c r="D45" s="427">
        <f>+IF('03_CUADRYGRÁF.COMP.5 ÚLT.CAMP.'!J8&lt;&gt;0,'03_CUADRYGRÁF.COMP.5 ÚLT.CAMP.'!J8,NA())</f>
        <v>54.821289999999998</v>
      </c>
      <c r="E45" s="427">
        <f>+AVERAGE('03_CUADRYGRÁF.COMP.5 ÚLT.CAMP.'!F8:I8)</f>
        <v>151.252545</v>
      </c>
      <c r="F45" s="426"/>
      <c r="G45" s="369"/>
      <c r="I45" s="369"/>
      <c r="J45" s="426" t="s">
        <v>207</v>
      </c>
      <c r="K45" s="427">
        <f>+IF('03_CUADRYGRÁF.COMP.5 ÚLT.CAMP.'!J42&lt;&gt;0,'03_CUADRYGRÁF.COMP.5 ÚLT.CAMP.'!J42,NA())</f>
        <v>140.94938999999999</v>
      </c>
      <c r="L45" s="427">
        <f>+AVERAGE('03_CUADRYGRÁF.COMP.5 ÚLT.CAMP.'!F42:I42)</f>
        <v>338.39200249999999</v>
      </c>
      <c r="M45" s="426"/>
      <c r="N45" s="369"/>
    </row>
    <row r="46" spans="2:14" x14ac:dyDescent="0.25">
      <c r="B46" s="426"/>
      <c r="C46" s="426" t="s">
        <v>208</v>
      </c>
      <c r="D46" s="427">
        <f>+IF('03_CUADRYGRÁF.COMP.5 ÚLT.CAMP.'!J9&lt;&gt;0,'03_CUADRYGRÁF.COMP.5 ÚLT.CAMP.'!J9,NA())</f>
        <v>236.50212999999997</v>
      </c>
      <c r="E46" s="427">
        <f>+AVERAGE('03_CUADRYGRÁF.COMP.5 ÚLT.CAMP.'!F9:I9)</f>
        <v>286.18027749999999</v>
      </c>
      <c r="F46" s="426"/>
      <c r="G46" s="369"/>
      <c r="I46" s="369"/>
      <c r="J46" s="426" t="s">
        <v>208</v>
      </c>
      <c r="K46" s="427">
        <f>+IF('03_CUADRYGRÁF.COMP.5 ÚLT.CAMP.'!J43&lt;&gt;0,'03_CUADRYGRÁF.COMP.5 ÚLT.CAMP.'!J43,NA())</f>
        <v>330.81993</v>
      </c>
      <c r="L46" s="427">
        <f>+AVERAGE('03_CUADRYGRÁF.COMP.5 ÚLT.CAMP.'!F43:I43)</f>
        <v>472.68155999999999</v>
      </c>
      <c r="M46" s="426"/>
      <c r="N46" s="369"/>
    </row>
    <row r="47" spans="2:14" x14ac:dyDescent="0.25">
      <c r="B47" s="426"/>
      <c r="C47" s="426" t="s">
        <v>209</v>
      </c>
      <c r="D47" s="427">
        <f>+IF('03_CUADRYGRÁF.COMP.5 ÚLT.CAMP.'!J10&lt;&gt;0,'03_CUADRYGRÁF.COMP.5 ÚLT.CAMP.'!J10,NA())</f>
        <v>697.73919000000001</v>
      </c>
      <c r="E47" s="427">
        <f>+AVERAGE('03_CUADRYGRÁF.COMP.5 ÚLT.CAMP.'!F10:I10)</f>
        <v>568.81213500000001</v>
      </c>
      <c r="F47" s="426"/>
      <c r="G47" s="369"/>
      <c r="I47" s="369"/>
      <c r="J47" s="426" t="s">
        <v>209</v>
      </c>
      <c r="K47" s="427">
        <f>+IF('03_CUADRYGRÁF.COMP.5 ÚLT.CAMP.'!J44&lt;&gt;0,'03_CUADRYGRÁF.COMP.5 ÚLT.CAMP.'!J44,NA())</f>
        <v>833.89489000000003</v>
      </c>
      <c r="L47" s="427">
        <f>+AVERAGE('03_CUADRYGRÁF.COMP.5 ÚLT.CAMP.'!F44:I44)</f>
        <v>782.81376</v>
      </c>
      <c r="M47" s="426"/>
      <c r="N47" s="369"/>
    </row>
    <row r="48" spans="2:14" x14ac:dyDescent="0.25">
      <c r="B48" s="426"/>
      <c r="C48" s="426" t="s">
        <v>210</v>
      </c>
      <c r="D48" s="427">
        <f>+IF('03_CUADRYGRÁF.COMP.5 ÚLT.CAMP.'!J11&lt;&gt;0,'03_CUADRYGRÁF.COMP.5 ÚLT.CAMP.'!J11,NA())</f>
        <v>888.37991</v>
      </c>
      <c r="E48" s="427">
        <f>+AVERAGE('03_CUADRYGRÁF.COMP.5 ÚLT.CAMP.'!F11:I11)</f>
        <v>746.50641000000019</v>
      </c>
      <c r="F48" s="426"/>
      <c r="G48" s="369"/>
      <c r="I48" s="369"/>
      <c r="J48" s="426" t="s">
        <v>210</v>
      </c>
      <c r="K48" s="427">
        <f>+IF('03_CUADRYGRÁF.COMP.5 ÚLT.CAMP.'!J45&lt;&gt;0,'03_CUADRYGRÁF.COMP.5 ÚLT.CAMP.'!J45,NA())</f>
        <v>1064.0265099999999</v>
      </c>
      <c r="L48" s="427">
        <f>+AVERAGE('03_CUADRYGRÁF.COMP.5 ÚLT.CAMP.'!F45:I45)</f>
        <v>987.31498499999998</v>
      </c>
      <c r="M48" s="426"/>
      <c r="N48" s="369"/>
    </row>
    <row r="49" spans="2:14" x14ac:dyDescent="0.25">
      <c r="B49" s="426"/>
      <c r="C49" s="426" t="s">
        <v>211</v>
      </c>
      <c r="D49" s="427">
        <f>+IF('03_CUADRYGRÁF.COMP.5 ÚLT.CAMP.'!J12&lt;&gt;0,'03_CUADRYGRÁF.COMP.5 ÚLT.CAMP.'!J12,NA())</f>
        <v>905.64439000000004</v>
      </c>
      <c r="E49" s="427">
        <f>+AVERAGE('03_CUADRYGRÁF.COMP.5 ÚLT.CAMP.'!F12:I12)</f>
        <v>741.22116000000005</v>
      </c>
      <c r="F49" s="426"/>
      <c r="G49" s="369"/>
      <c r="I49" s="369"/>
      <c r="J49" s="426" t="s">
        <v>211</v>
      </c>
      <c r="K49" s="427">
        <f>+IF('03_CUADRYGRÁF.COMP.5 ÚLT.CAMP.'!J46&lt;&gt;0,'03_CUADRYGRÁF.COMP.5 ÚLT.CAMP.'!J46,NA())</f>
        <v>1105.94199</v>
      </c>
      <c r="L49" s="427">
        <f>+AVERAGE('03_CUADRYGRÁF.COMP.5 ÚLT.CAMP.'!F46:I46)</f>
        <v>996.95023500000013</v>
      </c>
      <c r="M49" s="426"/>
      <c r="N49" s="369"/>
    </row>
    <row r="50" spans="2:14" x14ac:dyDescent="0.25">
      <c r="B50" s="426"/>
      <c r="C50" s="426" t="s">
        <v>212</v>
      </c>
      <c r="D50" s="427">
        <f>+IF('03_CUADRYGRÁF.COMP.5 ÚLT.CAMP.'!J13&lt;&gt;0,'03_CUADRYGRÁF.COMP.5 ÚLT.CAMP.'!J13,NA())</f>
        <v>788.05705</v>
      </c>
      <c r="E50" s="427">
        <f>+AVERAGE('03_CUADRYGRÁF.COMP.5 ÚLT.CAMP.'!F13:I13)</f>
        <v>659.80610999999999</v>
      </c>
      <c r="F50" s="426"/>
      <c r="G50" s="369"/>
      <c r="I50" s="369"/>
      <c r="J50" s="426" t="s">
        <v>212</v>
      </c>
      <c r="K50" s="427">
        <f>+IF('03_CUADRYGRÁF.COMP.5 ÚLT.CAMP.'!J47&lt;&gt;0,'03_CUADRYGRÁF.COMP.5 ÚLT.CAMP.'!J47,NA())</f>
        <v>999.61024999999995</v>
      </c>
      <c r="L50" s="427">
        <f>+AVERAGE('03_CUADRYGRÁF.COMP.5 ÚLT.CAMP.'!F47:I47)</f>
        <v>912.94214499999998</v>
      </c>
      <c r="M50" s="426"/>
      <c r="N50" s="369"/>
    </row>
    <row r="51" spans="2:14" x14ac:dyDescent="0.25">
      <c r="B51" s="426"/>
      <c r="C51" s="426" t="s">
        <v>213</v>
      </c>
      <c r="D51" s="427">
        <f>+IF('03_CUADRYGRÁF.COMP.5 ÚLT.CAMP.'!J14&lt;&gt;0,'03_CUADRYGRÁF.COMP.5 ÚLT.CAMP.'!J14,NA())</f>
        <v>678.02169000000004</v>
      </c>
      <c r="E51" s="427">
        <f>+AVERAGE('03_CUADRYGRÁF.COMP.5 ÚLT.CAMP.'!F14:I14)</f>
        <v>558.87173499999994</v>
      </c>
      <c r="F51" s="426"/>
      <c r="G51" s="369"/>
      <c r="I51" s="369"/>
      <c r="J51" s="426" t="s">
        <v>213</v>
      </c>
      <c r="K51" s="427">
        <f>+IF('03_CUADRYGRÁF.COMP.5 ÚLT.CAMP.'!J48&lt;&gt;0,'03_CUADRYGRÁF.COMP.5 ÚLT.CAMP.'!J48,NA())</f>
        <v>884.95938999999998</v>
      </c>
      <c r="L51" s="427">
        <f>+AVERAGE('03_CUADRYGRÁF.COMP.5 ÚLT.CAMP.'!F48:I48)</f>
        <v>812.07857750000005</v>
      </c>
      <c r="M51" s="426"/>
      <c r="N51" s="369"/>
    </row>
    <row r="52" spans="2:14" x14ac:dyDescent="0.25">
      <c r="B52" s="426"/>
      <c r="C52" s="426" t="s">
        <v>214</v>
      </c>
      <c r="D52" s="427">
        <f>+IF('03_CUADRYGRÁF.COMP.5 ÚLT.CAMP.'!J15&lt;&gt;0,'03_CUADRYGRÁF.COMP.5 ÚLT.CAMP.'!J15,NA())</f>
        <v>563.77396999999996</v>
      </c>
      <c r="E52" s="427">
        <f>+AVERAGE('03_CUADRYGRÁF.COMP.5 ÚLT.CAMP.'!F15:I15)</f>
        <v>455.89863750000001</v>
      </c>
      <c r="F52" s="426"/>
      <c r="G52" s="369"/>
      <c r="I52" s="369"/>
      <c r="J52" s="426" t="s">
        <v>214</v>
      </c>
      <c r="K52" s="427">
        <f>+IF('03_CUADRYGRÁF.COMP.5 ÚLT.CAMP.'!J49&lt;&gt;0,'03_CUADRYGRÁF.COMP.5 ÚLT.CAMP.'!J49,NA())</f>
        <v>764.24827000000005</v>
      </c>
      <c r="L52" s="427">
        <f>+AVERAGE('03_CUADRYGRÁF.COMP.5 ÚLT.CAMP.'!F49:I49)</f>
        <v>707.26316250000002</v>
      </c>
      <c r="M52" s="426"/>
      <c r="N52" s="369"/>
    </row>
    <row r="53" spans="2:14" x14ac:dyDescent="0.25">
      <c r="B53" s="426"/>
      <c r="C53" s="426" t="s">
        <v>215</v>
      </c>
      <c r="D53" s="427">
        <f>+IF('03_CUADRYGRÁF.COMP.5 ÚLT.CAMP.'!J16&lt;&gt;0,'03_CUADRYGRÁF.COMP.5 ÚLT.CAMP.'!J16,NA())</f>
        <v>449.60960999999998</v>
      </c>
      <c r="E53" s="427">
        <f>+AVERAGE('03_CUADRYGRÁF.COMP.5 ÚLT.CAMP.'!F16:I16)</f>
        <v>367.09438750000004</v>
      </c>
      <c r="F53" s="426"/>
      <c r="G53" s="369"/>
      <c r="I53" s="369"/>
      <c r="J53" s="426" t="s">
        <v>215</v>
      </c>
      <c r="K53" s="427">
        <f>+IF('03_CUADRYGRÁF.COMP.5 ÚLT.CAMP.'!J50&lt;&gt;0,'03_CUADRYGRÁF.COMP.5 ÚLT.CAMP.'!J50,NA())</f>
        <v>646.35070999999994</v>
      </c>
      <c r="L53" s="427">
        <f>+AVERAGE('03_CUADRYGRÁF.COMP.5 ÚLT.CAMP.'!F50:I50)</f>
        <v>607.47221249999996</v>
      </c>
      <c r="M53" s="426"/>
      <c r="N53" s="369"/>
    </row>
    <row r="54" spans="2:14" x14ac:dyDescent="0.25">
      <c r="B54" s="426"/>
      <c r="C54" s="426" t="s">
        <v>216</v>
      </c>
      <c r="D54" s="427">
        <f>+IF('03_CUADRYGRÁF.COMP.5 ÚLT.CAMP.'!J17&lt;&gt;0,'03_CUADRYGRÁF.COMP.5 ÚLT.CAMP.'!J17,NA())</f>
        <v>321.44963000000001</v>
      </c>
      <c r="E54" s="427">
        <f>+AVERAGE('03_CUADRYGRÁF.COMP.5 ÚLT.CAMP.'!F17:I17)</f>
        <v>289.52749499999999</v>
      </c>
      <c r="F54" s="426"/>
      <c r="G54" s="369"/>
      <c r="I54" s="369"/>
      <c r="J54" s="426" t="s">
        <v>216</v>
      </c>
      <c r="K54" s="427">
        <f>+IF('03_CUADRYGRÁF.COMP.5 ÚLT.CAMP.'!J51&lt;&gt;0,'03_CUADRYGRÁF.COMP.5 ÚLT.CAMP.'!J51,NA())</f>
        <v>510.72753</v>
      </c>
      <c r="L54" s="427">
        <f>+AVERAGE('03_CUADRYGRÁF.COMP.5 ÚLT.CAMP.'!F51:I51)</f>
        <v>515.96712000000002</v>
      </c>
      <c r="M54" s="426"/>
      <c r="N54" s="369"/>
    </row>
    <row r="55" spans="2:14" x14ac:dyDescent="0.25">
      <c r="B55" s="426"/>
      <c r="C55" s="426" t="s">
        <v>217</v>
      </c>
      <c r="D55" s="427">
        <f>+IF('03_CUADRYGRÁF.COMP.5 ÚLT.CAMP.'!J18&lt;&gt;0,'03_CUADRYGRÁF.COMP.5 ÚLT.CAMP.'!J18,NA())</f>
        <v>239.81246999999999</v>
      </c>
      <c r="E55" s="427">
        <f>+AVERAGE('03_CUADRYGRÁF.COMP.5 ÚLT.CAMP.'!F18:I18)</f>
        <v>227.78580249999999</v>
      </c>
      <c r="F55" s="426"/>
      <c r="G55" s="369"/>
      <c r="I55" s="369"/>
      <c r="J55" s="426" t="s">
        <v>217</v>
      </c>
      <c r="K55" s="427">
        <f>+IF('03_CUADRYGRÁF.COMP.5 ÚLT.CAMP.'!J52&lt;&gt;0,'03_CUADRYGRÁF.COMP.5 ÚLT.CAMP.'!J52,NA())</f>
        <v>405.92887000000002</v>
      </c>
      <c r="L55" s="427">
        <f>+AVERAGE('03_CUADRYGRÁF.COMP.5 ÚLT.CAMP.'!F52:I52)</f>
        <v>429.90045250000003</v>
      </c>
      <c r="M55" s="426"/>
      <c r="N55" s="369"/>
    </row>
    <row r="56" spans="2:14" x14ac:dyDescent="0.25">
      <c r="B56" s="426"/>
      <c r="C56" s="426" t="s">
        <v>218</v>
      </c>
      <c r="D56" s="427">
        <f>+IF('03_CUADRYGRÁF.COMP.5 ÚLT.CAMP.'!J19&lt;&gt;0,'03_CUADRYGRÁF.COMP.5 ÚLT.CAMP.'!J19,NA())</f>
        <v>141.15647000000001</v>
      </c>
      <c r="E56" s="427">
        <f>+AVERAGE('03_CUADRYGRÁF.COMP.5 ÚLT.CAMP.'!F19:I19)</f>
        <v>150.88426000000001</v>
      </c>
      <c r="F56" s="426"/>
      <c r="G56" s="369"/>
      <c r="I56" s="369"/>
      <c r="J56" s="426" t="s">
        <v>218</v>
      </c>
      <c r="K56" s="427">
        <f>+IF('03_CUADRYGRÁF.COMP.5 ÚLT.CAMP.'!J53&lt;&gt;0,'03_CUADRYGRÁF.COMP.5 ÚLT.CAMP.'!J53,NA())</f>
        <v>289.67237</v>
      </c>
      <c r="L56" s="427">
        <f>+AVERAGE('03_CUADRYGRÁF.COMP.5 ÚLT.CAMP.'!F53:I53)</f>
        <v>328.33458499999995</v>
      </c>
      <c r="M56" s="426"/>
      <c r="N56" s="369"/>
    </row>
    <row r="57" spans="2:14" x14ac:dyDescent="0.25">
      <c r="B57" s="426"/>
      <c r="C57" s="426" t="s">
        <v>228</v>
      </c>
      <c r="D57" s="427">
        <f t="array" ref="D57">_xlfn.XLOOKUP(TRUE,NOT(ISERROR(D45:D56)),D45:D56,,,-1)</f>
        <v>141.15647000000001</v>
      </c>
      <c r="E57" s="427">
        <f>+_xlfn.XLOOKUP(D57,D45:D56,E45:E56)</f>
        <v>150.88426000000001</v>
      </c>
      <c r="F57" s="426"/>
      <c r="G57" s="369"/>
      <c r="I57" s="369"/>
      <c r="J57" s="426" t="s">
        <v>228</v>
      </c>
      <c r="K57" s="427">
        <f t="array" ref="K57">_xlfn.XLOOKUP(TRUE,NOT(ISERROR(K45:K56)),K45:K56,,,-1)</f>
        <v>289.67237</v>
      </c>
      <c r="L57" s="427">
        <f>+_xlfn.XLOOKUP(K57,K45:K56,L45:L56)</f>
        <v>328.33458499999995</v>
      </c>
      <c r="M57" s="426"/>
      <c r="N57" s="369"/>
    </row>
    <row r="58" spans="2:14" x14ac:dyDescent="0.25">
      <c r="B58" s="435"/>
      <c r="C58" s="435" t="s">
        <v>221</v>
      </c>
      <c r="D58" s="430">
        <f>+D57/E57-1</f>
        <v>-6.4471867377021264E-2</v>
      </c>
      <c r="E58" s="436"/>
      <c r="F58" s="436"/>
      <c r="G58" s="436"/>
      <c r="H58" s="436"/>
      <c r="I58" s="437" t="s">
        <v>224</v>
      </c>
      <c r="J58" s="437"/>
      <c r="K58" s="430">
        <f>+K57/L57-1</f>
        <v>-0.1177524901922834</v>
      </c>
    </row>
    <row r="60" spans="2:14" x14ac:dyDescent="0.25">
      <c r="B60" s="494" t="s">
        <v>229</v>
      </c>
      <c r="C60" s="494"/>
      <c r="D60" s="494"/>
      <c r="E60" s="494"/>
      <c r="F60" s="494"/>
      <c r="G60" s="494"/>
      <c r="I60" s="494" t="s">
        <v>201</v>
      </c>
      <c r="J60" s="494"/>
      <c r="K60" s="494"/>
      <c r="L60" s="494"/>
      <c r="M60" s="494"/>
      <c r="N60" s="494"/>
    </row>
    <row r="61" spans="2:14" x14ac:dyDescent="0.25">
      <c r="B61" s="495" t="s">
        <v>230</v>
      </c>
      <c r="C61" s="495"/>
      <c r="D61" s="495"/>
      <c r="E61" s="495"/>
      <c r="F61" s="495"/>
      <c r="G61" s="495"/>
      <c r="I61" s="495" t="s">
        <v>201</v>
      </c>
      <c r="J61" s="495"/>
      <c r="K61" s="495"/>
      <c r="L61" s="495"/>
      <c r="M61" s="495"/>
      <c r="N61" s="495"/>
    </row>
    <row r="62" spans="2:14" x14ac:dyDescent="0.25">
      <c r="B62" s="426"/>
      <c r="C62" s="426" t="s">
        <v>205</v>
      </c>
      <c r="D62" s="426" t="str">
        <f>+'04_CUADROS ACUMULADOS'!$H$7</f>
        <v>2024/25</v>
      </c>
      <c r="E62" s="426" t="s">
        <v>206</v>
      </c>
      <c r="F62" s="426"/>
      <c r="G62" s="369"/>
      <c r="I62" s="426"/>
      <c r="J62" s="426" t="s">
        <v>205</v>
      </c>
      <c r="K62" s="426" t="str">
        <f>+'04_CUADROS ACUMULADOS'!$H$7</f>
        <v>2024/25</v>
      </c>
      <c r="L62" s="426" t="s">
        <v>206</v>
      </c>
      <c r="M62" s="426"/>
      <c r="N62" s="369"/>
    </row>
    <row r="63" spans="2:14" x14ac:dyDescent="0.25">
      <c r="B63" s="426"/>
      <c r="C63" s="426" t="s">
        <v>207</v>
      </c>
      <c r="D63" s="427">
        <f>+IF('02_CUADRYGRÁF.COMP.ÚLT.5 CAMP.'!G76&lt;&gt;0,'02_CUADRYGRÁF.COMP.ÚLT.5 CAMP.'!G76,NA())</f>
        <v>98.686901540294201</v>
      </c>
      <c r="E63" s="427">
        <f>+AVERAGE('02_CUADRYGRÁF.COMP.ÚLT.5 CAMP.'!C76:F76)</f>
        <v>120.4684525</v>
      </c>
      <c r="F63" s="426"/>
      <c r="G63" s="369"/>
      <c r="I63" s="426"/>
      <c r="J63" s="426" t="s">
        <v>207</v>
      </c>
      <c r="K63" s="427">
        <f>+D63</f>
        <v>98.686901540294201</v>
      </c>
      <c r="L63" s="427">
        <f>+E63</f>
        <v>120.4684525</v>
      </c>
      <c r="M63" s="426"/>
      <c r="N63" s="369"/>
    </row>
    <row r="64" spans="2:14" x14ac:dyDescent="0.25">
      <c r="B64" s="426"/>
      <c r="C64" s="426" t="s">
        <v>208</v>
      </c>
      <c r="D64" s="427">
        <f>+IF('02_CUADRYGRÁF.COMP.ÚLT.5 CAMP.'!G77&lt;&gt;0,'02_CUADRYGRÁF.COMP.ÚLT.5 CAMP.'!G77,NA())</f>
        <v>100.37574736800954</v>
      </c>
      <c r="E64" s="427">
        <f>+AVERAGE('02_CUADRYGRÁF.COMP.ÚLT.5 CAMP.'!C77:F77)</f>
        <v>121.05364750000003</v>
      </c>
      <c r="F64" s="426"/>
      <c r="G64" s="369"/>
      <c r="I64" s="426"/>
      <c r="J64" s="426" t="s">
        <v>208</v>
      </c>
      <c r="K64" s="427">
        <f>+D64+K63</f>
        <v>199.06264890830374</v>
      </c>
      <c r="L64" s="427">
        <f>+E64+L63</f>
        <v>241.52210000000002</v>
      </c>
      <c r="M64" s="426"/>
      <c r="N64" s="369"/>
    </row>
    <row r="65" spans="2:14" x14ac:dyDescent="0.25">
      <c r="B65" s="426"/>
      <c r="C65" s="426" t="s">
        <v>209</v>
      </c>
      <c r="D65" s="427">
        <f>+IF('02_CUADRYGRÁF.COMP.ÚLT.5 CAMP.'!G78&lt;&gt;0,'02_CUADRYGRÁF.COMP.ÚLT.5 CAMP.'!G78,NA())</f>
        <v>123.94803995705321</v>
      </c>
      <c r="E65" s="427">
        <f>+AVERAGE('02_CUADRYGRÁF.COMP.ÚLT.5 CAMP.'!C78:F78)</f>
        <v>115.81257774999989</v>
      </c>
      <c r="F65" s="426"/>
      <c r="G65" s="369"/>
      <c r="I65" s="426"/>
      <c r="J65" s="426" t="s">
        <v>209</v>
      </c>
      <c r="K65" s="427">
        <f t="shared" ref="K65:L74" si="0">+D65+K64</f>
        <v>323.01068886535694</v>
      </c>
      <c r="L65" s="427">
        <f t="shared" si="0"/>
        <v>357.33467774999991</v>
      </c>
      <c r="M65" s="426"/>
      <c r="N65" s="369"/>
    </row>
    <row r="66" spans="2:14" x14ac:dyDescent="0.25">
      <c r="B66" s="426"/>
      <c r="C66" s="426" t="s">
        <v>210</v>
      </c>
      <c r="D66" s="427">
        <f>+IF('02_CUADRYGRÁF.COMP.ÚLT.5 CAMP.'!G79&lt;&gt;0,'02_CUADRYGRÁF.COMP.ÚLT.5 CAMP.'!G79,NA())</f>
        <v>138.7342841283608</v>
      </c>
      <c r="E66" s="427">
        <f>+AVERAGE('02_CUADRYGRÁF.COMP.ÚLT.5 CAMP.'!C79:F79)</f>
        <v>107.89782900000004</v>
      </c>
      <c r="F66" s="426"/>
      <c r="G66" s="369"/>
      <c r="I66" s="426"/>
      <c r="J66" s="426" t="s">
        <v>210</v>
      </c>
      <c r="K66" s="427">
        <f t="shared" si="0"/>
        <v>461.74497299371774</v>
      </c>
      <c r="L66" s="427">
        <f t="shared" si="0"/>
        <v>465.23250674999997</v>
      </c>
      <c r="M66" s="426"/>
      <c r="N66" s="369"/>
    </row>
    <row r="67" spans="2:14" x14ac:dyDescent="0.25">
      <c r="B67" s="426"/>
      <c r="C67" s="426" t="s">
        <v>211</v>
      </c>
      <c r="D67" s="427">
        <f>+IF('02_CUADRYGRÁF.COMP.ÚLT.5 CAMP.'!G80&lt;&gt;0,'02_CUADRYGRÁF.COMP.ÚLT.5 CAMP.'!G80,NA())</f>
        <v>131.19691664159112</v>
      </c>
      <c r="E67" s="427">
        <f>+AVERAGE('02_CUADRYGRÁF.COMP.ÚLT.5 CAMP.'!C80:F80)</f>
        <v>115.17154350000006</v>
      </c>
      <c r="F67" s="426"/>
      <c r="G67" s="369"/>
      <c r="I67" s="426"/>
      <c r="J67" s="426" t="s">
        <v>211</v>
      </c>
      <c r="K67" s="427">
        <f t="shared" si="0"/>
        <v>592.94188963530883</v>
      </c>
      <c r="L67" s="427">
        <f t="shared" si="0"/>
        <v>580.40405025000007</v>
      </c>
      <c r="M67" s="426"/>
      <c r="N67" s="369"/>
    </row>
    <row r="68" spans="2:14" x14ac:dyDescent="0.25">
      <c r="B68" s="426"/>
      <c r="C68" s="426" t="s">
        <v>212</v>
      </c>
      <c r="D68" s="427">
        <f>+IF('02_CUADRYGRÁF.COMP.ÚLT.5 CAMP.'!G81&lt;&gt;0,'02_CUADRYGRÁF.COMP.ÚLT.5 CAMP.'!G81,NA())</f>
        <v>140.58751383992004</v>
      </c>
      <c r="E68" s="427">
        <f>+AVERAGE('02_CUADRYGRÁF.COMP.ÚLT.5 CAMP.'!C81:F81)</f>
        <v>123.04332324999993</v>
      </c>
      <c r="F68" s="426"/>
      <c r="G68" s="369"/>
      <c r="I68" s="426"/>
      <c r="J68" s="426" t="s">
        <v>212</v>
      </c>
      <c r="K68" s="427">
        <f t="shared" si="0"/>
        <v>733.52940347522883</v>
      </c>
      <c r="L68" s="427">
        <f t="shared" si="0"/>
        <v>703.44737350000003</v>
      </c>
      <c r="M68" s="426"/>
      <c r="N68" s="369"/>
    </row>
    <row r="69" spans="2:14" x14ac:dyDescent="0.25">
      <c r="B69" s="426"/>
      <c r="C69" s="426" t="s">
        <v>213</v>
      </c>
      <c r="D69" s="427">
        <f>+IF('02_CUADRYGRÁF.COMP.ÚLT.5 CAMP.'!G82&lt;&gt;0,'02_CUADRYGRÁF.COMP.ÚLT.5 CAMP.'!G82,NA())</f>
        <v>134.45096611054521</v>
      </c>
      <c r="E69" s="427">
        <f>+AVERAGE('02_CUADRYGRÁF.COMP.ÚLT.5 CAMP.'!C82:F82)</f>
        <v>122.21407349999997</v>
      </c>
      <c r="F69" s="426"/>
      <c r="G69" s="369"/>
      <c r="I69" s="426"/>
      <c r="J69" s="426" t="s">
        <v>213</v>
      </c>
      <c r="K69" s="427">
        <f t="shared" si="0"/>
        <v>867.98036958577404</v>
      </c>
      <c r="L69" s="427">
        <f t="shared" si="0"/>
        <v>825.66144699999995</v>
      </c>
      <c r="M69" s="426"/>
      <c r="N69" s="369"/>
    </row>
    <row r="70" spans="2:14" x14ac:dyDescent="0.25">
      <c r="B70" s="426"/>
      <c r="C70" s="426" t="s">
        <v>214</v>
      </c>
      <c r="D70" s="427">
        <f>+IF('02_CUADRYGRÁF.COMP.ÚLT.5 CAMP.'!G83&lt;&gt;0,'02_CUADRYGRÁF.COMP.ÚLT.5 CAMP.'!G83,NA())</f>
        <v>136.20976383467274</v>
      </c>
      <c r="E70" s="427">
        <f>+AVERAGE('02_CUADRYGRÁF.COMP.ÚLT.5 CAMP.'!C83:F83)</f>
        <v>123.82243499999996</v>
      </c>
      <c r="F70" s="426"/>
      <c r="G70" s="369"/>
      <c r="I70" s="426"/>
      <c r="J70" s="426" t="s">
        <v>214</v>
      </c>
      <c r="K70" s="427">
        <f t="shared" si="0"/>
        <v>1004.1901334204467</v>
      </c>
      <c r="L70" s="427">
        <f t="shared" si="0"/>
        <v>949.48388199999988</v>
      </c>
      <c r="M70" s="426"/>
      <c r="N70" s="369"/>
    </row>
    <row r="71" spans="2:14" x14ac:dyDescent="0.25">
      <c r="B71" s="426"/>
      <c r="C71" s="426" t="s">
        <v>215</v>
      </c>
      <c r="D71" s="427">
        <f>+IF('02_CUADRYGRÁF.COMP.ÚLT.5 CAMP.'!G84&lt;&gt;0,'02_CUADRYGRÁF.COMP.ÚLT.5 CAMP.'!G84,NA())</f>
        <v>132.43856000000011</v>
      </c>
      <c r="E71" s="427">
        <f>+AVERAGE('02_CUADRYGRÁF.COMP.ÚLT.5 CAMP.'!C84:F84)</f>
        <v>115.61653300000005</v>
      </c>
      <c r="F71" s="426"/>
      <c r="G71" s="369"/>
      <c r="I71" s="426"/>
      <c r="J71" s="426" t="s">
        <v>215</v>
      </c>
      <c r="K71" s="427">
        <f t="shared" si="0"/>
        <v>1136.6286934204468</v>
      </c>
      <c r="L71" s="427">
        <f t="shared" si="0"/>
        <v>1065.1004149999999</v>
      </c>
      <c r="M71" s="426"/>
      <c r="N71" s="369"/>
    </row>
    <row r="72" spans="2:14" x14ac:dyDescent="0.25">
      <c r="B72" s="426"/>
      <c r="C72" s="426" t="s">
        <v>216</v>
      </c>
      <c r="D72" s="427">
        <f>+IF('02_CUADRYGRÁF.COMP.ÚLT.5 CAMP.'!G85&lt;&gt;0,'02_CUADRYGRÁF.COMP.ÚLT.5 CAMP.'!G85,NA())</f>
        <v>148.73317999999995</v>
      </c>
      <c r="E72" s="427">
        <f>+AVERAGE('02_CUADRYGRÁF.COMP.ÚLT.5 CAMP.'!C85:F85)</f>
        <v>107.51583549999998</v>
      </c>
      <c r="F72" s="426"/>
      <c r="G72" s="369"/>
      <c r="I72" s="426"/>
      <c r="J72" s="426" t="s">
        <v>216</v>
      </c>
      <c r="K72" s="427">
        <f t="shared" si="0"/>
        <v>1285.3618734204467</v>
      </c>
      <c r="L72" s="427">
        <f t="shared" si="0"/>
        <v>1172.6162504999998</v>
      </c>
      <c r="M72" s="426"/>
      <c r="N72" s="369"/>
    </row>
    <row r="73" spans="2:14" x14ac:dyDescent="0.25">
      <c r="B73" s="426"/>
      <c r="C73" s="426" t="s">
        <v>217</v>
      </c>
      <c r="D73" s="427">
        <f>+IF('02_CUADRYGRÁF.COMP.ÚLT.5 CAMP.'!G86&lt;&gt;0,'02_CUADRYGRÁF.COMP.ÚLT.5 CAMP.'!G86,NA())</f>
        <v>111.56365999999998</v>
      </c>
      <c r="E73" s="427">
        <f>+AVERAGE('02_CUADRYGRÁF.COMP.ÚLT.5 CAMP.'!C86:F86)</f>
        <v>100.79503825000005</v>
      </c>
      <c r="F73" s="426"/>
      <c r="G73" s="369"/>
      <c r="I73" s="426"/>
      <c r="J73" s="426" t="s">
        <v>217</v>
      </c>
      <c r="K73" s="427">
        <f t="shared" si="0"/>
        <v>1396.9255334204468</v>
      </c>
      <c r="L73" s="427">
        <f t="shared" si="0"/>
        <v>1273.4112887499998</v>
      </c>
      <c r="M73" s="426"/>
      <c r="N73" s="369"/>
    </row>
    <row r="74" spans="2:14" x14ac:dyDescent="0.25">
      <c r="B74" s="426"/>
      <c r="C74" s="426" t="s">
        <v>218</v>
      </c>
      <c r="D74" s="427">
        <f>+IF('02_CUADRYGRÁF.COMP.ÚLT.5 CAMP.'!G87&lt;&gt;0,'02_CUADRYGRÁF.COMP.ÚLT.5 CAMP.'!G87,NA())</f>
        <v>127.42450000000002</v>
      </c>
      <c r="E74" s="427">
        <f>+AVERAGE('02_CUADRYGRÁF.COMP.ÚLT.5 CAMP.'!C87:F87)</f>
        <v>117.33721800000001</v>
      </c>
      <c r="F74" s="426"/>
      <c r="G74" s="369"/>
      <c r="I74" s="426"/>
      <c r="J74" s="426" t="s">
        <v>218</v>
      </c>
      <c r="K74" s="427">
        <f t="shared" si="0"/>
        <v>1524.3500334204468</v>
      </c>
      <c r="L74" s="427">
        <f t="shared" si="0"/>
        <v>1390.7485067499997</v>
      </c>
      <c r="M74" s="426"/>
      <c r="N74" s="369"/>
    </row>
    <row r="75" spans="2:14" x14ac:dyDescent="0.25">
      <c r="B75" s="426"/>
      <c r="C75" s="426" t="s">
        <v>219</v>
      </c>
      <c r="D75" s="427">
        <f>SUMIF(D63:D74, "&lt;&gt;#N/D")</f>
        <v>1524.3500334204468</v>
      </c>
      <c r="E75" s="427">
        <f>SUMIF(D63:D74,"&lt;&gt;#N/D",E63:E74)</f>
        <v>1390.7485067499997</v>
      </c>
      <c r="F75" s="426"/>
      <c r="G75" s="369"/>
      <c r="I75" s="426"/>
      <c r="J75" s="426" t="s">
        <v>219</v>
      </c>
      <c r="K75" s="427">
        <f t="array" ref="K75">_xlfn.XLOOKUP(TRUE,NOT(ISERROR(K63:K74)),K63:K74,,,-1)</f>
        <v>1524.3500334204468</v>
      </c>
      <c r="L75" s="427">
        <f>+_xlfn.XLOOKUP(K75,K63:K74,L63:L74)</f>
        <v>1390.7485067499997</v>
      </c>
      <c r="M75" s="426"/>
      <c r="N75" s="369"/>
    </row>
    <row r="76" spans="2:14" x14ac:dyDescent="0.25">
      <c r="B76" s="434" t="s">
        <v>231</v>
      </c>
      <c r="C76" s="429"/>
      <c r="D76" s="438">
        <f>AVERAGEIF(D63:D74,"&lt;&gt;#N/D")</f>
        <v>127.02916945170391</v>
      </c>
      <c r="I76" s="434" t="s">
        <v>224</v>
      </c>
      <c r="J76" s="429"/>
      <c r="K76" s="430">
        <f>+K75/L75-1</f>
        <v>9.6064476087525552E-2</v>
      </c>
    </row>
    <row r="78" spans="2:14" ht="15.75" x14ac:dyDescent="0.25">
      <c r="B78" s="496" t="s">
        <v>121</v>
      </c>
      <c r="C78" s="496"/>
      <c r="D78" s="496"/>
      <c r="E78" s="496"/>
      <c r="F78" s="496"/>
      <c r="G78" s="496"/>
      <c r="H78" s="496"/>
      <c r="I78" s="496"/>
      <c r="J78" s="496"/>
      <c r="K78" s="496"/>
      <c r="L78" s="496"/>
      <c r="M78" s="496"/>
      <c r="N78" s="496"/>
    </row>
  </sheetData>
  <mergeCells count="17">
    <mergeCell ref="B2:N4"/>
    <mergeCell ref="B6:G6"/>
    <mergeCell ref="I6:N6"/>
    <mergeCell ref="I7:N7"/>
    <mergeCell ref="B24:G24"/>
    <mergeCell ref="I24:N24"/>
    <mergeCell ref="B25:G25"/>
    <mergeCell ref="I25:N25"/>
    <mergeCell ref="B42:G42"/>
    <mergeCell ref="I42:N42"/>
    <mergeCell ref="B43:G43"/>
    <mergeCell ref="I43:N43"/>
    <mergeCell ref="B60:G60"/>
    <mergeCell ref="I60:N60"/>
    <mergeCell ref="B61:G61"/>
    <mergeCell ref="I61:N61"/>
    <mergeCell ref="B78:N78"/>
  </mergeCells>
  <conditionalFormatting sqref="D76">
    <cfRule type="cellIs" dxfId="0" priority="1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48" orientation="portrait" horizontalDpi="4294967293" r:id="rId1"/>
  <headerFooter>
    <oddHeader>&amp;L&amp;G&amp;RCAMPAÑA: 2024/2025. MES: SEPTIEMBRE
Fecha de emisión de datos: 07/05/2026</oddHead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65"/>
  <sheetViews>
    <sheetView view="pageLayout" topLeftCell="B1" zoomScale="96" zoomScaleNormal="70" zoomScaleSheetLayoutView="115" zoomScalePageLayoutView="96" workbookViewId="0">
      <selection activeCell="C1" sqref="C1:L2"/>
    </sheetView>
  </sheetViews>
  <sheetFormatPr baseColWidth="10" defaultColWidth="11.42578125" defaultRowHeight="9" x14ac:dyDescent="0.25"/>
  <cols>
    <col min="1" max="1" width="7.42578125" style="2" customWidth="1"/>
    <col min="2" max="2" width="10.5703125" style="2" customWidth="1"/>
    <col min="3" max="3" width="25.28515625" style="2" customWidth="1"/>
    <col min="4" max="4" width="21.85546875" style="2" bestFit="1" customWidth="1"/>
    <col min="5" max="5" width="11.42578125" style="2" customWidth="1"/>
    <col min="6" max="6" width="13.140625" style="2" bestFit="1" customWidth="1"/>
    <col min="7" max="7" width="14.85546875" style="2" bestFit="1" customWidth="1"/>
    <col min="8" max="8" width="15.85546875" style="2" customWidth="1"/>
    <col min="9" max="9" width="15.140625" style="2" customWidth="1"/>
    <col min="10" max="10" width="11.42578125" style="2" bestFit="1" customWidth="1"/>
    <col min="11" max="11" width="12.5703125" style="2" customWidth="1"/>
    <col min="12" max="12" width="15.7109375" style="2" customWidth="1"/>
    <col min="13" max="13" width="3.42578125" style="2" customWidth="1"/>
    <col min="14" max="14" width="6.85546875" style="2" bestFit="1" customWidth="1"/>
    <col min="15" max="16384" width="11.42578125" style="2"/>
  </cols>
  <sheetData>
    <row r="1" spans="2:16" ht="3" customHeight="1" x14ac:dyDescent="0.25">
      <c r="C1" s="482" t="s">
        <v>122</v>
      </c>
      <c r="D1" s="482"/>
      <c r="E1" s="482"/>
      <c r="F1" s="482"/>
      <c r="G1" s="482"/>
      <c r="H1" s="482"/>
      <c r="I1" s="482"/>
      <c r="J1" s="482"/>
      <c r="K1" s="482"/>
      <c r="L1" s="482"/>
    </row>
    <row r="2" spans="2:16" ht="17.25" customHeight="1" x14ac:dyDescent="0.25">
      <c r="C2" s="482"/>
      <c r="D2" s="482"/>
      <c r="E2" s="482"/>
      <c r="F2" s="482"/>
      <c r="G2" s="482"/>
      <c r="H2" s="482"/>
      <c r="I2" s="482"/>
      <c r="J2" s="482"/>
      <c r="K2" s="482"/>
      <c r="L2" s="482"/>
    </row>
    <row r="3" spans="2:16" ht="6" customHeight="1" thickBot="1" x14ac:dyDescent="0.3">
      <c r="D3" s="11"/>
      <c r="E3" s="11"/>
      <c r="F3" s="11"/>
      <c r="G3" s="11"/>
      <c r="H3" s="11"/>
      <c r="I3" s="11"/>
      <c r="J3" s="11"/>
    </row>
    <row r="4" spans="2:16" ht="13.5" customHeight="1" x14ac:dyDescent="0.25">
      <c r="B4" s="3"/>
      <c r="C4" s="503" t="s">
        <v>54</v>
      </c>
      <c r="D4" s="506" t="s">
        <v>4</v>
      </c>
      <c r="E4" s="508" t="s">
        <v>0</v>
      </c>
      <c r="F4" s="509"/>
      <c r="G4" s="510"/>
      <c r="H4" s="514" t="s">
        <v>70</v>
      </c>
      <c r="I4" s="508" t="s">
        <v>1</v>
      </c>
      <c r="J4" s="510"/>
      <c r="K4" s="517" t="s">
        <v>2</v>
      </c>
      <c r="L4" s="517" t="s">
        <v>3</v>
      </c>
      <c r="M4" s="2" t="s">
        <v>148</v>
      </c>
    </row>
    <row r="5" spans="2:16" ht="7.5" customHeight="1" thickBot="1" x14ac:dyDescent="0.3">
      <c r="B5" s="3"/>
      <c r="C5" s="504"/>
      <c r="D5" s="506"/>
      <c r="E5" s="511"/>
      <c r="F5" s="512"/>
      <c r="G5" s="513"/>
      <c r="H5" s="515"/>
      <c r="I5" s="511"/>
      <c r="J5" s="513"/>
      <c r="K5" s="518"/>
      <c r="L5" s="518"/>
    </row>
    <row r="6" spans="2:16" ht="12.75" thickBot="1" x14ac:dyDescent="0.3">
      <c r="B6" s="3"/>
      <c r="C6" s="505"/>
      <c r="D6" s="507"/>
      <c r="E6" s="172" t="s">
        <v>69</v>
      </c>
      <c r="F6" s="172" t="s">
        <v>133</v>
      </c>
      <c r="G6" s="172" t="s">
        <v>132</v>
      </c>
      <c r="H6" s="516"/>
      <c r="I6" s="172" t="s">
        <v>71</v>
      </c>
      <c r="J6" s="173" t="s">
        <v>5</v>
      </c>
      <c r="K6" s="519"/>
      <c r="L6" s="519"/>
      <c r="O6" s="26"/>
      <c r="P6" s="26"/>
    </row>
    <row r="7" spans="2:16" ht="12" x14ac:dyDescent="0.25">
      <c r="B7" s="3"/>
      <c r="C7" s="497" t="s">
        <v>74</v>
      </c>
      <c r="D7" s="28" t="s">
        <v>80</v>
      </c>
      <c r="E7" s="198">
        <v>30</v>
      </c>
      <c r="F7" s="198">
        <v>28</v>
      </c>
      <c r="G7" s="199">
        <v>0.93333333333333335</v>
      </c>
      <c r="H7" s="73">
        <v>593.29999999999995</v>
      </c>
      <c r="I7" s="73">
        <v>4413.8999999999996</v>
      </c>
      <c r="J7" s="240">
        <v>0</v>
      </c>
      <c r="K7" s="240">
        <v>4754.6000000000004</v>
      </c>
      <c r="L7" s="221">
        <v>252.59999999999945</v>
      </c>
      <c r="N7" s="26"/>
      <c r="O7" s="26"/>
      <c r="P7" s="26"/>
    </row>
    <row r="8" spans="2:16" ht="12" x14ac:dyDescent="0.25">
      <c r="B8" s="3"/>
      <c r="C8" s="498"/>
      <c r="D8" s="119" t="s">
        <v>81</v>
      </c>
      <c r="E8" s="198">
        <v>20</v>
      </c>
      <c r="F8" s="198">
        <v>20</v>
      </c>
      <c r="G8" s="199">
        <v>1</v>
      </c>
      <c r="H8" s="73">
        <v>1068.8</v>
      </c>
      <c r="I8" s="73">
        <v>8416.9</v>
      </c>
      <c r="J8" s="240">
        <v>0</v>
      </c>
      <c r="K8" s="240">
        <v>9223.7000000000007</v>
      </c>
      <c r="L8" s="53">
        <v>261.99999999999818</v>
      </c>
      <c r="N8" s="26"/>
      <c r="O8" s="26"/>
      <c r="P8" s="26"/>
    </row>
    <row r="9" spans="2:16" ht="12" x14ac:dyDescent="0.25">
      <c r="B9" s="3"/>
      <c r="C9" s="498"/>
      <c r="D9" s="119" t="s">
        <v>82</v>
      </c>
      <c r="E9" s="198">
        <v>186</v>
      </c>
      <c r="F9" s="198">
        <v>181</v>
      </c>
      <c r="G9" s="199">
        <v>0.9731182795698925</v>
      </c>
      <c r="H9" s="73">
        <v>12563.3</v>
      </c>
      <c r="I9" s="73">
        <v>291821.09999999998</v>
      </c>
      <c r="J9" s="240">
        <v>22621.9</v>
      </c>
      <c r="K9" s="240">
        <v>307135.59999999998</v>
      </c>
      <c r="L9" s="53">
        <v>19870.700000000012</v>
      </c>
      <c r="N9" s="26"/>
      <c r="O9" s="26"/>
      <c r="P9" s="26"/>
    </row>
    <row r="10" spans="2:16" ht="12" x14ac:dyDescent="0.25">
      <c r="B10" s="3"/>
      <c r="C10" s="498"/>
      <c r="D10" s="119" t="s">
        <v>6</v>
      </c>
      <c r="E10" s="198">
        <v>106</v>
      </c>
      <c r="F10" s="198">
        <v>100</v>
      </c>
      <c r="G10" s="199">
        <v>0.94339622641509435</v>
      </c>
      <c r="H10" s="73">
        <v>3109.3</v>
      </c>
      <c r="I10" s="73">
        <v>124387.4</v>
      </c>
      <c r="J10" s="240">
        <v>3356.2</v>
      </c>
      <c r="K10" s="240">
        <v>114324.5</v>
      </c>
      <c r="L10" s="53">
        <v>16528.399999999994</v>
      </c>
      <c r="N10" s="26"/>
      <c r="O10" s="26"/>
      <c r="P10" s="26"/>
    </row>
    <row r="11" spans="2:16" ht="12" x14ac:dyDescent="0.25">
      <c r="B11" s="3"/>
      <c r="C11" s="498"/>
      <c r="D11" s="119" t="s">
        <v>7</v>
      </c>
      <c r="E11" s="198">
        <v>21</v>
      </c>
      <c r="F11" s="198">
        <v>20</v>
      </c>
      <c r="G11" s="199">
        <v>0.95238095238095233</v>
      </c>
      <c r="H11" s="73">
        <v>910.6</v>
      </c>
      <c r="I11" s="73">
        <v>8388</v>
      </c>
      <c r="J11" s="240">
        <v>481.6</v>
      </c>
      <c r="K11" s="240">
        <v>7883.7</v>
      </c>
      <c r="L11" s="53">
        <v>1896.5000000000009</v>
      </c>
      <c r="N11" s="26"/>
      <c r="O11" s="26"/>
      <c r="P11" s="26"/>
    </row>
    <row r="12" spans="2:16" ht="12" x14ac:dyDescent="0.25">
      <c r="B12" s="3"/>
      <c r="C12" s="498"/>
      <c r="D12" s="119" t="s">
        <v>83</v>
      </c>
      <c r="E12" s="198">
        <v>332</v>
      </c>
      <c r="F12" s="198">
        <v>325</v>
      </c>
      <c r="G12" s="199">
        <v>0.97891566265060237</v>
      </c>
      <c r="H12" s="73">
        <v>29637.5</v>
      </c>
      <c r="I12" s="73">
        <v>563094</v>
      </c>
      <c r="J12" s="240">
        <v>35458.199999999997</v>
      </c>
      <c r="K12" s="240">
        <v>550344.19999999995</v>
      </c>
      <c r="L12" s="53">
        <v>77845.5</v>
      </c>
      <c r="N12" s="26"/>
      <c r="O12" s="26"/>
      <c r="P12" s="26"/>
    </row>
    <row r="13" spans="2:16" ht="12" x14ac:dyDescent="0.25">
      <c r="B13" s="3"/>
      <c r="C13" s="498"/>
      <c r="D13" s="119" t="s">
        <v>84</v>
      </c>
      <c r="E13" s="198">
        <v>78</v>
      </c>
      <c r="F13" s="198">
        <v>78</v>
      </c>
      <c r="G13" s="199">
        <v>1</v>
      </c>
      <c r="H13" s="73">
        <v>1280.9000000000001</v>
      </c>
      <c r="I13" s="73">
        <v>35476.9</v>
      </c>
      <c r="J13" s="240">
        <v>26</v>
      </c>
      <c r="K13" s="240">
        <v>35605.800000000003</v>
      </c>
      <c r="L13" s="53">
        <v>1178</v>
      </c>
      <c r="N13" s="26"/>
      <c r="O13" s="26"/>
      <c r="P13" s="26"/>
    </row>
    <row r="14" spans="2:16" ht="12" x14ac:dyDescent="0.25">
      <c r="B14" s="3"/>
      <c r="C14" s="498"/>
      <c r="D14" s="32" t="s">
        <v>8</v>
      </c>
      <c r="E14" s="235">
        <v>92</v>
      </c>
      <c r="F14" s="235">
        <v>88</v>
      </c>
      <c r="G14" s="199">
        <v>0.95652173913043481</v>
      </c>
      <c r="H14" s="76">
        <v>5485.3</v>
      </c>
      <c r="I14" s="76">
        <v>111876.4</v>
      </c>
      <c r="J14" s="241">
        <v>1220.5</v>
      </c>
      <c r="K14" s="240">
        <v>114869.1</v>
      </c>
      <c r="L14" s="214">
        <v>3713.0999999999913</v>
      </c>
      <c r="N14" s="26"/>
      <c r="O14" s="26"/>
      <c r="P14" s="26"/>
    </row>
    <row r="15" spans="2:16" ht="12.75" thickBot="1" x14ac:dyDescent="0.3">
      <c r="B15" s="3"/>
      <c r="C15" s="499"/>
      <c r="D15" s="117" t="s">
        <v>72</v>
      </c>
      <c r="E15" s="84">
        <v>865</v>
      </c>
      <c r="F15" s="84">
        <v>840</v>
      </c>
      <c r="G15" s="81">
        <v>0.97109826589595372</v>
      </c>
      <c r="H15" s="180">
        <v>54649.000000000007</v>
      </c>
      <c r="I15" s="180">
        <v>1147874.5999999999</v>
      </c>
      <c r="J15" s="180">
        <v>63164.399999999994</v>
      </c>
      <c r="K15" s="82">
        <v>1144141.2</v>
      </c>
      <c r="L15" s="54">
        <v>121546.79999999981</v>
      </c>
      <c r="N15" s="26"/>
      <c r="O15" s="26"/>
      <c r="P15" s="26"/>
    </row>
    <row r="16" spans="2:16" ht="12" x14ac:dyDescent="0.25">
      <c r="B16" s="3"/>
      <c r="C16" s="497" t="s">
        <v>75</v>
      </c>
      <c r="D16" s="119" t="s">
        <v>10</v>
      </c>
      <c r="E16" s="198">
        <v>27</v>
      </c>
      <c r="F16" s="198">
        <v>27</v>
      </c>
      <c r="G16" s="199">
        <v>1</v>
      </c>
      <c r="H16" s="73">
        <v>92.8</v>
      </c>
      <c r="I16" s="73">
        <v>1821.5</v>
      </c>
      <c r="J16" s="74">
        <v>0</v>
      </c>
      <c r="K16" s="73">
        <v>1828.7</v>
      </c>
      <c r="L16" s="53">
        <v>85.599999999999909</v>
      </c>
      <c r="N16" s="26"/>
      <c r="O16" s="26"/>
      <c r="P16" s="26"/>
    </row>
    <row r="17" spans="2:16" ht="12" x14ac:dyDescent="0.25">
      <c r="B17" s="3"/>
      <c r="C17" s="498"/>
      <c r="D17" s="119" t="s">
        <v>11</v>
      </c>
      <c r="E17" s="198">
        <v>27</v>
      </c>
      <c r="F17" s="198">
        <v>27</v>
      </c>
      <c r="G17" s="199">
        <v>1</v>
      </c>
      <c r="H17" s="73">
        <v>1110.7</v>
      </c>
      <c r="I17" s="73">
        <v>1733</v>
      </c>
      <c r="J17" s="74">
        <v>0</v>
      </c>
      <c r="K17" s="73">
        <v>2617.1999999999998</v>
      </c>
      <c r="L17" s="53">
        <v>226.5</v>
      </c>
      <c r="N17" s="26"/>
      <c r="O17" s="26"/>
      <c r="P17" s="26"/>
    </row>
    <row r="18" spans="2:16" ht="12" x14ac:dyDescent="0.25">
      <c r="B18" s="3"/>
      <c r="C18" s="498"/>
      <c r="D18" s="32" t="s">
        <v>12</v>
      </c>
      <c r="E18" s="235">
        <v>42</v>
      </c>
      <c r="F18" s="235">
        <v>42</v>
      </c>
      <c r="G18" s="199">
        <v>1</v>
      </c>
      <c r="H18" s="76">
        <v>383.2</v>
      </c>
      <c r="I18" s="76">
        <v>3920.1</v>
      </c>
      <c r="J18" s="77">
        <v>0</v>
      </c>
      <c r="K18" s="73">
        <v>3690.2</v>
      </c>
      <c r="L18" s="214">
        <v>613.10000000000036</v>
      </c>
      <c r="N18" s="26"/>
      <c r="O18" s="26"/>
      <c r="P18" s="26"/>
    </row>
    <row r="19" spans="2:16" ht="12.75" thickBot="1" x14ac:dyDescent="0.3">
      <c r="B19" s="3"/>
      <c r="C19" s="499"/>
      <c r="D19" s="117" t="s">
        <v>9</v>
      </c>
      <c r="E19" s="242">
        <v>96</v>
      </c>
      <c r="F19" s="242">
        <v>96</v>
      </c>
      <c r="G19" s="81">
        <v>1</v>
      </c>
      <c r="H19" s="180">
        <v>1586.7</v>
      </c>
      <c r="I19" s="180">
        <v>7474.6</v>
      </c>
      <c r="J19" s="180">
        <v>0</v>
      </c>
      <c r="K19" s="82">
        <v>8136.0999999999995</v>
      </c>
      <c r="L19" s="215">
        <v>925.20000000000164</v>
      </c>
      <c r="N19" s="26"/>
      <c r="O19" s="26"/>
      <c r="P19" s="26"/>
    </row>
    <row r="20" spans="2:16" ht="12" x14ac:dyDescent="0.25">
      <c r="B20" s="3"/>
      <c r="C20" s="497" t="s">
        <v>13</v>
      </c>
      <c r="D20" s="40" t="s">
        <v>13</v>
      </c>
      <c r="E20" s="236">
        <v>25</v>
      </c>
      <c r="F20" s="236">
        <v>23</v>
      </c>
      <c r="G20" s="243">
        <v>0.92</v>
      </c>
      <c r="H20" s="181">
        <v>68.5</v>
      </c>
      <c r="I20" s="181">
        <v>245</v>
      </c>
      <c r="J20" s="89">
        <v>0</v>
      </c>
      <c r="K20" s="181">
        <v>302.5</v>
      </c>
      <c r="L20" s="218">
        <v>11</v>
      </c>
      <c r="N20" s="26"/>
      <c r="O20" s="26"/>
      <c r="P20" s="26"/>
    </row>
    <row r="21" spans="2:16" ht="12.75" thickBot="1" x14ac:dyDescent="0.3">
      <c r="B21" s="3"/>
      <c r="C21" s="499"/>
      <c r="D21" s="117" t="s">
        <v>9</v>
      </c>
      <c r="E21" s="242">
        <v>25</v>
      </c>
      <c r="F21" s="242">
        <v>23</v>
      </c>
      <c r="G21" s="244">
        <v>0.92</v>
      </c>
      <c r="H21" s="180">
        <v>68.5</v>
      </c>
      <c r="I21" s="180">
        <v>245</v>
      </c>
      <c r="J21" s="180">
        <v>0</v>
      </c>
      <c r="K21" s="180">
        <v>302.5</v>
      </c>
      <c r="L21" s="215">
        <v>11</v>
      </c>
      <c r="N21" s="26"/>
      <c r="O21" s="26"/>
      <c r="P21" s="26"/>
    </row>
    <row r="22" spans="2:16" ht="12" x14ac:dyDescent="0.25">
      <c r="B22" s="3"/>
      <c r="C22" s="500" t="s">
        <v>87</v>
      </c>
      <c r="D22" s="119" t="s">
        <v>14</v>
      </c>
      <c r="E22" s="245">
        <v>44</v>
      </c>
      <c r="F22" s="245">
        <v>43</v>
      </c>
      <c r="G22" s="185">
        <v>0.97727272727272729</v>
      </c>
      <c r="H22" s="73">
        <v>312.60000000000002</v>
      </c>
      <c r="I22" s="73">
        <v>3776.7</v>
      </c>
      <c r="J22" s="74">
        <v>0</v>
      </c>
      <c r="K22" s="73">
        <v>3814</v>
      </c>
      <c r="L22" s="53">
        <v>275.29999999999973</v>
      </c>
      <c r="N22" s="26"/>
      <c r="O22" s="26"/>
      <c r="P22" s="26"/>
    </row>
    <row r="23" spans="2:16" ht="12" x14ac:dyDescent="0.25">
      <c r="B23" s="3"/>
      <c r="C23" s="501"/>
      <c r="D23" s="119" t="s">
        <v>85</v>
      </c>
      <c r="E23" s="245">
        <v>46</v>
      </c>
      <c r="F23" s="245">
        <v>44</v>
      </c>
      <c r="G23" s="185">
        <v>0.95652173913043481</v>
      </c>
      <c r="H23" s="73">
        <v>511.8</v>
      </c>
      <c r="I23" s="73">
        <v>255</v>
      </c>
      <c r="J23" s="74">
        <v>0</v>
      </c>
      <c r="K23" s="73">
        <v>742.5</v>
      </c>
      <c r="L23" s="53">
        <v>24.299999999999955</v>
      </c>
      <c r="N23" s="26"/>
      <c r="O23" s="26"/>
      <c r="P23" s="26"/>
    </row>
    <row r="24" spans="2:16" ht="12" x14ac:dyDescent="0.25">
      <c r="B24" s="3"/>
      <c r="C24" s="501"/>
      <c r="D24" s="32" t="s">
        <v>15</v>
      </c>
      <c r="E24" s="246">
        <v>52</v>
      </c>
      <c r="F24" s="246">
        <v>52</v>
      </c>
      <c r="G24" s="203">
        <v>1</v>
      </c>
      <c r="H24" s="76">
        <v>305.5</v>
      </c>
      <c r="I24" s="76">
        <v>1121.2</v>
      </c>
      <c r="J24" s="77">
        <v>0</v>
      </c>
      <c r="K24" s="76">
        <v>1328.4</v>
      </c>
      <c r="L24" s="214">
        <v>98.299999999999955</v>
      </c>
      <c r="N24" s="26"/>
      <c r="O24" s="26"/>
      <c r="P24" s="26"/>
    </row>
    <row r="25" spans="2:16" ht="12.75" thickBot="1" x14ac:dyDescent="0.3">
      <c r="B25" s="3"/>
      <c r="C25" s="502"/>
      <c r="D25" s="117" t="s">
        <v>9</v>
      </c>
      <c r="E25" s="247">
        <v>142</v>
      </c>
      <c r="F25" s="242">
        <v>139</v>
      </c>
      <c r="G25" s="244">
        <v>0.97887323943661975</v>
      </c>
      <c r="H25" s="180">
        <v>1129.9000000000001</v>
      </c>
      <c r="I25" s="180">
        <v>5152.8999999999996</v>
      </c>
      <c r="J25" s="180">
        <v>0</v>
      </c>
      <c r="K25" s="180">
        <v>5884.9</v>
      </c>
      <c r="L25" s="215">
        <v>397.89999999999964</v>
      </c>
      <c r="N25" s="26"/>
      <c r="O25" s="26"/>
      <c r="P25" s="26"/>
    </row>
    <row r="26" spans="2:16" ht="12" x14ac:dyDescent="0.25">
      <c r="B26" s="3"/>
      <c r="C26" s="500" t="s">
        <v>153</v>
      </c>
      <c r="D26" s="119" t="s">
        <v>154</v>
      </c>
      <c r="E26" s="245">
        <v>2</v>
      </c>
      <c r="F26" s="245">
        <v>2</v>
      </c>
      <c r="G26" s="288">
        <v>1</v>
      </c>
      <c r="H26" s="73">
        <v>0</v>
      </c>
      <c r="I26" s="73">
        <v>0</v>
      </c>
      <c r="J26" s="73">
        <v>0</v>
      </c>
      <c r="K26" s="73">
        <v>0</v>
      </c>
      <c r="L26" s="53">
        <v>0</v>
      </c>
      <c r="N26" s="26"/>
      <c r="O26" s="26"/>
      <c r="P26" s="26"/>
    </row>
    <row r="27" spans="2:16" ht="12" x14ac:dyDescent="0.25">
      <c r="B27" s="3"/>
      <c r="C27" s="501"/>
      <c r="D27" s="32" t="s">
        <v>155</v>
      </c>
      <c r="E27" s="245">
        <v>2</v>
      </c>
      <c r="F27" s="245">
        <v>2</v>
      </c>
      <c r="G27" s="288">
        <v>1</v>
      </c>
      <c r="H27" s="73">
        <v>0</v>
      </c>
      <c r="I27" s="73">
        <v>1.4</v>
      </c>
      <c r="J27" s="73">
        <v>0</v>
      </c>
      <c r="K27" s="73">
        <v>1.4</v>
      </c>
      <c r="L27" s="53">
        <v>0</v>
      </c>
      <c r="N27" s="26"/>
      <c r="O27" s="26"/>
      <c r="P27" s="26"/>
    </row>
    <row r="28" spans="2:16" ht="12.75" thickBot="1" x14ac:dyDescent="0.3">
      <c r="B28" s="3"/>
      <c r="C28" s="501"/>
      <c r="D28" s="117" t="s">
        <v>9</v>
      </c>
      <c r="E28" s="277">
        <v>4</v>
      </c>
      <c r="F28" s="201">
        <v>4</v>
      </c>
      <c r="G28" s="278">
        <v>1</v>
      </c>
      <c r="H28" s="217">
        <v>0</v>
      </c>
      <c r="I28" s="217">
        <v>1.4</v>
      </c>
      <c r="J28" s="217">
        <v>0</v>
      </c>
      <c r="K28" s="217">
        <v>1.4</v>
      </c>
      <c r="L28" s="216">
        <v>0</v>
      </c>
      <c r="N28" s="26"/>
      <c r="O28" s="26"/>
      <c r="P28" s="26"/>
    </row>
    <row r="29" spans="2:16" ht="12" x14ac:dyDescent="0.25">
      <c r="B29" s="3"/>
      <c r="C29" s="497" t="s">
        <v>73</v>
      </c>
      <c r="D29" s="119" t="s">
        <v>16</v>
      </c>
      <c r="E29" s="245">
        <v>40</v>
      </c>
      <c r="F29" s="245">
        <v>39</v>
      </c>
      <c r="G29" s="185">
        <v>0.97499999999999998</v>
      </c>
      <c r="H29" s="73">
        <v>1480.9</v>
      </c>
      <c r="I29" s="73">
        <v>10327.299999999999</v>
      </c>
      <c r="J29" s="74">
        <v>172.9</v>
      </c>
      <c r="K29" s="73">
        <v>10796.7</v>
      </c>
      <c r="L29" s="53">
        <v>1184.3999999999978</v>
      </c>
      <c r="N29" s="26"/>
      <c r="O29" s="26"/>
      <c r="P29" s="26"/>
    </row>
    <row r="30" spans="2:16" ht="12" x14ac:dyDescent="0.25">
      <c r="B30" s="3"/>
      <c r="C30" s="498"/>
      <c r="D30" s="119" t="s">
        <v>17</v>
      </c>
      <c r="E30" s="245">
        <v>79</v>
      </c>
      <c r="F30" s="245">
        <v>77</v>
      </c>
      <c r="G30" s="185">
        <v>0.97468354430379744</v>
      </c>
      <c r="H30" s="73">
        <v>7141.3</v>
      </c>
      <c r="I30" s="73">
        <v>72785.100000000006</v>
      </c>
      <c r="J30" s="74">
        <v>2088.4</v>
      </c>
      <c r="K30" s="73">
        <v>77146.5</v>
      </c>
      <c r="L30" s="53">
        <v>4868.3000000000029</v>
      </c>
      <c r="N30" s="26"/>
      <c r="O30" s="26"/>
      <c r="P30" s="26"/>
    </row>
    <row r="31" spans="2:16" ht="12" x14ac:dyDescent="0.25">
      <c r="B31" s="3"/>
      <c r="C31" s="498"/>
      <c r="D31" s="119" t="s">
        <v>18</v>
      </c>
      <c r="E31" s="245">
        <v>26</v>
      </c>
      <c r="F31" s="245">
        <v>26</v>
      </c>
      <c r="G31" s="185">
        <v>1</v>
      </c>
      <c r="H31" s="73">
        <v>511.5</v>
      </c>
      <c r="I31" s="73">
        <v>5218.6000000000004</v>
      </c>
      <c r="J31" s="74">
        <v>0</v>
      </c>
      <c r="K31" s="73">
        <v>4914.3999999999996</v>
      </c>
      <c r="L31" s="53">
        <v>815.70000000000073</v>
      </c>
      <c r="N31" s="26"/>
      <c r="O31" s="26"/>
      <c r="P31" s="26"/>
    </row>
    <row r="32" spans="2:16" ht="12" x14ac:dyDescent="0.25">
      <c r="B32" s="3"/>
      <c r="C32" s="498"/>
      <c r="D32" s="119" t="s">
        <v>50</v>
      </c>
      <c r="E32" s="245">
        <v>8</v>
      </c>
      <c r="F32" s="245">
        <v>7</v>
      </c>
      <c r="G32" s="185">
        <v>0.875</v>
      </c>
      <c r="H32" s="73">
        <v>127.4</v>
      </c>
      <c r="I32" s="73">
        <v>2301.6</v>
      </c>
      <c r="J32" s="74">
        <v>0</v>
      </c>
      <c r="K32" s="73">
        <v>1923.2</v>
      </c>
      <c r="L32" s="53">
        <v>505.79999999999995</v>
      </c>
      <c r="N32" s="26"/>
      <c r="O32" s="26"/>
      <c r="P32" s="26"/>
    </row>
    <row r="33" spans="2:16" ht="12" x14ac:dyDescent="0.25">
      <c r="B33" s="3"/>
      <c r="C33" s="498"/>
      <c r="D33" s="32" t="s">
        <v>19</v>
      </c>
      <c r="E33" s="246">
        <v>110</v>
      </c>
      <c r="F33" s="246">
        <v>111</v>
      </c>
      <c r="G33" s="203">
        <v>1.009090909090909</v>
      </c>
      <c r="H33" s="76">
        <v>4740</v>
      </c>
      <c r="I33" s="76">
        <v>56001.2</v>
      </c>
      <c r="J33" s="77">
        <v>1282</v>
      </c>
      <c r="K33" s="76">
        <v>59028.800000000003</v>
      </c>
      <c r="L33" s="214">
        <v>2994.3999999999942</v>
      </c>
      <c r="N33" s="26"/>
      <c r="O33" s="26"/>
      <c r="P33" s="26"/>
    </row>
    <row r="34" spans="2:16" ht="12.75" thickBot="1" x14ac:dyDescent="0.3">
      <c r="B34" s="3"/>
      <c r="C34" s="499"/>
      <c r="D34" s="117" t="s">
        <v>9</v>
      </c>
      <c r="E34" s="247">
        <v>263</v>
      </c>
      <c r="F34" s="242">
        <v>260</v>
      </c>
      <c r="G34" s="244">
        <v>0.98859315589353614</v>
      </c>
      <c r="H34" s="180">
        <v>14001.1</v>
      </c>
      <c r="I34" s="180">
        <v>146633.80000000002</v>
      </c>
      <c r="J34" s="180">
        <v>3543.3</v>
      </c>
      <c r="K34" s="180">
        <v>153809.59999999998</v>
      </c>
      <c r="L34" s="215">
        <v>10368.600000000035</v>
      </c>
      <c r="N34" s="26"/>
      <c r="O34" s="26"/>
      <c r="P34" s="26"/>
    </row>
    <row r="35" spans="2:16" ht="12" x14ac:dyDescent="0.25">
      <c r="B35" s="3"/>
      <c r="C35" s="497" t="s">
        <v>76</v>
      </c>
      <c r="D35" s="119" t="s">
        <v>78</v>
      </c>
      <c r="E35" s="245">
        <v>11</v>
      </c>
      <c r="F35" s="245">
        <v>11</v>
      </c>
      <c r="G35" s="185">
        <v>1</v>
      </c>
      <c r="H35" s="73">
        <v>21.6</v>
      </c>
      <c r="I35" s="73">
        <v>806.2</v>
      </c>
      <c r="J35" s="74">
        <v>0</v>
      </c>
      <c r="K35" s="73">
        <v>819.4</v>
      </c>
      <c r="L35" s="53">
        <v>8.4000000000000909</v>
      </c>
      <c r="N35" s="26"/>
      <c r="O35" s="26"/>
      <c r="P35" s="26"/>
    </row>
    <row r="36" spans="2:16" ht="12" x14ac:dyDescent="0.25">
      <c r="B36" s="3"/>
      <c r="C36" s="498"/>
      <c r="D36" s="119" t="s">
        <v>20</v>
      </c>
      <c r="E36" s="245">
        <v>5</v>
      </c>
      <c r="F36" s="245">
        <v>4</v>
      </c>
      <c r="G36" s="185">
        <v>0.8</v>
      </c>
      <c r="H36" s="73">
        <v>3.2</v>
      </c>
      <c r="I36" s="73">
        <v>206.3</v>
      </c>
      <c r="J36" s="74">
        <v>0</v>
      </c>
      <c r="K36" s="73">
        <v>206</v>
      </c>
      <c r="L36" s="53">
        <v>3.5</v>
      </c>
      <c r="N36" s="26"/>
      <c r="O36" s="26"/>
      <c r="P36" s="26"/>
    </row>
    <row r="37" spans="2:16" ht="12" x14ac:dyDescent="0.25">
      <c r="B37" s="3"/>
      <c r="C37" s="498"/>
      <c r="D37" s="119" t="s">
        <v>151</v>
      </c>
      <c r="E37" s="245">
        <v>1</v>
      </c>
      <c r="F37" s="245">
        <v>1</v>
      </c>
      <c r="G37" s="185">
        <v>1</v>
      </c>
      <c r="H37" s="73">
        <v>0</v>
      </c>
      <c r="I37" s="73">
        <v>0.4</v>
      </c>
      <c r="J37" s="74">
        <v>0</v>
      </c>
      <c r="K37" s="73">
        <v>0.4</v>
      </c>
      <c r="L37" s="53">
        <v>0</v>
      </c>
      <c r="N37" s="26"/>
      <c r="O37" s="26"/>
      <c r="P37" s="26"/>
    </row>
    <row r="38" spans="2:16" ht="12" x14ac:dyDescent="0.25">
      <c r="B38" s="3"/>
      <c r="C38" s="498"/>
      <c r="D38" s="32" t="s">
        <v>21</v>
      </c>
      <c r="E38" s="246">
        <v>3</v>
      </c>
      <c r="F38" s="246">
        <v>3</v>
      </c>
      <c r="G38" s="203">
        <v>1</v>
      </c>
      <c r="H38" s="76">
        <v>45.3</v>
      </c>
      <c r="I38" s="76">
        <v>414.6</v>
      </c>
      <c r="J38" s="77">
        <v>0</v>
      </c>
      <c r="K38" s="73">
        <v>321.7</v>
      </c>
      <c r="L38" s="57">
        <v>138.20000000000005</v>
      </c>
      <c r="N38" s="26"/>
      <c r="O38" s="26"/>
      <c r="P38" s="26"/>
    </row>
    <row r="39" spans="2:16" ht="12.75" thickBot="1" x14ac:dyDescent="0.3">
      <c r="B39" s="3"/>
      <c r="C39" s="499"/>
      <c r="D39" s="117" t="s">
        <v>9</v>
      </c>
      <c r="E39" s="247">
        <v>20</v>
      </c>
      <c r="F39" s="242">
        <v>19</v>
      </c>
      <c r="G39" s="244">
        <v>0.95</v>
      </c>
      <c r="H39" s="180">
        <v>70.099999999999994</v>
      </c>
      <c r="I39" s="180">
        <v>1427.5</v>
      </c>
      <c r="J39" s="180">
        <v>0</v>
      </c>
      <c r="K39" s="82">
        <v>1347.5000000000002</v>
      </c>
      <c r="L39" s="215">
        <v>150.09999999999968</v>
      </c>
      <c r="N39" s="26"/>
      <c r="O39" s="26"/>
      <c r="P39" s="26"/>
    </row>
    <row r="40" spans="2:16" ht="12" x14ac:dyDescent="0.25">
      <c r="B40" s="3"/>
      <c r="C40" s="497" t="s">
        <v>22</v>
      </c>
      <c r="D40" s="119" t="s">
        <v>23</v>
      </c>
      <c r="E40" s="245">
        <v>13</v>
      </c>
      <c r="F40" s="245">
        <v>11</v>
      </c>
      <c r="G40" s="185">
        <v>0.84615384615384615</v>
      </c>
      <c r="H40" s="74">
        <v>3.3</v>
      </c>
      <c r="I40" s="74">
        <v>652.5</v>
      </c>
      <c r="J40" s="74">
        <v>0</v>
      </c>
      <c r="K40" s="73">
        <v>643.4</v>
      </c>
      <c r="L40" s="56">
        <v>12.399999999999977</v>
      </c>
      <c r="N40" s="26"/>
      <c r="O40" s="26"/>
      <c r="P40" s="26"/>
    </row>
    <row r="41" spans="2:16" ht="12" x14ac:dyDescent="0.25">
      <c r="B41" s="3"/>
      <c r="C41" s="498"/>
      <c r="D41" s="119" t="s">
        <v>24</v>
      </c>
      <c r="E41" s="245">
        <v>13</v>
      </c>
      <c r="F41" s="245">
        <v>13</v>
      </c>
      <c r="G41" s="185">
        <v>1</v>
      </c>
      <c r="H41" s="74">
        <v>9.1999999999999993</v>
      </c>
      <c r="I41" s="74">
        <v>536.20000000000005</v>
      </c>
      <c r="J41" s="74">
        <v>0</v>
      </c>
      <c r="K41" s="73">
        <v>525.79999999999995</v>
      </c>
      <c r="L41" s="56">
        <v>19.600000000000136</v>
      </c>
      <c r="N41" s="26"/>
      <c r="O41" s="26"/>
      <c r="P41" s="26"/>
    </row>
    <row r="42" spans="2:16" ht="12" x14ac:dyDescent="0.25">
      <c r="B42" s="3"/>
      <c r="C42" s="498"/>
      <c r="D42" s="119" t="s">
        <v>25</v>
      </c>
      <c r="E42" s="245">
        <v>57</v>
      </c>
      <c r="F42" s="245">
        <v>57</v>
      </c>
      <c r="G42" s="185">
        <v>1</v>
      </c>
      <c r="H42" s="74">
        <v>290.8</v>
      </c>
      <c r="I42" s="74">
        <v>8447.2000000000007</v>
      </c>
      <c r="J42" s="74">
        <v>0</v>
      </c>
      <c r="K42" s="74">
        <v>8434.7000000000007</v>
      </c>
      <c r="L42" s="56">
        <v>303.29999999999927</v>
      </c>
      <c r="N42" s="26"/>
      <c r="O42" s="26"/>
      <c r="P42" s="26"/>
    </row>
    <row r="43" spans="2:16" ht="12" x14ac:dyDescent="0.25">
      <c r="B43" s="3"/>
      <c r="C43" s="498"/>
      <c r="D43" s="32" t="s">
        <v>26</v>
      </c>
      <c r="E43" s="246">
        <v>94</v>
      </c>
      <c r="F43" s="246">
        <v>87</v>
      </c>
      <c r="G43" s="203">
        <v>0.92553191489361697</v>
      </c>
      <c r="H43" s="77">
        <v>985.3</v>
      </c>
      <c r="I43" s="77">
        <v>5685.5</v>
      </c>
      <c r="J43" s="77">
        <v>50.2</v>
      </c>
      <c r="K43" s="77">
        <v>6255.4</v>
      </c>
      <c r="L43" s="57">
        <v>465.60000000000036</v>
      </c>
      <c r="N43" s="26"/>
      <c r="O43" s="26"/>
      <c r="P43" s="26"/>
    </row>
    <row r="44" spans="2:16" ht="12.75" thickBot="1" x14ac:dyDescent="0.3">
      <c r="B44" s="3"/>
      <c r="C44" s="499"/>
      <c r="D44" s="117" t="s">
        <v>9</v>
      </c>
      <c r="E44" s="247">
        <v>177</v>
      </c>
      <c r="F44" s="242">
        <v>168</v>
      </c>
      <c r="G44" s="244">
        <v>0.94915254237288138</v>
      </c>
      <c r="H44" s="180">
        <v>1288.5999999999999</v>
      </c>
      <c r="I44" s="180">
        <v>15321.400000000001</v>
      </c>
      <c r="J44" s="180">
        <v>50.2</v>
      </c>
      <c r="K44" s="180">
        <v>15859.300000000001</v>
      </c>
      <c r="L44" s="215">
        <v>800.89999999999964</v>
      </c>
      <c r="N44" s="26"/>
      <c r="O44" s="26"/>
      <c r="P44" s="26"/>
    </row>
    <row r="45" spans="2:16" ht="12" x14ac:dyDescent="0.25">
      <c r="B45" s="3"/>
      <c r="C45" s="497" t="s">
        <v>27</v>
      </c>
      <c r="D45" s="28" t="s">
        <v>28</v>
      </c>
      <c r="E45" s="245">
        <v>87</v>
      </c>
      <c r="F45" s="245">
        <v>87</v>
      </c>
      <c r="G45" s="234">
        <v>1</v>
      </c>
      <c r="H45" s="74">
        <v>2631.7</v>
      </c>
      <c r="I45" s="74">
        <v>70752.3</v>
      </c>
      <c r="J45" s="72">
        <v>931.5</v>
      </c>
      <c r="K45" s="74">
        <v>72066.899999999994</v>
      </c>
      <c r="L45" s="55">
        <v>2248.6000000000058</v>
      </c>
      <c r="N45" s="26"/>
      <c r="O45" s="26"/>
      <c r="P45" s="26"/>
    </row>
    <row r="46" spans="2:16" ht="12" customHeight="1" x14ac:dyDescent="0.25">
      <c r="B46" s="3"/>
      <c r="C46" s="498"/>
      <c r="D46" s="32" t="s">
        <v>79</v>
      </c>
      <c r="E46" s="248">
        <v>46</v>
      </c>
      <c r="F46" s="246">
        <v>46</v>
      </c>
      <c r="G46" s="203">
        <v>1</v>
      </c>
      <c r="H46" s="77">
        <v>603.29999999999995</v>
      </c>
      <c r="I46" s="77">
        <v>7170.4</v>
      </c>
      <c r="J46" s="77">
        <v>0</v>
      </c>
      <c r="K46" s="77">
        <v>7418.7</v>
      </c>
      <c r="L46" s="57">
        <v>355</v>
      </c>
      <c r="N46" s="26"/>
      <c r="O46" s="26"/>
      <c r="P46" s="26"/>
    </row>
    <row r="47" spans="2:16" ht="12.75" thickBot="1" x14ac:dyDescent="0.3">
      <c r="B47" s="3"/>
      <c r="C47" s="499"/>
      <c r="D47" s="117" t="s">
        <v>9</v>
      </c>
      <c r="E47" s="247">
        <v>133</v>
      </c>
      <c r="F47" s="242">
        <v>133</v>
      </c>
      <c r="G47" s="244">
        <v>1</v>
      </c>
      <c r="H47" s="180">
        <v>3235</v>
      </c>
      <c r="I47" s="180">
        <v>77922.7</v>
      </c>
      <c r="J47" s="180">
        <v>931.5</v>
      </c>
      <c r="K47" s="180">
        <v>79485.599999999991</v>
      </c>
      <c r="L47" s="215">
        <v>2603.6000000000058</v>
      </c>
      <c r="N47" s="26"/>
      <c r="O47" s="26"/>
      <c r="P47" s="26"/>
    </row>
    <row r="48" spans="2:16" ht="12" x14ac:dyDescent="0.25">
      <c r="B48" s="3"/>
      <c r="C48" s="497" t="s">
        <v>29</v>
      </c>
      <c r="D48" s="40" t="s">
        <v>30</v>
      </c>
      <c r="E48" s="236">
        <v>3</v>
      </c>
      <c r="F48" s="236">
        <v>3</v>
      </c>
      <c r="G48" s="210">
        <v>1</v>
      </c>
      <c r="H48" s="89">
        <v>4.0999999999999996</v>
      </c>
      <c r="I48" s="89">
        <v>7.4</v>
      </c>
      <c r="J48" s="89">
        <v>0</v>
      </c>
      <c r="K48" s="89">
        <v>7.7</v>
      </c>
      <c r="L48" s="58">
        <v>3.8</v>
      </c>
      <c r="N48" s="26"/>
      <c r="O48" s="26"/>
      <c r="P48" s="26"/>
    </row>
    <row r="49" spans="2:16" ht="12.75" thickBot="1" x14ac:dyDescent="0.3">
      <c r="B49" s="3"/>
      <c r="C49" s="499"/>
      <c r="D49" s="117" t="s">
        <v>9</v>
      </c>
      <c r="E49" s="242">
        <v>3</v>
      </c>
      <c r="F49" s="242">
        <v>3</v>
      </c>
      <c r="G49" s="244">
        <v>1</v>
      </c>
      <c r="H49" s="180">
        <v>4.0999999999999996</v>
      </c>
      <c r="I49" s="180">
        <v>7.4</v>
      </c>
      <c r="J49" s="180">
        <v>0</v>
      </c>
      <c r="K49" s="180">
        <v>7.7</v>
      </c>
      <c r="L49" s="215">
        <v>3.8</v>
      </c>
      <c r="N49" s="26"/>
      <c r="O49" s="26"/>
      <c r="P49" s="26"/>
    </row>
    <row r="50" spans="2:16" ht="12" x14ac:dyDescent="0.25">
      <c r="B50" s="3"/>
      <c r="C50" s="497" t="s">
        <v>31</v>
      </c>
      <c r="D50" s="40" t="s">
        <v>31</v>
      </c>
      <c r="E50" s="236">
        <v>23</v>
      </c>
      <c r="F50" s="236">
        <v>23</v>
      </c>
      <c r="G50" s="210">
        <v>1</v>
      </c>
      <c r="H50" s="89">
        <v>192.4</v>
      </c>
      <c r="I50" s="89">
        <v>2847.4</v>
      </c>
      <c r="J50" s="89">
        <v>0</v>
      </c>
      <c r="K50" s="89">
        <v>2794.6</v>
      </c>
      <c r="L50" s="58">
        <v>245.20000000000027</v>
      </c>
      <c r="N50" s="26"/>
      <c r="O50" s="26"/>
      <c r="P50" s="26"/>
    </row>
    <row r="51" spans="2:16" ht="12.75" thickBot="1" x14ac:dyDescent="0.3">
      <c r="B51" s="3"/>
      <c r="C51" s="499"/>
      <c r="D51" s="117" t="s">
        <v>9</v>
      </c>
      <c r="E51" s="242">
        <v>23</v>
      </c>
      <c r="F51" s="242">
        <v>23</v>
      </c>
      <c r="G51" s="244">
        <v>1</v>
      </c>
      <c r="H51" s="180">
        <v>192.4</v>
      </c>
      <c r="I51" s="180">
        <v>2847.4</v>
      </c>
      <c r="J51" s="180">
        <v>0</v>
      </c>
      <c r="K51" s="180">
        <v>2794.6</v>
      </c>
      <c r="L51" s="215">
        <v>245.20000000000027</v>
      </c>
      <c r="N51" s="26"/>
      <c r="O51" s="26"/>
      <c r="P51" s="26"/>
    </row>
    <row r="52" spans="2:16" ht="12" x14ac:dyDescent="0.25">
      <c r="B52" s="3"/>
      <c r="C52" s="497" t="s">
        <v>32</v>
      </c>
      <c r="D52" s="40" t="s">
        <v>32</v>
      </c>
      <c r="E52" s="236">
        <v>21</v>
      </c>
      <c r="F52" s="236">
        <v>21</v>
      </c>
      <c r="G52" s="210">
        <v>1</v>
      </c>
      <c r="H52" s="89">
        <v>236.7</v>
      </c>
      <c r="I52" s="89">
        <v>4708.3999999999996</v>
      </c>
      <c r="J52" s="89">
        <v>0</v>
      </c>
      <c r="K52" s="89">
        <v>4608.6000000000004</v>
      </c>
      <c r="L52" s="58">
        <v>336.49999999999909</v>
      </c>
      <c r="N52" s="26"/>
      <c r="O52" s="26"/>
      <c r="P52" s="26"/>
    </row>
    <row r="53" spans="2:16" ht="12.75" thickBot="1" x14ac:dyDescent="0.3">
      <c r="B53" s="3"/>
      <c r="C53" s="499"/>
      <c r="D53" s="117" t="s">
        <v>9</v>
      </c>
      <c r="E53" s="242">
        <v>21</v>
      </c>
      <c r="F53" s="242">
        <v>21</v>
      </c>
      <c r="G53" s="244">
        <v>1</v>
      </c>
      <c r="H53" s="180">
        <v>236.7</v>
      </c>
      <c r="I53" s="180">
        <v>4708.3999999999996</v>
      </c>
      <c r="J53" s="180">
        <v>0</v>
      </c>
      <c r="K53" s="180">
        <v>4608.6000000000004</v>
      </c>
      <c r="L53" s="215">
        <v>336.49999999999909</v>
      </c>
      <c r="N53" s="26"/>
      <c r="O53" s="26"/>
      <c r="P53" s="26"/>
    </row>
    <row r="54" spans="2:16" ht="12" x14ac:dyDescent="0.25">
      <c r="B54" s="3"/>
      <c r="C54" s="497" t="s">
        <v>33</v>
      </c>
      <c r="D54" s="40" t="s">
        <v>33</v>
      </c>
      <c r="E54" s="236">
        <v>48</v>
      </c>
      <c r="F54" s="236">
        <v>44</v>
      </c>
      <c r="G54" s="210">
        <v>0.91666666666666663</v>
      </c>
      <c r="H54" s="249">
        <v>510.7</v>
      </c>
      <c r="I54" s="89">
        <v>4326.1000000000004</v>
      </c>
      <c r="J54" s="89">
        <v>0</v>
      </c>
      <c r="K54" s="89">
        <v>4374.8</v>
      </c>
      <c r="L54" s="58">
        <v>462</v>
      </c>
      <c r="N54" s="26"/>
      <c r="O54" s="26"/>
      <c r="P54" s="26"/>
    </row>
    <row r="55" spans="2:16" ht="12.75" thickBot="1" x14ac:dyDescent="0.3">
      <c r="B55" s="3"/>
      <c r="C55" s="499"/>
      <c r="D55" s="117" t="s">
        <v>9</v>
      </c>
      <c r="E55" s="242">
        <v>48</v>
      </c>
      <c r="F55" s="242">
        <v>44</v>
      </c>
      <c r="G55" s="244">
        <v>0.91666666666666663</v>
      </c>
      <c r="H55" s="180">
        <v>510.7</v>
      </c>
      <c r="I55" s="180">
        <v>4326.1000000000004</v>
      </c>
      <c r="J55" s="180">
        <v>0</v>
      </c>
      <c r="K55" s="180">
        <v>4374.8</v>
      </c>
      <c r="L55" s="215">
        <v>462</v>
      </c>
      <c r="N55" s="26"/>
      <c r="O55" s="26"/>
      <c r="P55" s="26"/>
    </row>
    <row r="56" spans="2:16" ht="12" x14ac:dyDescent="0.25">
      <c r="B56" s="3"/>
      <c r="C56" s="497" t="s">
        <v>34</v>
      </c>
      <c r="D56" s="40" t="s">
        <v>34</v>
      </c>
      <c r="E56" s="236">
        <v>18</v>
      </c>
      <c r="F56" s="236">
        <v>18</v>
      </c>
      <c r="G56" s="210">
        <v>1</v>
      </c>
      <c r="H56" s="89">
        <v>128.1</v>
      </c>
      <c r="I56" s="89">
        <v>7029.3</v>
      </c>
      <c r="J56" s="89">
        <v>25.1</v>
      </c>
      <c r="K56" s="89">
        <v>6821.7</v>
      </c>
      <c r="L56" s="58">
        <v>360.80000000000109</v>
      </c>
      <c r="N56" s="26"/>
      <c r="O56" s="26"/>
      <c r="P56" s="26"/>
    </row>
    <row r="57" spans="2:16" ht="12.75" thickBot="1" x14ac:dyDescent="0.3">
      <c r="B57" s="3"/>
      <c r="C57" s="499"/>
      <c r="D57" s="117" t="s">
        <v>9</v>
      </c>
      <c r="E57" s="242">
        <v>18</v>
      </c>
      <c r="F57" s="242">
        <v>18</v>
      </c>
      <c r="G57" s="244">
        <v>1</v>
      </c>
      <c r="H57" s="180">
        <v>128.1</v>
      </c>
      <c r="I57" s="180">
        <v>7029.3</v>
      </c>
      <c r="J57" s="180">
        <v>25.1</v>
      </c>
      <c r="K57" s="180">
        <v>6821.7</v>
      </c>
      <c r="L57" s="215">
        <v>360.80000000000109</v>
      </c>
      <c r="N57" s="26"/>
      <c r="O57" s="26"/>
      <c r="P57" s="26"/>
    </row>
    <row r="58" spans="2:16" ht="12" x14ac:dyDescent="0.25">
      <c r="C58" s="476" t="s">
        <v>77</v>
      </c>
      <c r="D58" s="40" t="s">
        <v>30</v>
      </c>
      <c r="E58" s="236">
        <v>4</v>
      </c>
      <c r="F58" s="236">
        <v>4</v>
      </c>
      <c r="G58" s="210">
        <v>1</v>
      </c>
      <c r="H58" s="89">
        <v>0</v>
      </c>
      <c r="I58" s="89">
        <v>124.3</v>
      </c>
      <c r="J58" s="89">
        <v>0</v>
      </c>
      <c r="K58" s="89">
        <v>124.3</v>
      </c>
      <c r="L58" s="58">
        <v>0</v>
      </c>
      <c r="N58" s="26"/>
      <c r="O58" s="26"/>
      <c r="P58" s="26"/>
    </row>
    <row r="59" spans="2:16" ht="12.75" thickBot="1" x14ac:dyDescent="0.3">
      <c r="C59" s="521"/>
      <c r="D59" s="48" t="s">
        <v>9</v>
      </c>
      <c r="E59" s="242">
        <v>4</v>
      </c>
      <c r="F59" s="242">
        <v>4</v>
      </c>
      <c r="G59" s="244">
        <v>1</v>
      </c>
      <c r="H59" s="180">
        <v>0</v>
      </c>
      <c r="I59" s="180">
        <v>124.3</v>
      </c>
      <c r="J59" s="180">
        <v>0</v>
      </c>
      <c r="K59" s="180">
        <v>124.3</v>
      </c>
      <c r="L59" s="215">
        <v>0</v>
      </c>
      <c r="N59" s="26"/>
      <c r="O59" s="26"/>
      <c r="P59" s="26"/>
    </row>
    <row r="60" spans="2:16" ht="12.75" thickBot="1" x14ac:dyDescent="0.3">
      <c r="C60" s="522" t="s">
        <v>35</v>
      </c>
      <c r="D60" s="523"/>
      <c r="E60" s="91">
        <v>1842</v>
      </c>
      <c r="F60" s="91">
        <v>1795</v>
      </c>
      <c r="G60" s="94">
        <v>0.97448425624321389</v>
      </c>
      <c r="H60" s="250">
        <v>77100.900000000023</v>
      </c>
      <c r="I60" s="250">
        <v>1421096.7999999996</v>
      </c>
      <c r="J60" s="250">
        <v>67714.5</v>
      </c>
      <c r="K60" s="250">
        <v>1427699.8</v>
      </c>
      <c r="L60" s="250">
        <v>138212.4</v>
      </c>
      <c r="N60" s="26"/>
      <c r="O60" s="26"/>
      <c r="P60" s="26"/>
    </row>
    <row r="61" spans="2:16" ht="4.5" customHeight="1" x14ac:dyDescent="0.25">
      <c r="C61" s="64"/>
      <c r="D61" s="284"/>
      <c r="E61" s="285"/>
      <c r="F61" s="285"/>
      <c r="G61" s="286"/>
      <c r="H61" s="287"/>
      <c r="I61" s="287"/>
      <c r="J61" s="287"/>
      <c r="K61" s="287"/>
      <c r="L61" s="287"/>
      <c r="N61" s="26"/>
      <c r="O61" s="26"/>
      <c r="P61" s="26"/>
    </row>
    <row r="62" spans="2:16" s="272" customFormat="1" ht="12.75" x14ac:dyDescent="0.25">
      <c r="C62" s="467" t="s">
        <v>36</v>
      </c>
      <c r="D62" s="520"/>
      <c r="E62" s="520"/>
      <c r="F62" s="520"/>
      <c r="G62" s="520"/>
      <c r="H62" s="520"/>
      <c r="I62" s="520"/>
      <c r="J62" s="520"/>
      <c r="K62" s="520"/>
      <c r="L62" s="520"/>
      <c r="N62" s="273"/>
    </row>
    <row r="63" spans="2:16" s="272" customFormat="1" ht="9" customHeight="1" x14ac:dyDescent="0.25">
      <c r="C63" s="467" t="s">
        <v>37</v>
      </c>
      <c r="D63" s="520"/>
      <c r="E63" s="520"/>
      <c r="F63" s="520"/>
      <c r="G63" s="520"/>
      <c r="H63" s="520"/>
      <c r="I63" s="520"/>
      <c r="J63" s="520"/>
      <c r="K63" s="520"/>
      <c r="L63" s="520"/>
    </row>
    <row r="64" spans="2:16" s="272" customFormat="1" ht="12.75" x14ac:dyDescent="0.25">
      <c r="C64" s="280" t="s">
        <v>38</v>
      </c>
      <c r="D64" s="281"/>
      <c r="E64" s="281"/>
      <c r="F64" s="281"/>
      <c r="G64" s="282"/>
      <c r="H64" s="282"/>
      <c r="I64" s="282"/>
      <c r="J64" s="282"/>
      <c r="K64" s="282"/>
      <c r="L64" s="283" t="s">
        <v>121</v>
      </c>
    </row>
    <row r="65" spans="3:12" ht="15.75" x14ac:dyDescent="0.25">
      <c r="C65" s="261"/>
      <c r="D65" s="175"/>
      <c r="E65" s="175"/>
      <c r="F65" s="175"/>
      <c r="G65" s="175"/>
      <c r="H65" s="175"/>
      <c r="I65" s="175"/>
      <c r="J65" s="175"/>
      <c r="K65" s="175"/>
      <c r="L65" s="175"/>
    </row>
  </sheetData>
  <mergeCells count="26">
    <mergeCell ref="C26:C28"/>
    <mergeCell ref="C29:C34"/>
    <mergeCell ref="C63:L63"/>
    <mergeCell ref="C50:C51"/>
    <mergeCell ref="C52:C53"/>
    <mergeCell ref="C56:C57"/>
    <mergeCell ref="C58:C59"/>
    <mergeCell ref="C60:D60"/>
    <mergeCell ref="C62:L62"/>
    <mergeCell ref="C54:C55"/>
    <mergeCell ref="C35:C39"/>
    <mergeCell ref="C40:C44"/>
    <mergeCell ref="C45:C47"/>
    <mergeCell ref="C48:C49"/>
    <mergeCell ref="C7:C15"/>
    <mergeCell ref="C16:C19"/>
    <mergeCell ref="C20:C21"/>
    <mergeCell ref="C22:C25"/>
    <mergeCell ref="C1:L2"/>
    <mergeCell ref="C4:C6"/>
    <mergeCell ref="D4:D6"/>
    <mergeCell ref="E4:G5"/>
    <mergeCell ref="H4:H6"/>
    <mergeCell ref="I4:J5"/>
    <mergeCell ref="K4:K6"/>
    <mergeCell ref="L4:L6"/>
  </mergeCells>
  <pageMargins left="0.70866141732283472" right="0.70866141732283472" top="0.72" bottom="3.937007874015748E-2" header="0.09" footer="3.7499999999999999E-2"/>
  <pageSetup paperSize="9" scale="72" orientation="landscape" r:id="rId1"/>
  <headerFooter>
    <oddHeader>&amp;L&amp;G&amp;RCAMPAÑA: 2024/2025. MES: SEPTIEMBRE
Fecha de emisión de datos: 07/05/2026</oddHead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S63"/>
  <sheetViews>
    <sheetView view="pageLayout" topLeftCell="D1" zoomScaleNormal="60" zoomScaleSheetLayoutView="50" workbookViewId="0">
      <selection activeCell="E1" sqref="E1:P3"/>
    </sheetView>
  </sheetViews>
  <sheetFormatPr baseColWidth="10" defaultColWidth="11.42578125" defaultRowHeight="15" x14ac:dyDescent="0.25"/>
  <cols>
    <col min="3" max="3" width="12.5703125" customWidth="1"/>
    <col min="4" max="4" width="17.7109375" customWidth="1"/>
    <col min="5" max="5" width="21.42578125" customWidth="1"/>
    <col min="6" max="6" width="20.5703125" customWidth="1"/>
    <col min="7" max="7" width="11.7109375" bestFit="1" customWidth="1"/>
    <col min="8" max="8" width="14.28515625" bestFit="1" customWidth="1"/>
    <col min="9" max="9" width="13.42578125" bestFit="1" customWidth="1"/>
    <col min="12" max="12" width="11.42578125" customWidth="1"/>
    <col min="13" max="13" width="11.5703125" customWidth="1"/>
    <col min="16" max="16" width="12.140625" style="16" bestFit="1" customWidth="1"/>
    <col min="17" max="17" width="11.28515625" bestFit="1" customWidth="1"/>
    <col min="18" max="18" width="6.28515625" customWidth="1"/>
  </cols>
  <sheetData>
    <row r="1" spans="4:19" ht="15" customHeight="1" x14ac:dyDescent="0.25">
      <c r="E1" s="482" t="s">
        <v>129</v>
      </c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</row>
    <row r="2" spans="4:19" ht="15" customHeight="1" x14ac:dyDescent="0.25"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</row>
    <row r="3" spans="4:19" ht="9" customHeight="1" thickBot="1" x14ac:dyDescent="0.3">
      <c r="E3" s="524"/>
      <c r="F3" s="524"/>
      <c r="G3" s="524"/>
      <c r="H3" s="524"/>
      <c r="I3" s="524"/>
      <c r="J3" s="524"/>
      <c r="K3" s="524"/>
      <c r="L3" s="524"/>
      <c r="M3" s="524"/>
      <c r="N3" s="524"/>
      <c r="O3" s="524"/>
      <c r="P3" s="524"/>
    </row>
    <row r="4" spans="4:19" s="1" customFormat="1" ht="31.5" customHeight="1" thickBot="1" x14ac:dyDescent="0.2">
      <c r="E4" s="50" t="s">
        <v>54</v>
      </c>
      <c r="F4" s="275" t="s">
        <v>4</v>
      </c>
      <c r="G4" s="275" t="s">
        <v>39</v>
      </c>
      <c r="H4" s="275" t="s">
        <v>40</v>
      </c>
      <c r="I4" s="275" t="s">
        <v>41</v>
      </c>
      <c r="J4" s="275" t="s">
        <v>42</v>
      </c>
      <c r="K4" s="275" t="s">
        <v>43</v>
      </c>
      <c r="L4" s="275" t="s">
        <v>44</v>
      </c>
      <c r="M4" s="268" t="s">
        <v>45</v>
      </c>
      <c r="N4" s="275" t="s">
        <v>46</v>
      </c>
      <c r="O4" s="268" t="s">
        <v>47</v>
      </c>
      <c r="P4" s="51" t="s">
        <v>48</v>
      </c>
    </row>
    <row r="5" spans="4:19" x14ac:dyDescent="0.25">
      <c r="D5" s="6"/>
      <c r="E5" s="497" t="s">
        <v>74</v>
      </c>
      <c r="F5" s="28" t="s">
        <v>80</v>
      </c>
      <c r="G5" s="71">
        <v>466.4</v>
      </c>
      <c r="H5" s="72">
        <v>2166.6</v>
      </c>
      <c r="I5" s="72">
        <v>1578.4</v>
      </c>
      <c r="J5" s="72">
        <v>173.7</v>
      </c>
      <c r="K5" s="72">
        <v>15.8</v>
      </c>
      <c r="L5" s="72">
        <v>0</v>
      </c>
      <c r="M5" s="72">
        <v>0</v>
      </c>
      <c r="N5" s="72">
        <v>0</v>
      </c>
      <c r="O5" s="72">
        <v>13</v>
      </c>
      <c r="P5" s="53">
        <v>4413.8999999999996</v>
      </c>
      <c r="Q5" s="179"/>
      <c r="R5" s="179"/>
      <c r="S5" s="179"/>
    </row>
    <row r="6" spans="4:19" x14ac:dyDescent="0.25">
      <c r="D6" s="6"/>
      <c r="E6" s="498"/>
      <c r="F6" s="119" t="s">
        <v>81</v>
      </c>
      <c r="G6" s="73">
        <v>887.1</v>
      </c>
      <c r="H6" s="74">
        <v>4002.5</v>
      </c>
      <c r="I6" s="74">
        <v>3021.9</v>
      </c>
      <c r="J6" s="74">
        <v>475.1</v>
      </c>
      <c r="K6" s="74">
        <v>16.100000000000001</v>
      </c>
      <c r="L6" s="74">
        <v>0</v>
      </c>
      <c r="M6" s="74">
        <v>0</v>
      </c>
      <c r="N6" s="74">
        <v>0</v>
      </c>
      <c r="O6" s="74">
        <v>14.2</v>
      </c>
      <c r="P6" s="53">
        <v>8416.9</v>
      </c>
      <c r="Q6" s="179"/>
      <c r="R6" s="179"/>
      <c r="S6" s="179"/>
    </row>
    <row r="7" spans="4:19" x14ac:dyDescent="0.25">
      <c r="D7" s="6"/>
      <c r="E7" s="498"/>
      <c r="F7" s="119" t="s">
        <v>82</v>
      </c>
      <c r="G7" s="73">
        <v>5358.3</v>
      </c>
      <c r="H7" s="74">
        <v>56193</v>
      </c>
      <c r="I7" s="74">
        <v>115664.6</v>
      </c>
      <c r="J7" s="74">
        <v>68933.399999999994</v>
      </c>
      <c r="K7" s="74">
        <v>37384.699999999997</v>
      </c>
      <c r="L7" s="74">
        <v>5367.1</v>
      </c>
      <c r="M7" s="74">
        <v>1805.9</v>
      </c>
      <c r="N7" s="74">
        <v>57.9</v>
      </c>
      <c r="O7" s="74">
        <v>1056.2</v>
      </c>
      <c r="P7" s="53">
        <v>291821.09999999998</v>
      </c>
      <c r="Q7" s="179"/>
      <c r="R7" s="179"/>
      <c r="S7" s="179"/>
    </row>
    <row r="8" spans="4:19" x14ac:dyDescent="0.25">
      <c r="D8" s="6"/>
      <c r="E8" s="498"/>
      <c r="F8" s="119" t="s">
        <v>6</v>
      </c>
      <c r="G8" s="73">
        <v>315.10000000000002</v>
      </c>
      <c r="H8" s="74">
        <v>15595.4</v>
      </c>
      <c r="I8" s="74">
        <v>53818.2</v>
      </c>
      <c r="J8" s="74">
        <v>35775.300000000003</v>
      </c>
      <c r="K8" s="74">
        <v>15614.7</v>
      </c>
      <c r="L8" s="74">
        <v>1838</v>
      </c>
      <c r="M8" s="74">
        <v>516.4</v>
      </c>
      <c r="N8" s="74">
        <v>114.4</v>
      </c>
      <c r="O8" s="74">
        <v>799.9</v>
      </c>
      <c r="P8" s="53">
        <v>124387.4</v>
      </c>
      <c r="Q8" s="179"/>
      <c r="R8" s="179"/>
      <c r="S8" s="179"/>
    </row>
    <row r="9" spans="4:19" x14ac:dyDescent="0.25">
      <c r="D9" s="6"/>
      <c r="E9" s="498"/>
      <c r="F9" s="119" t="s">
        <v>7</v>
      </c>
      <c r="G9" s="73">
        <v>963.4</v>
      </c>
      <c r="H9" s="74">
        <v>4338.7</v>
      </c>
      <c r="I9" s="74">
        <v>2879.1</v>
      </c>
      <c r="J9" s="74">
        <v>151.30000000000001</v>
      </c>
      <c r="K9" s="74">
        <v>5.6</v>
      </c>
      <c r="L9" s="74">
        <v>0</v>
      </c>
      <c r="M9" s="74">
        <v>0</v>
      </c>
      <c r="N9" s="74">
        <v>0</v>
      </c>
      <c r="O9" s="74">
        <v>49.9</v>
      </c>
      <c r="P9" s="53">
        <v>8388</v>
      </c>
      <c r="Q9" s="179"/>
      <c r="R9" s="179"/>
      <c r="S9" s="179"/>
    </row>
    <row r="10" spans="4:19" x14ac:dyDescent="0.25">
      <c r="D10" s="6"/>
      <c r="E10" s="498"/>
      <c r="F10" s="119" t="s">
        <v>83</v>
      </c>
      <c r="G10" s="73">
        <v>5583.8</v>
      </c>
      <c r="H10" s="74">
        <v>65248.800000000003</v>
      </c>
      <c r="I10" s="74">
        <v>234272.4</v>
      </c>
      <c r="J10" s="74">
        <v>172798.4</v>
      </c>
      <c r="K10" s="74">
        <v>79467.3</v>
      </c>
      <c r="L10" s="74">
        <v>2956</v>
      </c>
      <c r="M10" s="74">
        <v>384</v>
      </c>
      <c r="N10" s="74">
        <v>40.6</v>
      </c>
      <c r="O10" s="74">
        <v>2342.6999999999998</v>
      </c>
      <c r="P10" s="53">
        <v>563094</v>
      </c>
      <c r="Q10" s="179"/>
      <c r="R10" s="179"/>
      <c r="S10" s="179"/>
    </row>
    <row r="11" spans="4:19" x14ac:dyDescent="0.25">
      <c r="D11" s="6"/>
      <c r="E11" s="498"/>
      <c r="F11" s="119" t="s">
        <v>84</v>
      </c>
      <c r="G11" s="73">
        <v>1273.8</v>
      </c>
      <c r="H11" s="74">
        <v>8916.6</v>
      </c>
      <c r="I11" s="74">
        <v>13633.1</v>
      </c>
      <c r="J11" s="74">
        <v>7259</v>
      </c>
      <c r="K11" s="74">
        <v>3272.9</v>
      </c>
      <c r="L11" s="74">
        <v>564.79999999999995</v>
      </c>
      <c r="M11" s="74">
        <v>353.4</v>
      </c>
      <c r="N11" s="74">
        <v>7.7</v>
      </c>
      <c r="O11" s="74">
        <v>195.6</v>
      </c>
      <c r="P11" s="53">
        <v>35476.9</v>
      </c>
      <c r="Q11" s="179"/>
      <c r="R11" s="179"/>
      <c r="S11" s="179"/>
    </row>
    <row r="12" spans="4:19" x14ac:dyDescent="0.25">
      <c r="D12" s="6"/>
      <c r="E12" s="498"/>
      <c r="F12" s="32" t="s">
        <v>8</v>
      </c>
      <c r="G12" s="76">
        <v>13566</v>
      </c>
      <c r="H12" s="77">
        <v>36557.199999999997</v>
      </c>
      <c r="I12" s="77">
        <v>45240.9</v>
      </c>
      <c r="J12" s="77">
        <v>14028.5</v>
      </c>
      <c r="K12" s="77">
        <v>1815.6</v>
      </c>
      <c r="L12" s="77">
        <v>146.6</v>
      </c>
      <c r="M12" s="77">
        <v>0</v>
      </c>
      <c r="N12" s="77">
        <v>0</v>
      </c>
      <c r="O12" s="77">
        <v>521.6</v>
      </c>
      <c r="P12" s="53">
        <v>111876.4</v>
      </c>
      <c r="Q12" s="179"/>
      <c r="R12" s="179"/>
      <c r="S12" s="179"/>
    </row>
    <row r="13" spans="4:19" ht="15.75" thickBot="1" x14ac:dyDescent="0.3">
      <c r="D13" s="6"/>
      <c r="E13" s="499"/>
      <c r="F13" s="117" t="s">
        <v>49</v>
      </c>
      <c r="G13" s="180">
        <v>28413.9</v>
      </c>
      <c r="H13" s="180">
        <v>193018.8</v>
      </c>
      <c r="I13" s="180">
        <v>470108.6</v>
      </c>
      <c r="J13" s="180">
        <v>299594.7</v>
      </c>
      <c r="K13" s="180">
        <v>137592.70000000001</v>
      </c>
      <c r="L13" s="180">
        <v>10872.5</v>
      </c>
      <c r="M13" s="180">
        <v>3059.7000000000003</v>
      </c>
      <c r="N13" s="180">
        <v>220.6</v>
      </c>
      <c r="O13" s="180">
        <v>4993.1000000000004</v>
      </c>
      <c r="P13" s="54">
        <v>1147874.5999999999</v>
      </c>
      <c r="Q13" s="179"/>
      <c r="R13" s="179"/>
      <c r="S13" s="179"/>
    </row>
    <row r="14" spans="4:19" x14ac:dyDescent="0.25">
      <c r="D14" s="6"/>
      <c r="E14" s="497" t="s">
        <v>75</v>
      </c>
      <c r="F14" s="119" t="s">
        <v>10</v>
      </c>
      <c r="G14" s="73">
        <v>77.599999999999994</v>
      </c>
      <c r="H14" s="74">
        <v>1041.3</v>
      </c>
      <c r="I14" s="74">
        <v>620</v>
      </c>
      <c r="J14" s="74">
        <v>81.5</v>
      </c>
      <c r="K14" s="74">
        <v>0</v>
      </c>
      <c r="L14" s="74">
        <v>0.3</v>
      </c>
      <c r="M14" s="74">
        <v>0</v>
      </c>
      <c r="N14" s="74">
        <v>0</v>
      </c>
      <c r="O14" s="74">
        <v>0.8</v>
      </c>
      <c r="P14" s="55">
        <v>1821.5</v>
      </c>
      <c r="Q14" s="179"/>
      <c r="R14" s="179"/>
      <c r="S14" s="179"/>
    </row>
    <row r="15" spans="4:19" x14ac:dyDescent="0.25">
      <c r="D15" s="6"/>
      <c r="E15" s="498"/>
      <c r="F15" s="119" t="s">
        <v>11</v>
      </c>
      <c r="G15" s="73">
        <v>62.8</v>
      </c>
      <c r="H15" s="74">
        <v>1019.9</v>
      </c>
      <c r="I15" s="74">
        <v>395.4</v>
      </c>
      <c r="J15" s="74">
        <v>198.9</v>
      </c>
      <c r="K15" s="74">
        <v>16.3</v>
      </c>
      <c r="L15" s="74">
        <v>0</v>
      </c>
      <c r="M15" s="74">
        <v>7.7</v>
      </c>
      <c r="N15" s="74">
        <v>0</v>
      </c>
      <c r="O15" s="74">
        <v>32</v>
      </c>
      <c r="P15" s="56">
        <v>1733</v>
      </c>
      <c r="Q15" s="179"/>
      <c r="R15" s="179"/>
      <c r="S15" s="179"/>
    </row>
    <row r="16" spans="4:19" x14ac:dyDescent="0.25">
      <c r="D16" s="6"/>
      <c r="E16" s="498"/>
      <c r="F16" s="32" t="s">
        <v>12</v>
      </c>
      <c r="G16" s="76">
        <v>64.900000000000006</v>
      </c>
      <c r="H16" s="77">
        <v>1643</v>
      </c>
      <c r="I16" s="77">
        <v>1880.1</v>
      </c>
      <c r="J16" s="77">
        <v>291.39999999999998</v>
      </c>
      <c r="K16" s="77">
        <v>16.899999999999999</v>
      </c>
      <c r="L16" s="77">
        <v>0</v>
      </c>
      <c r="M16" s="77">
        <v>0</v>
      </c>
      <c r="N16" s="77">
        <v>0</v>
      </c>
      <c r="O16" s="77">
        <v>23.8</v>
      </c>
      <c r="P16" s="57">
        <v>3920.1</v>
      </c>
      <c r="Q16" s="179"/>
      <c r="R16" s="179"/>
      <c r="S16" s="179"/>
    </row>
    <row r="17" spans="4:19" ht="15.75" thickBot="1" x14ac:dyDescent="0.3">
      <c r="D17" s="6"/>
      <c r="E17" s="499"/>
      <c r="F17" s="117" t="s">
        <v>49</v>
      </c>
      <c r="G17" s="180">
        <v>205.29999999999998</v>
      </c>
      <c r="H17" s="180">
        <v>3704.2</v>
      </c>
      <c r="I17" s="180">
        <v>2895.5</v>
      </c>
      <c r="J17" s="180">
        <v>571.79999999999995</v>
      </c>
      <c r="K17" s="180">
        <v>33.200000000000003</v>
      </c>
      <c r="L17" s="180">
        <v>0.3</v>
      </c>
      <c r="M17" s="180">
        <v>7.7</v>
      </c>
      <c r="N17" s="180">
        <v>0</v>
      </c>
      <c r="O17" s="180">
        <v>56.599999999999994</v>
      </c>
      <c r="P17" s="54">
        <v>7474.6</v>
      </c>
      <c r="Q17" s="179"/>
      <c r="R17" s="179"/>
      <c r="S17" s="179"/>
    </row>
    <row r="18" spans="4:19" x14ac:dyDescent="0.25">
      <c r="D18" s="6"/>
      <c r="E18" s="526" t="s">
        <v>13</v>
      </c>
      <c r="F18" s="40" t="s">
        <v>13</v>
      </c>
      <c r="G18" s="181">
        <v>162.19999999999999</v>
      </c>
      <c r="H18" s="89">
        <v>80</v>
      </c>
      <c r="I18" s="89">
        <v>2.8</v>
      </c>
      <c r="J18" s="89">
        <v>0</v>
      </c>
      <c r="K18" s="89">
        <v>0</v>
      </c>
      <c r="L18" s="89">
        <v>0</v>
      </c>
      <c r="M18" s="89">
        <v>0</v>
      </c>
      <c r="N18" s="89">
        <v>0</v>
      </c>
      <c r="O18" s="89">
        <v>0</v>
      </c>
      <c r="P18" s="58">
        <v>245</v>
      </c>
      <c r="Q18" s="179"/>
      <c r="R18" s="179"/>
      <c r="S18" s="179"/>
    </row>
    <row r="19" spans="4:19" ht="15.75" thickBot="1" x14ac:dyDescent="0.3">
      <c r="D19" s="6"/>
      <c r="E19" s="527"/>
      <c r="F19" s="48" t="s">
        <v>49</v>
      </c>
      <c r="G19" s="180">
        <v>162.19999999999999</v>
      </c>
      <c r="H19" s="180">
        <v>80</v>
      </c>
      <c r="I19" s="180">
        <v>2.8</v>
      </c>
      <c r="J19" s="180">
        <v>0</v>
      </c>
      <c r="K19" s="180">
        <v>0</v>
      </c>
      <c r="L19" s="180">
        <v>0</v>
      </c>
      <c r="M19" s="180">
        <v>0</v>
      </c>
      <c r="N19" s="180">
        <v>0</v>
      </c>
      <c r="O19" s="180">
        <v>0</v>
      </c>
      <c r="P19" s="59">
        <v>245</v>
      </c>
      <c r="Q19" s="179"/>
      <c r="R19" s="179"/>
      <c r="S19" s="179"/>
    </row>
    <row r="20" spans="4:19" x14ac:dyDescent="0.25">
      <c r="D20" s="6"/>
      <c r="E20" s="497" t="s">
        <v>87</v>
      </c>
      <c r="F20" s="119" t="s">
        <v>14</v>
      </c>
      <c r="G20" s="73">
        <v>222.8</v>
      </c>
      <c r="H20" s="74">
        <v>1217.8</v>
      </c>
      <c r="I20" s="74">
        <v>1337.9</v>
      </c>
      <c r="J20" s="74">
        <v>777.3</v>
      </c>
      <c r="K20" s="74">
        <v>180.9</v>
      </c>
      <c r="L20" s="74">
        <v>22.5</v>
      </c>
      <c r="M20" s="74">
        <v>0</v>
      </c>
      <c r="N20" s="74">
        <v>0</v>
      </c>
      <c r="O20" s="74">
        <v>17.5</v>
      </c>
      <c r="P20" s="56">
        <v>3776.7</v>
      </c>
      <c r="Q20" s="179"/>
      <c r="R20" s="179"/>
      <c r="S20" s="179"/>
    </row>
    <row r="21" spans="4:19" x14ac:dyDescent="0.25">
      <c r="D21" s="6"/>
      <c r="E21" s="498"/>
      <c r="F21" s="119" t="s">
        <v>85</v>
      </c>
      <c r="G21" s="73">
        <v>69</v>
      </c>
      <c r="H21" s="74">
        <v>150.6</v>
      </c>
      <c r="I21" s="74">
        <v>31.9</v>
      </c>
      <c r="J21" s="74">
        <v>1.6</v>
      </c>
      <c r="K21" s="74">
        <v>0</v>
      </c>
      <c r="L21" s="74">
        <v>0</v>
      </c>
      <c r="M21" s="74">
        <v>0</v>
      </c>
      <c r="N21" s="74">
        <v>0</v>
      </c>
      <c r="O21" s="74">
        <v>1.9</v>
      </c>
      <c r="P21" s="56">
        <v>255</v>
      </c>
      <c r="Q21" s="179"/>
      <c r="R21" s="179"/>
      <c r="S21" s="179"/>
    </row>
    <row r="22" spans="4:19" x14ac:dyDescent="0.25">
      <c r="D22" s="6"/>
      <c r="E22" s="498"/>
      <c r="F22" s="32" t="s">
        <v>15</v>
      </c>
      <c r="G22" s="76">
        <v>84.9</v>
      </c>
      <c r="H22" s="77">
        <v>669.5</v>
      </c>
      <c r="I22" s="77">
        <v>351.8</v>
      </c>
      <c r="J22" s="77">
        <v>12.2</v>
      </c>
      <c r="K22" s="77">
        <v>0</v>
      </c>
      <c r="L22" s="77">
        <v>0</v>
      </c>
      <c r="M22" s="77">
        <v>0</v>
      </c>
      <c r="N22" s="77">
        <v>0</v>
      </c>
      <c r="O22" s="77">
        <v>2.8</v>
      </c>
      <c r="P22" s="57">
        <v>1121.2</v>
      </c>
      <c r="Q22" s="179"/>
      <c r="R22" s="179"/>
      <c r="S22" s="179"/>
    </row>
    <row r="23" spans="4:19" ht="15.75" thickBot="1" x14ac:dyDescent="0.3">
      <c r="D23" s="6"/>
      <c r="E23" s="499"/>
      <c r="F23" s="117" t="s">
        <v>49</v>
      </c>
      <c r="G23" s="180">
        <v>376.70000000000005</v>
      </c>
      <c r="H23" s="180">
        <v>2037.8999999999999</v>
      </c>
      <c r="I23" s="180">
        <v>1721.6000000000001</v>
      </c>
      <c r="J23" s="180">
        <v>791.1</v>
      </c>
      <c r="K23" s="180">
        <v>180.9</v>
      </c>
      <c r="L23" s="180">
        <v>22.5</v>
      </c>
      <c r="M23" s="180">
        <v>0</v>
      </c>
      <c r="N23" s="180">
        <v>0</v>
      </c>
      <c r="O23" s="180">
        <v>22.2</v>
      </c>
      <c r="P23" s="59">
        <v>5152.8999999999996</v>
      </c>
      <c r="Q23" s="179"/>
      <c r="R23" s="179"/>
      <c r="S23" s="179"/>
    </row>
    <row r="24" spans="4:19" x14ac:dyDescent="0.25">
      <c r="D24" s="6"/>
      <c r="E24" s="497" t="s">
        <v>153</v>
      </c>
      <c r="F24" s="28" t="s">
        <v>154</v>
      </c>
      <c r="G24" s="73">
        <v>0</v>
      </c>
      <c r="H24" s="74">
        <v>0</v>
      </c>
      <c r="I24" s="74">
        <v>0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56">
        <v>0</v>
      </c>
      <c r="Q24" s="179"/>
      <c r="R24" s="179"/>
      <c r="S24" s="179"/>
    </row>
    <row r="25" spans="4:19" x14ac:dyDescent="0.25">
      <c r="D25" s="6"/>
      <c r="E25" s="498"/>
      <c r="F25" s="32" t="s">
        <v>155</v>
      </c>
      <c r="G25" s="76">
        <v>1.4</v>
      </c>
      <c r="H25" s="77">
        <v>0</v>
      </c>
      <c r="I25" s="77">
        <v>0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57">
        <v>1.4</v>
      </c>
      <c r="Q25" s="179"/>
      <c r="R25" s="179"/>
      <c r="S25" s="179"/>
    </row>
    <row r="26" spans="4:19" ht="15.75" thickBot="1" x14ac:dyDescent="0.3">
      <c r="D26" s="6"/>
      <c r="E26" s="498"/>
      <c r="F26" s="48" t="s">
        <v>49</v>
      </c>
      <c r="G26" s="180">
        <v>1.4</v>
      </c>
      <c r="H26" s="180">
        <v>0</v>
      </c>
      <c r="I26" s="180">
        <v>0</v>
      </c>
      <c r="J26" s="180">
        <v>0</v>
      </c>
      <c r="K26" s="180">
        <v>0</v>
      </c>
      <c r="L26" s="180">
        <v>0</v>
      </c>
      <c r="M26" s="180">
        <v>0</v>
      </c>
      <c r="N26" s="180">
        <v>0</v>
      </c>
      <c r="O26" s="180">
        <v>0</v>
      </c>
      <c r="P26" s="59">
        <v>1.4</v>
      </c>
      <c r="Q26" s="179"/>
      <c r="R26" s="179"/>
      <c r="S26" s="179"/>
    </row>
    <row r="27" spans="4:19" x14ac:dyDescent="0.25">
      <c r="D27" s="6"/>
      <c r="E27" s="497" t="s">
        <v>73</v>
      </c>
      <c r="F27" s="28" t="s">
        <v>16</v>
      </c>
      <c r="G27" s="73">
        <v>109.7</v>
      </c>
      <c r="H27" s="74">
        <v>3650.2</v>
      </c>
      <c r="I27" s="74">
        <v>5520.3</v>
      </c>
      <c r="J27" s="74">
        <v>901.2</v>
      </c>
      <c r="K27" s="74">
        <v>113.7</v>
      </c>
      <c r="L27" s="74">
        <v>16.399999999999999</v>
      </c>
      <c r="M27" s="74">
        <v>0</v>
      </c>
      <c r="N27" s="74">
        <v>0</v>
      </c>
      <c r="O27" s="74">
        <v>15.8</v>
      </c>
      <c r="P27" s="56">
        <v>10327.299999999999</v>
      </c>
      <c r="Q27" s="179"/>
      <c r="R27" s="179"/>
      <c r="S27" s="179"/>
    </row>
    <row r="28" spans="4:19" x14ac:dyDescent="0.25">
      <c r="D28" s="6"/>
      <c r="E28" s="498"/>
      <c r="F28" s="119" t="s">
        <v>17</v>
      </c>
      <c r="G28" s="73">
        <v>282.7</v>
      </c>
      <c r="H28" s="74">
        <v>10917.1</v>
      </c>
      <c r="I28" s="74">
        <v>36765.699999999997</v>
      </c>
      <c r="J28" s="74">
        <v>20296.2</v>
      </c>
      <c r="K28" s="74">
        <v>3896.6</v>
      </c>
      <c r="L28" s="74">
        <v>37.700000000000003</v>
      </c>
      <c r="M28" s="74">
        <v>0</v>
      </c>
      <c r="N28" s="74">
        <v>0</v>
      </c>
      <c r="O28" s="74">
        <v>589.1</v>
      </c>
      <c r="P28" s="56">
        <v>72785.100000000006</v>
      </c>
      <c r="Q28" s="179"/>
      <c r="R28" s="179"/>
      <c r="S28" s="179"/>
    </row>
    <row r="29" spans="4:19" x14ac:dyDescent="0.25">
      <c r="D29" s="6"/>
      <c r="E29" s="498"/>
      <c r="F29" s="119" t="s">
        <v>18</v>
      </c>
      <c r="G29" s="73">
        <v>10.9</v>
      </c>
      <c r="H29" s="74">
        <v>767.8</v>
      </c>
      <c r="I29" s="74">
        <v>2881.3</v>
      </c>
      <c r="J29" s="74">
        <v>1230.2</v>
      </c>
      <c r="K29" s="74">
        <v>293.10000000000002</v>
      </c>
      <c r="L29" s="74">
        <v>14.8</v>
      </c>
      <c r="M29" s="74">
        <v>7.4</v>
      </c>
      <c r="N29" s="74">
        <v>0</v>
      </c>
      <c r="O29" s="74">
        <v>13.1</v>
      </c>
      <c r="P29" s="56">
        <v>5218.6000000000004</v>
      </c>
      <c r="Q29" s="179"/>
      <c r="R29" s="179"/>
      <c r="S29" s="179"/>
    </row>
    <row r="30" spans="4:19" x14ac:dyDescent="0.25">
      <c r="D30" s="6"/>
      <c r="E30" s="498"/>
      <c r="F30" s="119" t="s">
        <v>50</v>
      </c>
      <c r="G30" s="73">
        <v>0</v>
      </c>
      <c r="H30" s="74">
        <v>202.6</v>
      </c>
      <c r="I30" s="74">
        <v>889.1</v>
      </c>
      <c r="J30" s="74">
        <v>637.70000000000005</v>
      </c>
      <c r="K30" s="74">
        <v>462.7</v>
      </c>
      <c r="L30" s="74">
        <v>94.4</v>
      </c>
      <c r="M30" s="74">
        <v>15.1</v>
      </c>
      <c r="N30" s="74">
        <v>0</v>
      </c>
      <c r="O30" s="74">
        <v>0</v>
      </c>
      <c r="P30" s="56">
        <v>2301.6</v>
      </c>
      <c r="Q30" s="179"/>
      <c r="R30" s="179"/>
      <c r="S30" s="179"/>
    </row>
    <row r="31" spans="4:19" x14ac:dyDescent="0.25">
      <c r="D31" s="6"/>
      <c r="E31" s="498"/>
      <c r="F31" s="32" t="s">
        <v>19</v>
      </c>
      <c r="G31" s="76">
        <v>270.2</v>
      </c>
      <c r="H31" s="77">
        <v>5521.2</v>
      </c>
      <c r="I31" s="77">
        <v>22649.9</v>
      </c>
      <c r="J31" s="77">
        <v>17203.099999999999</v>
      </c>
      <c r="K31" s="77">
        <v>8964.5</v>
      </c>
      <c r="L31" s="77">
        <v>996.2</v>
      </c>
      <c r="M31" s="77">
        <v>29.3</v>
      </c>
      <c r="N31" s="77">
        <v>0</v>
      </c>
      <c r="O31" s="77">
        <v>366.8</v>
      </c>
      <c r="P31" s="57">
        <v>56001.2</v>
      </c>
      <c r="Q31" s="179"/>
      <c r="R31" s="179"/>
      <c r="S31" s="179"/>
    </row>
    <row r="32" spans="4:19" ht="15.75" thickBot="1" x14ac:dyDescent="0.3">
      <c r="D32" s="6"/>
      <c r="E32" s="499"/>
      <c r="F32" s="117" t="s">
        <v>49</v>
      </c>
      <c r="G32" s="180">
        <v>673.5</v>
      </c>
      <c r="H32" s="180">
        <v>21058.899999999998</v>
      </c>
      <c r="I32" s="180">
        <v>68706.3</v>
      </c>
      <c r="J32" s="180">
        <v>40268.400000000001</v>
      </c>
      <c r="K32" s="180">
        <v>13730.599999999999</v>
      </c>
      <c r="L32" s="180">
        <v>1159.5</v>
      </c>
      <c r="M32" s="180">
        <v>51.8</v>
      </c>
      <c r="N32" s="180">
        <v>0</v>
      </c>
      <c r="O32" s="180">
        <v>984.8</v>
      </c>
      <c r="P32" s="59">
        <v>146633.80000000002</v>
      </c>
      <c r="Q32" s="179"/>
      <c r="R32" s="179"/>
      <c r="S32" s="179"/>
    </row>
    <row r="33" spans="4:19" x14ac:dyDescent="0.25">
      <c r="D33" s="6"/>
      <c r="E33" s="497" t="s">
        <v>76</v>
      </c>
      <c r="F33" s="119" t="s">
        <v>78</v>
      </c>
      <c r="G33" s="71">
        <v>0</v>
      </c>
      <c r="H33" s="72">
        <v>330.2</v>
      </c>
      <c r="I33" s="72">
        <v>475.2</v>
      </c>
      <c r="J33" s="72">
        <v>0.7</v>
      </c>
      <c r="K33" s="72">
        <v>0</v>
      </c>
      <c r="L33" s="72">
        <v>0</v>
      </c>
      <c r="M33" s="72">
        <v>0</v>
      </c>
      <c r="N33" s="72">
        <v>0</v>
      </c>
      <c r="O33" s="72">
        <v>0.1</v>
      </c>
      <c r="P33" s="56">
        <v>806.2</v>
      </c>
      <c r="Q33" s="179"/>
      <c r="R33" s="179"/>
      <c r="S33" s="179"/>
    </row>
    <row r="34" spans="4:19" x14ac:dyDescent="0.25">
      <c r="D34" s="6"/>
      <c r="E34" s="498"/>
      <c r="F34" s="119" t="s">
        <v>20</v>
      </c>
      <c r="G34" s="73">
        <v>10.9</v>
      </c>
      <c r="H34" s="74">
        <v>175.2</v>
      </c>
      <c r="I34" s="74">
        <v>19.2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1</v>
      </c>
      <c r="P34" s="56">
        <v>206.3</v>
      </c>
      <c r="Q34" s="179"/>
      <c r="R34" s="179"/>
      <c r="S34" s="179"/>
    </row>
    <row r="35" spans="4:19" x14ac:dyDescent="0.25">
      <c r="D35" s="6"/>
      <c r="E35" s="498"/>
      <c r="F35" s="119" t="s">
        <v>151</v>
      </c>
      <c r="G35" s="73">
        <v>0</v>
      </c>
      <c r="H35" s="74">
        <v>0.4</v>
      </c>
      <c r="I35" s="74">
        <v>0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56">
        <v>0.4</v>
      </c>
      <c r="Q35" s="179"/>
      <c r="R35" s="179"/>
      <c r="S35" s="179"/>
    </row>
    <row r="36" spans="4:19" x14ac:dyDescent="0.25">
      <c r="D36" s="6"/>
      <c r="E36" s="498"/>
      <c r="F36" s="32" t="s">
        <v>21</v>
      </c>
      <c r="G36" s="76">
        <v>0</v>
      </c>
      <c r="H36" s="77">
        <v>330</v>
      </c>
      <c r="I36" s="77">
        <v>84.6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56">
        <v>414.6</v>
      </c>
      <c r="Q36" s="179"/>
      <c r="R36" s="179"/>
      <c r="S36" s="179"/>
    </row>
    <row r="37" spans="4:19" ht="15.75" thickBot="1" x14ac:dyDescent="0.3">
      <c r="D37" s="6"/>
      <c r="E37" s="499"/>
      <c r="F37" s="117" t="s">
        <v>49</v>
      </c>
      <c r="G37" s="180">
        <v>10.9</v>
      </c>
      <c r="H37" s="180">
        <v>835.8</v>
      </c>
      <c r="I37" s="180">
        <v>579</v>
      </c>
      <c r="J37" s="180">
        <v>0.7</v>
      </c>
      <c r="K37" s="180">
        <v>0</v>
      </c>
      <c r="L37" s="180">
        <v>0</v>
      </c>
      <c r="M37" s="180">
        <v>0</v>
      </c>
      <c r="N37" s="180">
        <v>0</v>
      </c>
      <c r="O37" s="180">
        <v>1.1000000000000001</v>
      </c>
      <c r="P37" s="54">
        <v>1427.5</v>
      </c>
      <c r="Q37" s="179"/>
      <c r="R37" s="179"/>
      <c r="S37" s="179"/>
    </row>
    <row r="38" spans="4:19" x14ac:dyDescent="0.25">
      <c r="D38" s="6"/>
      <c r="E38" s="497" t="s">
        <v>22</v>
      </c>
      <c r="F38" s="119" t="s">
        <v>23</v>
      </c>
      <c r="G38" s="73">
        <v>84.6</v>
      </c>
      <c r="H38" s="74">
        <v>381.9</v>
      </c>
      <c r="I38" s="74">
        <v>157.19999999999999</v>
      </c>
      <c r="J38" s="74">
        <v>14.7</v>
      </c>
      <c r="K38" s="74">
        <v>0</v>
      </c>
      <c r="L38" s="74">
        <v>0</v>
      </c>
      <c r="M38" s="74">
        <v>0</v>
      </c>
      <c r="N38" s="74">
        <v>0</v>
      </c>
      <c r="O38" s="74">
        <v>14.1</v>
      </c>
      <c r="P38" s="56">
        <v>652.5</v>
      </c>
      <c r="Q38" s="179"/>
      <c r="R38" s="179"/>
      <c r="S38" s="179"/>
    </row>
    <row r="39" spans="4:19" x14ac:dyDescent="0.25">
      <c r="D39" s="6"/>
      <c r="E39" s="498"/>
      <c r="F39" s="119" t="s">
        <v>24</v>
      </c>
      <c r="G39" s="73">
        <v>58.2</v>
      </c>
      <c r="H39" s="74">
        <v>303</v>
      </c>
      <c r="I39" s="74">
        <v>159.69999999999999</v>
      </c>
      <c r="J39" s="74">
        <v>15.3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56">
        <v>536.20000000000005</v>
      </c>
      <c r="Q39" s="179"/>
      <c r="R39" s="179"/>
      <c r="S39" s="179"/>
    </row>
    <row r="40" spans="4:19" x14ac:dyDescent="0.25">
      <c r="D40" s="6"/>
      <c r="E40" s="498"/>
      <c r="F40" s="119" t="s">
        <v>25</v>
      </c>
      <c r="G40" s="73">
        <v>438.3</v>
      </c>
      <c r="H40" s="74">
        <v>4014.1</v>
      </c>
      <c r="I40" s="74">
        <v>3414.8</v>
      </c>
      <c r="J40" s="74">
        <v>406.9</v>
      </c>
      <c r="K40" s="74">
        <v>0</v>
      </c>
      <c r="L40" s="74">
        <v>0</v>
      </c>
      <c r="M40" s="74">
        <v>0</v>
      </c>
      <c r="N40" s="74">
        <v>0</v>
      </c>
      <c r="O40" s="74">
        <v>173.1</v>
      </c>
      <c r="P40" s="56">
        <v>8447.2000000000007</v>
      </c>
      <c r="Q40" s="179"/>
      <c r="R40" s="179"/>
      <c r="S40" s="179"/>
    </row>
    <row r="41" spans="4:19" x14ac:dyDescent="0.25">
      <c r="D41" s="6"/>
      <c r="E41" s="498"/>
      <c r="F41" s="32" t="s">
        <v>26</v>
      </c>
      <c r="G41" s="76">
        <v>457</v>
      </c>
      <c r="H41" s="77">
        <v>3339.7</v>
      </c>
      <c r="I41" s="77">
        <v>1522.5</v>
      </c>
      <c r="J41" s="77">
        <v>220.3</v>
      </c>
      <c r="K41" s="77">
        <v>93.7</v>
      </c>
      <c r="L41" s="77">
        <v>0</v>
      </c>
      <c r="M41" s="77">
        <v>0</v>
      </c>
      <c r="N41" s="77">
        <v>0</v>
      </c>
      <c r="O41" s="77">
        <v>52.3</v>
      </c>
      <c r="P41" s="56">
        <v>5685.5</v>
      </c>
      <c r="Q41" s="179"/>
      <c r="R41" s="179"/>
      <c r="S41" s="179"/>
    </row>
    <row r="42" spans="4:19" ht="15.75" thickBot="1" x14ac:dyDescent="0.3">
      <c r="D42" s="6"/>
      <c r="E42" s="499"/>
      <c r="F42" s="117" t="s">
        <v>49</v>
      </c>
      <c r="G42" s="180">
        <v>1038.0999999999999</v>
      </c>
      <c r="H42" s="180">
        <v>8038.7</v>
      </c>
      <c r="I42" s="180">
        <v>5254.2000000000007</v>
      </c>
      <c r="J42" s="180">
        <v>657.2</v>
      </c>
      <c r="K42" s="180">
        <v>93.7</v>
      </c>
      <c r="L42" s="180">
        <v>0</v>
      </c>
      <c r="M42" s="180">
        <v>0</v>
      </c>
      <c r="N42" s="180">
        <v>0</v>
      </c>
      <c r="O42" s="180">
        <v>239.5</v>
      </c>
      <c r="P42" s="54">
        <v>15321.400000000001</v>
      </c>
      <c r="Q42" s="179"/>
      <c r="R42" s="179"/>
      <c r="S42" s="179"/>
    </row>
    <row r="43" spans="4:19" x14ac:dyDescent="0.25">
      <c r="D43" s="6"/>
      <c r="E43" s="497" t="s">
        <v>27</v>
      </c>
      <c r="F43" s="28" t="s">
        <v>28</v>
      </c>
      <c r="G43" s="73">
        <v>4452.5</v>
      </c>
      <c r="H43" s="74">
        <v>25767.4</v>
      </c>
      <c r="I43" s="74">
        <v>33500.400000000001</v>
      </c>
      <c r="J43" s="74">
        <v>5832.8</v>
      </c>
      <c r="K43" s="74">
        <v>835.2</v>
      </c>
      <c r="L43" s="74">
        <v>44.6</v>
      </c>
      <c r="M43" s="74">
        <v>15.6</v>
      </c>
      <c r="N43" s="74">
        <v>0</v>
      </c>
      <c r="O43" s="74">
        <v>303.8</v>
      </c>
      <c r="P43" s="56">
        <v>70752.3</v>
      </c>
      <c r="Q43" s="179"/>
      <c r="R43" s="179"/>
      <c r="S43" s="179"/>
    </row>
    <row r="44" spans="4:19" x14ac:dyDescent="0.25">
      <c r="D44" s="6"/>
      <c r="E44" s="498"/>
      <c r="F44" s="32" t="s">
        <v>79</v>
      </c>
      <c r="G44" s="76">
        <v>715.9</v>
      </c>
      <c r="H44" s="77">
        <v>2742.2</v>
      </c>
      <c r="I44" s="77">
        <v>3269</v>
      </c>
      <c r="J44" s="77">
        <v>399.8</v>
      </c>
      <c r="K44" s="77">
        <v>9.9</v>
      </c>
      <c r="L44" s="77">
        <v>0</v>
      </c>
      <c r="M44" s="77">
        <v>0</v>
      </c>
      <c r="N44" s="77">
        <v>0</v>
      </c>
      <c r="O44" s="77">
        <v>33.6</v>
      </c>
      <c r="P44" s="57">
        <v>7170.4</v>
      </c>
      <c r="Q44" s="179"/>
      <c r="R44" s="179"/>
      <c r="S44" s="179"/>
    </row>
    <row r="45" spans="4:19" ht="15.75" thickBot="1" x14ac:dyDescent="0.3">
      <c r="D45" s="6"/>
      <c r="E45" s="499"/>
      <c r="F45" s="117" t="s">
        <v>49</v>
      </c>
      <c r="G45" s="180">
        <v>5168.3999999999996</v>
      </c>
      <c r="H45" s="180">
        <v>28509.600000000002</v>
      </c>
      <c r="I45" s="180">
        <v>36769.4</v>
      </c>
      <c r="J45" s="180">
        <v>6232.6</v>
      </c>
      <c r="K45" s="180">
        <v>845.1</v>
      </c>
      <c r="L45" s="180">
        <v>44.6</v>
      </c>
      <c r="M45" s="180">
        <v>15.6</v>
      </c>
      <c r="N45" s="180">
        <v>0</v>
      </c>
      <c r="O45" s="180">
        <v>337.40000000000003</v>
      </c>
      <c r="P45" s="59">
        <v>77922.7</v>
      </c>
      <c r="Q45" s="179"/>
      <c r="R45" s="179"/>
      <c r="S45" s="179"/>
    </row>
    <row r="46" spans="4:19" x14ac:dyDescent="0.25">
      <c r="D46" s="6"/>
      <c r="E46" s="497" t="s">
        <v>29</v>
      </c>
      <c r="F46" s="40" t="s">
        <v>30</v>
      </c>
      <c r="G46" s="181">
        <v>0</v>
      </c>
      <c r="H46" s="89">
        <v>0.4</v>
      </c>
      <c r="I46" s="89">
        <v>6.9</v>
      </c>
      <c r="J46" s="89">
        <v>0</v>
      </c>
      <c r="K46" s="89">
        <v>0</v>
      </c>
      <c r="L46" s="89">
        <v>0</v>
      </c>
      <c r="M46" s="89">
        <v>0</v>
      </c>
      <c r="N46" s="89">
        <v>0</v>
      </c>
      <c r="O46" s="89">
        <v>0.1</v>
      </c>
      <c r="P46" s="57">
        <v>7.4</v>
      </c>
      <c r="Q46" s="179"/>
      <c r="R46" s="179"/>
      <c r="S46" s="179"/>
    </row>
    <row r="47" spans="4:19" ht="15.75" thickBot="1" x14ac:dyDescent="0.3">
      <c r="D47" s="6"/>
      <c r="E47" s="499"/>
      <c r="F47" s="117" t="s">
        <v>49</v>
      </c>
      <c r="G47" s="180">
        <v>0</v>
      </c>
      <c r="H47" s="180">
        <v>0.4</v>
      </c>
      <c r="I47" s="180">
        <v>6.9</v>
      </c>
      <c r="J47" s="180">
        <v>0</v>
      </c>
      <c r="K47" s="180">
        <v>0</v>
      </c>
      <c r="L47" s="180">
        <v>0</v>
      </c>
      <c r="M47" s="180">
        <v>0</v>
      </c>
      <c r="N47" s="180">
        <v>0</v>
      </c>
      <c r="O47" s="180">
        <v>0.1</v>
      </c>
      <c r="P47" s="59">
        <v>7.4</v>
      </c>
      <c r="Q47" s="179"/>
      <c r="R47" s="179"/>
      <c r="S47" s="179"/>
    </row>
    <row r="48" spans="4:19" x14ac:dyDescent="0.25">
      <c r="D48" s="6"/>
      <c r="E48" s="497" t="s">
        <v>31</v>
      </c>
      <c r="F48" s="40" t="s">
        <v>31</v>
      </c>
      <c r="G48" s="181">
        <v>14.3</v>
      </c>
      <c r="H48" s="89">
        <v>1337</v>
      </c>
      <c r="I48" s="89">
        <v>1492.7</v>
      </c>
      <c r="J48" s="89">
        <v>3.4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57">
        <v>2847.4</v>
      </c>
      <c r="Q48" s="179"/>
      <c r="R48" s="179"/>
      <c r="S48" s="179"/>
    </row>
    <row r="49" spans="4:19" ht="15.75" thickBot="1" x14ac:dyDescent="0.3">
      <c r="D49" s="6"/>
      <c r="E49" s="499"/>
      <c r="F49" s="117" t="s">
        <v>49</v>
      </c>
      <c r="G49" s="180">
        <v>14.3</v>
      </c>
      <c r="H49" s="180">
        <v>1337</v>
      </c>
      <c r="I49" s="180">
        <v>1492.7</v>
      </c>
      <c r="J49" s="180">
        <v>3.4</v>
      </c>
      <c r="K49" s="180">
        <v>0</v>
      </c>
      <c r="L49" s="180">
        <v>0</v>
      </c>
      <c r="M49" s="180">
        <v>0</v>
      </c>
      <c r="N49" s="180">
        <v>0</v>
      </c>
      <c r="O49" s="180">
        <v>0</v>
      </c>
      <c r="P49" s="59">
        <v>2847.4</v>
      </c>
      <c r="Q49" s="179"/>
      <c r="R49" s="179"/>
      <c r="S49" s="179"/>
    </row>
    <row r="50" spans="4:19" x14ac:dyDescent="0.25">
      <c r="D50" s="6"/>
      <c r="E50" s="497" t="s">
        <v>32</v>
      </c>
      <c r="F50" s="40" t="s">
        <v>32</v>
      </c>
      <c r="G50" s="181">
        <v>10.9</v>
      </c>
      <c r="H50" s="89">
        <v>347.9</v>
      </c>
      <c r="I50" s="89">
        <v>1944.1</v>
      </c>
      <c r="J50" s="89">
        <v>1471.6</v>
      </c>
      <c r="K50" s="89">
        <v>860.8</v>
      </c>
      <c r="L50" s="89">
        <v>46.9</v>
      </c>
      <c r="M50" s="89">
        <v>15.4</v>
      </c>
      <c r="N50" s="89">
        <v>0</v>
      </c>
      <c r="O50" s="89">
        <v>10.8</v>
      </c>
      <c r="P50" s="57">
        <v>4708.3999999999996</v>
      </c>
      <c r="Q50" s="179"/>
      <c r="R50" s="179"/>
      <c r="S50" s="179"/>
    </row>
    <row r="51" spans="4:19" ht="15.75" thickBot="1" x14ac:dyDescent="0.3">
      <c r="D51" s="6"/>
      <c r="E51" s="499"/>
      <c r="F51" s="117" t="s">
        <v>49</v>
      </c>
      <c r="G51" s="180">
        <v>10.9</v>
      </c>
      <c r="H51" s="180">
        <v>347.9</v>
      </c>
      <c r="I51" s="180">
        <v>1944.1</v>
      </c>
      <c r="J51" s="180">
        <v>1471.6</v>
      </c>
      <c r="K51" s="180">
        <v>860.8</v>
      </c>
      <c r="L51" s="180">
        <v>46.9</v>
      </c>
      <c r="M51" s="180">
        <v>15.4</v>
      </c>
      <c r="N51" s="180">
        <v>0</v>
      </c>
      <c r="O51" s="180">
        <v>10.8</v>
      </c>
      <c r="P51" s="59">
        <v>4708.3999999999996</v>
      </c>
      <c r="Q51" s="179"/>
      <c r="R51" s="179"/>
      <c r="S51" s="179"/>
    </row>
    <row r="52" spans="4:19" x14ac:dyDescent="0.25">
      <c r="D52" s="6"/>
      <c r="E52" s="497" t="s">
        <v>33</v>
      </c>
      <c r="F52" s="40" t="s">
        <v>33</v>
      </c>
      <c r="G52" s="181">
        <v>549.4</v>
      </c>
      <c r="H52" s="89">
        <v>2454.9</v>
      </c>
      <c r="I52" s="89">
        <v>1104.3</v>
      </c>
      <c r="J52" s="89">
        <v>183.1</v>
      </c>
      <c r="K52" s="89">
        <v>7.8</v>
      </c>
      <c r="L52" s="89">
        <v>0</v>
      </c>
      <c r="M52" s="89">
        <v>0</v>
      </c>
      <c r="N52" s="89">
        <v>0</v>
      </c>
      <c r="O52" s="89">
        <v>26.6</v>
      </c>
      <c r="P52" s="57">
        <v>4326.1000000000004</v>
      </c>
      <c r="Q52" s="179"/>
      <c r="R52" s="179"/>
      <c r="S52" s="179"/>
    </row>
    <row r="53" spans="4:19" ht="15.75" thickBot="1" x14ac:dyDescent="0.3">
      <c r="D53" s="6"/>
      <c r="E53" s="499"/>
      <c r="F53" s="117" t="s">
        <v>49</v>
      </c>
      <c r="G53" s="180">
        <v>549.4</v>
      </c>
      <c r="H53" s="180">
        <v>2454.9</v>
      </c>
      <c r="I53" s="180">
        <v>1104.3</v>
      </c>
      <c r="J53" s="180">
        <v>183.1</v>
      </c>
      <c r="K53" s="180">
        <v>7.8</v>
      </c>
      <c r="L53" s="180">
        <v>0</v>
      </c>
      <c r="M53" s="180">
        <v>0</v>
      </c>
      <c r="N53" s="180">
        <v>0</v>
      </c>
      <c r="O53" s="180">
        <v>26.6</v>
      </c>
      <c r="P53" s="59">
        <v>4326.1000000000004</v>
      </c>
      <c r="Q53" s="179"/>
      <c r="R53" s="179"/>
      <c r="S53" s="179"/>
    </row>
    <row r="54" spans="4:19" x14ac:dyDescent="0.25">
      <c r="D54" s="6"/>
      <c r="E54" s="497" t="s">
        <v>34</v>
      </c>
      <c r="F54" s="40" t="s">
        <v>34</v>
      </c>
      <c r="G54" s="181">
        <v>71</v>
      </c>
      <c r="H54" s="89">
        <v>3935.3</v>
      </c>
      <c r="I54" s="89">
        <v>3006.5</v>
      </c>
      <c r="J54" s="89">
        <v>13.9</v>
      </c>
      <c r="K54" s="89">
        <v>0</v>
      </c>
      <c r="L54" s="89">
        <v>0</v>
      </c>
      <c r="M54" s="89">
        <v>0</v>
      </c>
      <c r="N54" s="89">
        <v>0</v>
      </c>
      <c r="O54" s="89">
        <v>2.6</v>
      </c>
      <c r="P54" s="57">
        <v>7029.3</v>
      </c>
      <c r="Q54" s="179"/>
      <c r="R54" s="179"/>
      <c r="S54" s="179"/>
    </row>
    <row r="55" spans="4:19" ht="15.75" thickBot="1" x14ac:dyDescent="0.3">
      <c r="D55" s="6"/>
      <c r="E55" s="499"/>
      <c r="F55" s="117" t="s">
        <v>49</v>
      </c>
      <c r="G55" s="180">
        <v>71</v>
      </c>
      <c r="H55" s="180">
        <v>3935.3</v>
      </c>
      <c r="I55" s="180">
        <v>3006.5</v>
      </c>
      <c r="J55" s="180">
        <v>13.9</v>
      </c>
      <c r="K55" s="180">
        <v>0</v>
      </c>
      <c r="L55" s="180">
        <v>0</v>
      </c>
      <c r="M55" s="180">
        <v>0</v>
      </c>
      <c r="N55" s="180">
        <v>0</v>
      </c>
      <c r="O55" s="180">
        <v>2.6</v>
      </c>
      <c r="P55" s="59">
        <v>7029.3</v>
      </c>
      <c r="Q55" s="179"/>
      <c r="R55" s="179"/>
      <c r="S55" s="179"/>
    </row>
    <row r="56" spans="4:19" x14ac:dyDescent="0.25">
      <c r="D56" s="6"/>
      <c r="E56" s="497" t="s">
        <v>77</v>
      </c>
      <c r="F56" s="40" t="s">
        <v>30</v>
      </c>
      <c r="G56" s="181">
        <v>0</v>
      </c>
      <c r="H56" s="89">
        <v>55</v>
      </c>
      <c r="I56" s="89">
        <v>30.2</v>
      </c>
      <c r="J56" s="89">
        <v>37.1</v>
      </c>
      <c r="K56" s="89">
        <v>0</v>
      </c>
      <c r="L56" s="89">
        <v>0</v>
      </c>
      <c r="M56" s="89">
        <v>0</v>
      </c>
      <c r="N56" s="89">
        <v>0</v>
      </c>
      <c r="O56" s="89">
        <v>2</v>
      </c>
      <c r="P56" s="57">
        <v>124.3</v>
      </c>
      <c r="Q56" s="179"/>
      <c r="R56" s="179"/>
      <c r="S56" s="179"/>
    </row>
    <row r="57" spans="4:19" ht="15.75" thickBot="1" x14ac:dyDescent="0.3">
      <c r="D57" s="6"/>
      <c r="E57" s="499"/>
      <c r="F57" s="60" t="s">
        <v>49</v>
      </c>
      <c r="G57" s="180">
        <v>0</v>
      </c>
      <c r="H57" s="180">
        <v>55</v>
      </c>
      <c r="I57" s="180">
        <v>30.2</v>
      </c>
      <c r="J57" s="180">
        <v>37.1</v>
      </c>
      <c r="K57" s="180">
        <v>0</v>
      </c>
      <c r="L57" s="180">
        <v>0</v>
      </c>
      <c r="M57" s="180">
        <v>0</v>
      </c>
      <c r="N57" s="180">
        <v>0</v>
      </c>
      <c r="O57" s="180">
        <v>2</v>
      </c>
      <c r="P57" s="59">
        <v>124.3</v>
      </c>
      <c r="Q57" s="179"/>
      <c r="R57" s="179"/>
      <c r="S57" s="179"/>
    </row>
    <row r="58" spans="4:19" s="16" customFormat="1" ht="16.5" customHeight="1" thickBot="1" x14ac:dyDescent="0.3">
      <c r="E58" s="528" t="s">
        <v>35</v>
      </c>
      <c r="F58" s="529"/>
      <c r="G58" s="61">
        <v>36696.000000000007</v>
      </c>
      <c r="H58" s="61">
        <v>265414.39999999997</v>
      </c>
      <c r="I58" s="61">
        <v>593622.09999999986</v>
      </c>
      <c r="J58" s="61">
        <v>349825.6</v>
      </c>
      <c r="K58" s="61">
        <v>153344.80000000002</v>
      </c>
      <c r="L58" s="61">
        <v>12146.3</v>
      </c>
      <c r="M58" s="61">
        <v>3150.2000000000003</v>
      </c>
      <c r="N58" s="61">
        <v>220.6</v>
      </c>
      <c r="O58" s="61">
        <v>6676.800000000002</v>
      </c>
      <c r="P58" s="61">
        <v>1421096.7999999996</v>
      </c>
      <c r="Q58" s="179"/>
      <c r="R58" s="179"/>
      <c r="S58" s="290"/>
    </row>
    <row r="59" spans="4:19" ht="13.5" customHeight="1" x14ac:dyDescent="0.25">
      <c r="E59" s="488"/>
      <c r="F59" s="525"/>
      <c r="G59" s="525"/>
      <c r="H59" s="525"/>
      <c r="I59" s="525"/>
      <c r="J59" s="525"/>
      <c r="K59" s="525"/>
      <c r="L59" s="525"/>
      <c r="M59" s="525"/>
      <c r="N59" s="525"/>
      <c r="O59" s="525"/>
      <c r="P59" s="525"/>
    </row>
    <row r="60" spans="4:19" ht="15.75" x14ac:dyDescent="0.25">
      <c r="E60" s="530" t="s">
        <v>86</v>
      </c>
      <c r="F60" s="531"/>
      <c r="G60" s="531"/>
      <c r="H60" s="531"/>
      <c r="I60" s="531"/>
      <c r="J60" s="531"/>
      <c r="K60" s="531"/>
      <c r="L60" s="531"/>
      <c r="M60" s="531"/>
      <c r="N60" s="531"/>
      <c r="O60" s="531"/>
      <c r="P60" s="531"/>
    </row>
    <row r="61" spans="4:19" ht="13.5" customHeight="1" x14ac:dyDescent="0.25">
      <c r="E61" s="488" t="s">
        <v>121</v>
      </c>
      <c r="F61" s="525"/>
      <c r="G61" s="525"/>
      <c r="H61" s="525"/>
      <c r="I61" s="525"/>
      <c r="J61" s="525"/>
      <c r="K61" s="525"/>
      <c r="L61" s="525"/>
      <c r="M61" s="525"/>
      <c r="N61" s="525"/>
      <c r="O61" s="525"/>
      <c r="P61" s="525"/>
    </row>
    <row r="62" spans="4:19" x14ac:dyDescent="0.25"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R62" s="239"/>
    </row>
    <row r="63" spans="4:19" x14ac:dyDescent="0.25">
      <c r="H63" s="179"/>
      <c r="I63" s="179"/>
      <c r="J63" s="179"/>
      <c r="K63" s="179"/>
      <c r="L63" s="179"/>
      <c r="M63" s="179"/>
      <c r="N63" s="179"/>
      <c r="O63" s="179"/>
      <c r="P63" s="179"/>
    </row>
  </sheetData>
  <mergeCells count="20">
    <mergeCell ref="E61:P61"/>
    <mergeCell ref="E33:E37"/>
    <mergeCell ref="E38:E42"/>
    <mergeCell ref="E43:E45"/>
    <mergeCell ref="E46:E47"/>
    <mergeCell ref="E48:E49"/>
    <mergeCell ref="E50:E51"/>
    <mergeCell ref="E52:E53"/>
    <mergeCell ref="E54:E55"/>
    <mergeCell ref="E56:E57"/>
    <mergeCell ref="E58:F58"/>
    <mergeCell ref="E60:P60"/>
    <mergeCell ref="E1:P3"/>
    <mergeCell ref="E59:P59"/>
    <mergeCell ref="E27:E32"/>
    <mergeCell ref="E5:E13"/>
    <mergeCell ref="E14:E17"/>
    <mergeCell ref="E18:E19"/>
    <mergeCell ref="E20:E23"/>
    <mergeCell ref="E24:E26"/>
  </mergeCells>
  <pageMargins left="0.70866141732283472" right="0.70866141732283472" top="0.70023148148148151" bottom="0.49652777777777779" header="0.31496062992125984" footer="0.31496062992125984"/>
  <pageSetup paperSize="9" scale="55" orientation="landscape" r:id="rId1"/>
  <headerFooter>
    <oddHeader>&amp;L&amp;G&amp;RCAMPAÑA: 2024/2025. MES: SEPTIEMBRE
Fecha de emisión de datos: 07/05/2026</oddHead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2:Q66"/>
  <sheetViews>
    <sheetView view="pageLayout" topLeftCell="B1" zoomScale="90" zoomScaleNormal="50" zoomScaleSheetLayoutView="100" zoomScalePageLayoutView="90" workbookViewId="0">
      <selection activeCell="E2" sqref="E2:P4"/>
    </sheetView>
  </sheetViews>
  <sheetFormatPr baseColWidth="10" defaultColWidth="11.42578125" defaultRowHeight="15" x14ac:dyDescent="0.25"/>
  <cols>
    <col min="5" max="5" width="26.7109375" customWidth="1"/>
    <col min="6" max="6" width="22" customWidth="1"/>
    <col min="9" max="11" width="11.42578125" customWidth="1"/>
    <col min="12" max="12" width="13.28515625" style="16" bestFit="1" customWidth="1"/>
    <col min="13" max="13" width="11.42578125" style="16"/>
    <col min="14" max="15" width="11.42578125" style="16" customWidth="1"/>
    <col min="16" max="16" width="11.42578125" customWidth="1"/>
  </cols>
  <sheetData>
    <row r="2" spans="4:16" ht="15" customHeight="1" x14ac:dyDescent="0.25">
      <c r="E2" s="482" t="s">
        <v>127</v>
      </c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</row>
    <row r="3" spans="4:16" ht="15" customHeight="1" x14ac:dyDescent="0.25"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</row>
    <row r="4" spans="4:16" ht="20.25" customHeight="1" x14ac:dyDescent="0.25"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</row>
    <row r="5" spans="4:16" ht="15.75" customHeight="1" thickBot="1" x14ac:dyDescent="0.3">
      <c r="G5" s="11"/>
      <c r="H5" s="11"/>
      <c r="I5" s="11"/>
      <c r="J5" s="11"/>
      <c r="K5" s="11"/>
      <c r="L5" s="19"/>
      <c r="M5" s="20"/>
      <c r="N5" s="21"/>
      <c r="O5" s="21"/>
    </row>
    <row r="6" spans="4:16" ht="15.75" thickBot="1" x14ac:dyDescent="0.3">
      <c r="E6" s="64"/>
      <c r="F6" s="64"/>
      <c r="G6" s="522" t="s">
        <v>102</v>
      </c>
      <c r="H6" s="536"/>
      <c r="I6" s="536"/>
      <c r="J6" s="536"/>
      <c r="K6" s="537"/>
      <c r="L6" s="536" t="s">
        <v>71</v>
      </c>
      <c r="M6" s="536"/>
      <c r="N6" s="536"/>
      <c r="O6" s="536"/>
      <c r="P6" s="537"/>
    </row>
    <row r="7" spans="4:16" ht="15.75" thickBot="1" x14ac:dyDescent="0.3">
      <c r="E7" s="65"/>
      <c r="F7" s="64"/>
      <c r="G7" s="66" t="s">
        <v>60</v>
      </c>
      <c r="H7" s="538" t="s">
        <v>101</v>
      </c>
      <c r="I7" s="539"/>
      <c r="J7" s="538" t="s">
        <v>98</v>
      </c>
      <c r="K7" s="539"/>
      <c r="L7" s="67" t="s">
        <v>60</v>
      </c>
      <c r="M7" s="540" t="s">
        <v>101</v>
      </c>
      <c r="N7" s="541"/>
      <c r="O7" s="538" t="s">
        <v>98</v>
      </c>
      <c r="P7" s="539"/>
    </row>
    <row r="8" spans="4:16" ht="15.75" thickBot="1" x14ac:dyDescent="0.3">
      <c r="D8" s="6"/>
      <c r="E8" s="268" t="s">
        <v>54</v>
      </c>
      <c r="F8" s="268" t="s">
        <v>4</v>
      </c>
      <c r="G8" s="68" t="s">
        <v>131</v>
      </c>
      <c r="H8" s="264" t="s">
        <v>131</v>
      </c>
      <c r="I8" s="66" t="s">
        <v>97</v>
      </c>
      <c r="J8" s="66" t="s">
        <v>131</v>
      </c>
      <c r="K8" s="66" t="s">
        <v>97</v>
      </c>
      <c r="L8" s="69" t="s">
        <v>138</v>
      </c>
      <c r="M8" s="69" t="s">
        <v>138</v>
      </c>
      <c r="N8" s="266" t="s">
        <v>97</v>
      </c>
      <c r="O8" s="69" t="s">
        <v>138</v>
      </c>
      <c r="P8" s="265" t="s">
        <v>97</v>
      </c>
    </row>
    <row r="9" spans="4:16" x14ac:dyDescent="0.25">
      <c r="D9" s="6"/>
      <c r="E9" s="497" t="s">
        <v>74</v>
      </c>
      <c r="F9" s="70" t="s">
        <v>80</v>
      </c>
      <c r="G9" s="182">
        <v>28</v>
      </c>
      <c r="H9" s="183">
        <v>5</v>
      </c>
      <c r="I9" s="255">
        <v>0.17857142857142858</v>
      </c>
      <c r="J9" s="184">
        <v>23</v>
      </c>
      <c r="K9" s="185">
        <v>0.8214285714285714</v>
      </c>
      <c r="L9" s="71">
        <v>4413.8999999999996</v>
      </c>
      <c r="M9" s="72">
        <v>536.20000000000005</v>
      </c>
      <c r="N9" s="255">
        <v>0.12147987040938854</v>
      </c>
      <c r="O9" s="72">
        <v>3877.7</v>
      </c>
      <c r="P9" s="186">
        <v>0.87852012959061154</v>
      </c>
    </row>
    <row r="10" spans="4:16" x14ac:dyDescent="0.25">
      <c r="D10" s="6"/>
      <c r="E10" s="534"/>
      <c r="F10" s="267" t="s">
        <v>81</v>
      </c>
      <c r="G10" s="187">
        <v>20</v>
      </c>
      <c r="H10" s="188">
        <v>4</v>
      </c>
      <c r="I10" s="255">
        <v>0.2</v>
      </c>
      <c r="J10" s="189">
        <v>16</v>
      </c>
      <c r="K10" s="185">
        <v>0.8</v>
      </c>
      <c r="L10" s="73">
        <v>8416.9</v>
      </c>
      <c r="M10" s="74">
        <v>6853.9</v>
      </c>
      <c r="N10" s="255">
        <v>0.81430217776140856</v>
      </c>
      <c r="O10" s="74">
        <v>1563</v>
      </c>
      <c r="P10" s="190">
        <v>0.18569782223859141</v>
      </c>
    </row>
    <row r="11" spans="4:16" x14ac:dyDescent="0.25">
      <c r="D11" s="6"/>
      <c r="E11" s="534"/>
      <c r="F11" s="267" t="s">
        <v>82</v>
      </c>
      <c r="G11" s="187">
        <v>187</v>
      </c>
      <c r="H11" s="188">
        <v>72</v>
      </c>
      <c r="I11" s="255">
        <v>0.38502673796791442</v>
      </c>
      <c r="J11" s="189">
        <v>115</v>
      </c>
      <c r="K11" s="185">
        <v>0.61497326203208558</v>
      </c>
      <c r="L11" s="73">
        <v>291821.09999999998</v>
      </c>
      <c r="M11" s="74">
        <v>163627.9</v>
      </c>
      <c r="N11" s="255">
        <v>0.56071305330560406</v>
      </c>
      <c r="O11" s="74">
        <v>128193.2</v>
      </c>
      <c r="P11" s="190">
        <v>0.439286946694396</v>
      </c>
    </row>
    <row r="12" spans="4:16" x14ac:dyDescent="0.25">
      <c r="D12" s="6"/>
      <c r="E12" s="534"/>
      <c r="F12" s="267" t="s">
        <v>6</v>
      </c>
      <c r="G12" s="187">
        <v>103</v>
      </c>
      <c r="H12" s="188">
        <v>48</v>
      </c>
      <c r="I12" s="255">
        <v>0.46601941747572817</v>
      </c>
      <c r="J12" s="189">
        <v>55</v>
      </c>
      <c r="K12" s="185">
        <v>0.53398058252427183</v>
      </c>
      <c r="L12" s="73">
        <v>124387.4</v>
      </c>
      <c r="M12" s="74">
        <v>82438.7</v>
      </c>
      <c r="N12" s="255">
        <v>0.66275764265512427</v>
      </c>
      <c r="O12" s="74">
        <v>41948.7</v>
      </c>
      <c r="P12" s="190">
        <v>0.33724235734487579</v>
      </c>
    </row>
    <row r="13" spans="4:16" x14ac:dyDescent="0.25">
      <c r="D13" s="6"/>
      <c r="E13" s="534"/>
      <c r="F13" s="267" t="s">
        <v>7</v>
      </c>
      <c r="G13" s="187">
        <v>21</v>
      </c>
      <c r="H13" s="188">
        <v>15</v>
      </c>
      <c r="I13" s="255">
        <v>0.7142857142857143</v>
      </c>
      <c r="J13" s="189">
        <v>6</v>
      </c>
      <c r="K13" s="185">
        <v>0.2857142857142857</v>
      </c>
      <c r="L13" s="73">
        <v>8388</v>
      </c>
      <c r="M13" s="74">
        <v>2674.1</v>
      </c>
      <c r="N13" s="255">
        <v>0.31880066762041009</v>
      </c>
      <c r="O13" s="74">
        <v>5713.9</v>
      </c>
      <c r="P13" s="190">
        <v>0.68119933237958985</v>
      </c>
    </row>
    <row r="14" spans="4:16" x14ac:dyDescent="0.25">
      <c r="D14" s="6"/>
      <c r="E14" s="534"/>
      <c r="F14" s="267" t="s">
        <v>83</v>
      </c>
      <c r="G14" s="187">
        <v>330</v>
      </c>
      <c r="H14" s="188">
        <v>182</v>
      </c>
      <c r="I14" s="255">
        <v>0.55151515151515151</v>
      </c>
      <c r="J14" s="189">
        <v>148</v>
      </c>
      <c r="K14" s="185">
        <v>0.44848484848484849</v>
      </c>
      <c r="L14" s="73">
        <v>563094</v>
      </c>
      <c r="M14" s="74">
        <v>389456.4</v>
      </c>
      <c r="N14" s="255">
        <v>0.69163656512056604</v>
      </c>
      <c r="O14" s="74">
        <v>173637.6</v>
      </c>
      <c r="P14" s="190">
        <v>0.30836343487943402</v>
      </c>
    </row>
    <row r="15" spans="4:16" x14ac:dyDescent="0.25">
      <c r="D15" s="6"/>
      <c r="E15" s="534"/>
      <c r="F15" s="267" t="s">
        <v>84</v>
      </c>
      <c r="G15" s="187">
        <v>78</v>
      </c>
      <c r="H15" s="188">
        <v>41</v>
      </c>
      <c r="I15" s="255">
        <v>0.52564102564102566</v>
      </c>
      <c r="J15" s="189">
        <v>37</v>
      </c>
      <c r="K15" s="185">
        <v>0.47435897435897434</v>
      </c>
      <c r="L15" s="73">
        <v>35476.9</v>
      </c>
      <c r="M15" s="74">
        <v>30712.799999999999</v>
      </c>
      <c r="N15" s="255">
        <v>0.86571261863353333</v>
      </c>
      <c r="O15" s="74">
        <v>4764.1000000000004</v>
      </c>
      <c r="P15" s="190">
        <v>0.13428738136646665</v>
      </c>
    </row>
    <row r="16" spans="4:16" x14ac:dyDescent="0.25">
      <c r="D16" s="6"/>
      <c r="E16" s="534"/>
      <c r="F16" s="75" t="s">
        <v>8</v>
      </c>
      <c r="G16" s="191">
        <v>90</v>
      </c>
      <c r="H16" s="192">
        <v>50</v>
      </c>
      <c r="I16" s="255">
        <v>0.55555555555555558</v>
      </c>
      <c r="J16" s="193">
        <v>40</v>
      </c>
      <c r="K16" s="185">
        <v>0.44444444444444442</v>
      </c>
      <c r="L16" s="76">
        <v>111876.40000000001</v>
      </c>
      <c r="M16" s="77">
        <v>66396.600000000006</v>
      </c>
      <c r="N16" s="255">
        <v>0.59348173520063208</v>
      </c>
      <c r="O16" s="77">
        <v>45479.8</v>
      </c>
      <c r="P16" s="194">
        <v>0.40651826479936787</v>
      </c>
    </row>
    <row r="17" spans="4:16" s="18" customFormat="1" ht="15.75" thickBot="1" x14ac:dyDescent="0.3">
      <c r="D17" s="17"/>
      <c r="E17" s="535"/>
      <c r="F17" s="262" t="s">
        <v>99</v>
      </c>
      <c r="G17" s="78">
        <v>857</v>
      </c>
      <c r="H17" s="79">
        <v>417</v>
      </c>
      <c r="I17" s="256">
        <v>0.48658109684947493</v>
      </c>
      <c r="J17" s="80">
        <v>440</v>
      </c>
      <c r="K17" s="81">
        <v>0.51341890315052507</v>
      </c>
      <c r="L17" s="82">
        <v>1147874.5999999999</v>
      </c>
      <c r="M17" s="82">
        <v>742696.60000000009</v>
      </c>
      <c r="N17" s="256">
        <v>0.64701893394975385</v>
      </c>
      <c r="O17" s="82">
        <v>405177.99999999994</v>
      </c>
      <c r="P17" s="83">
        <v>0.35298106605024626</v>
      </c>
    </row>
    <row r="18" spans="4:16" x14ac:dyDescent="0.25">
      <c r="E18" s="476" t="s">
        <v>75</v>
      </c>
      <c r="F18" s="267" t="s">
        <v>10</v>
      </c>
      <c r="G18" s="187">
        <v>27</v>
      </c>
      <c r="H18" s="188">
        <v>10</v>
      </c>
      <c r="I18" s="255">
        <v>0.37037037037037035</v>
      </c>
      <c r="J18" s="188">
        <v>17</v>
      </c>
      <c r="K18" s="185">
        <v>0.62962962962962965</v>
      </c>
      <c r="L18" s="74">
        <v>1821.5</v>
      </c>
      <c r="M18" s="74">
        <v>546.20000000000005</v>
      </c>
      <c r="N18" s="255">
        <v>0.29986275048037336</v>
      </c>
      <c r="O18" s="74">
        <v>1275.3</v>
      </c>
      <c r="P18" s="195">
        <v>0.70013724951962664</v>
      </c>
    </row>
    <row r="19" spans="4:16" x14ac:dyDescent="0.25">
      <c r="E19" s="532"/>
      <c r="F19" s="267" t="s">
        <v>11</v>
      </c>
      <c r="G19" s="187">
        <v>27</v>
      </c>
      <c r="H19" s="188">
        <v>15</v>
      </c>
      <c r="I19" s="255">
        <v>0.55555555555555558</v>
      </c>
      <c r="J19" s="188">
        <v>12</v>
      </c>
      <c r="K19" s="185">
        <v>0.44444444444444442</v>
      </c>
      <c r="L19" s="74">
        <v>1733</v>
      </c>
      <c r="M19" s="74">
        <v>316.39999999999998</v>
      </c>
      <c r="N19" s="255">
        <v>0.18257357184073858</v>
      </c>
      <c r="O19" s="74">
        <v>1416.6</v>
      </c>
      <c r="P19" s="195">
        <v>0.81742642815926136</v>
      </c>
    </row>
    <row r="20" spans="4:16" x14ac:dyDescent="0.25">
      <c r="E20" s="532"/>
      <c r="F20" s="75" t="s">
        <v>12</v>
      </c>
      <c r="G20" s="191">
        <v>43</v>
      </c>
      <c r="H20" s="192">
        <v>25</v>
      </c>
      <c r="I20" s="255">
        <v>0.58139534883720934</v>
      </c>
      <c r="J20" s="192">
        <v>18</v>
      </c>
      <c r="K20" s="185">
        <v>0.41860465116279072</v>
      </c>
      <c r="L20" s="77">
        <v>3920.1</v>
      </c>
      <c r="M20" s="77">
        <v>1699.4</v>
      </c>
      <c r="N20" s="255">
        <v>0.43350934925129464</v>
      </c>
      <c r="O20" s="77">
        <v>2220.6999999999998</v>
      </c>
      <c r="P20" s="196">
        <v>0.5664906507487053</v>
      </c>
    </row>
    <row r="21" spans="4:16" s="18" customFormat="1" ht="15.75" thickBot="1" x14ac:dyDescent="0.3">
      <c r="E21" s="533"/>
      <c r="F21" s="262" t="s">
        <v>99</v>
      </c>
      <c r="G21" s="78">
        <v>97</v>
      </c>
      <c r="H21" s="84">
        <v>50</v>
      </c>
      <c r="I21" s="256">
        <v>0.51546391752577314</v>
      </c>
      <c r="J21" s="85">
        <v>47</v>
      </c>
      <c r="K21" s="81">
        <v>0.4845360824742268</v>
      </c>
      <c r="L21" s="86">
        <v>7474.6</v>
      </c>
      <c r="M21" s="86">
        <v>2562</v>
      </c>
      <c r="N21" s="256">
        <v>0.34276081663232816</v>
      </c>
      <c r="O21" s="86">
        <v>4912.5999999999995</v>
      </c>
      <c r="P21" s="83">
        <v>0.65723918336767173</v>
      </c>
    </row>
    <row r="22" spans="4:16" x14ac:dyDescent="0.25">
      <c r="E22" s="476" t="s">
        <v>13</v>
      </c>
      <c r="F22" s="87" t="s">
        <v>13</v>
      </c>
      <c r="G22" s="197">
        <v>23</v>
      </c>
      <c r="H22" s="198">
        <v>5</v>
      </c>
      <c r="I22" s="255">
        <v>0.21739130434782608</v>
      </c>
      <c r="J22" s="188">
        <v>18</v>
      </c>
      <c r="K22" s="185">
        <v>0.78260869565217395</v>
      </c>
      <c r="L22" s="74">
        <v>245</v>
      </c>
      <c r="M22" s="88">
        <v>98.2</v>
      </c>
      <c r="N22" s="255">
        <v>0.40081632653061228</v>
      </c>
      <c r="O22" s="88">
        <v>146.80000000000001</v>
      </c>
      <c r="P22" s="195">
        <v>0.59918367346938783</v>
      </c>
    </row>
    <row r="23" spans="4:16" s="10" customFormat="1" ht="15.75" thickBot="1" x14ac:dyDescent="0.3">
      <c r="E23" s="533"/>
      <c r="F23" s="262" t="s">
        <v>99</v>
      </c>
      <c r="G23" s="200">
        <v>23</v>
      </c>
      <c r="H23" s="201">
        <v>5</v>
      </c>
      <c r="I23" s="256">
        <v>0.21739130434782608</v>
      </c>
      <c r="J23" s="80">
        <v>18</v>
      </c>
      <c r="K23" s="81">
        <v>0.78260869565217395</v>
      </c>
      <c r="L23" s="82">
        <v>245</v>
      </c>
      <c r="M23" s="82">
        <v>98.2</v>
      </c>
      <c r="N23" s="256">
        <v>0.40081632653061228</v>
      </c>
      <c r="O23" s="82">
        <v>146.80000000000001</v>
      </c>
      <c r="P23" s="202">
        <v>0.59918367346938783</v>
      </c>
    </row>
    <row r="24" spans="4:16" s="10" customFormat="1" x14ac:dyDescent="0.25">
      <c r="E24" s="476" t="s">
        <v>153</v>
      </c>
      <c r="F24" s="28" t="s">
        <v>154</v>
      </c>
      <c r="G24" s="187">
        <v>2</v>
      </c>
      <c r="H24" s="188">
        <v>0</v>
      </c>
      <c r="I24" s="255">
        <v>0</v>
      </c>
      <c r="J24" s="188">
        <v>2</v>
      </c>
      <c r="K24" s="185">
        <v>1</v>
      </c>
      <c r="L24" s="74">
        <v>0</v>
      </c>
      <c r="M24" s="74">
        <v>0</v>
      </c>
      <c r="N24" s="255">
        <v>0</v>
      </c>
      <c r="O24" s="74">
        <v>0</v>
      </c>
      <c r="P24" s="195">
        <v>0</v>
      </c>
    </row>
    <row r="25" spans="4:16" s="10" customFormat="1" x14ac:dyDescent="0.25">
      <c r="E25" s="532"/>
      <c r="F25" s="32" t="s">
        <v>155</v>
      </c>
      <c r="G25" s="187">
        <v>2</v>
      </c>
      <c r="H25" s="188">
        <v>1</v>
      </c>
      <c r="I25" s="255">
        <v>0.5</v>
      </c>
      <c r="J25" s="188">
        <v>1</v>
      </c>
      <c r="K25" s="185">
        <v>0.5</v>
      </c>
      <c r="L25" s="74">
        <v>1.4</v>
      </c>
      <c r="M25" s="74">
        <v>1.4</v>
      </c>
      <c r="N25" s="255">
        <v>1</v>
      </c>
      <c r="O25" s="74">
        <v>0</v>
      </c>
      <c r="P25" s="195">
        <v>0</v>
      </c>
    </row>
    <row r="26" spans="4:16" s="10" customFormat="1" ht="15.75" thickBot="1" x14ac:dyDescent="0.3">
      <c r="E26" s="533"/>
      <c r="F26" s="48" t="s">
        <v>99</v>
      </c>
      <c r="G26" s="205">
        <v>4</v>
      </c>
      <c r="H26" s="79">
        <v>1</v>
      </c>
      <c r="I26" s="256">
        <v>0.25</v>
      </c>
      <c r="J26" s="79">
        <v>3</v>
      </c>
      <c r="K26" s="81">
        <v>0.75</v>
      </c>
      <c r="L26" s="82">
        <v>1.4</v>
      </c>
      <c r="M26" s="82">
        <v>1.4</v>
      </c>
      <c r="N26" s="256">
        <v>1</v>
      </c>
      <c r="O26" s="82">
        <v>0</v>
      </c>
      <c r="P26" s="211">
        <v>0</v>
      </c>
    </row>
    <row r="27" spans="4:16" x14ac:dyDescent="0.25">
      <c r="E27" s="476" t="s">
        <v>73</v>
      </c>
      <c r="F27" s="267" t="s">
        <v>16</v>
      </c>
      <c r="G27" s="187">
        <v>39</v>
      </c>
      <c r="H27" s="188">
        <v>14</v>
      </c>
      <c r="I27" s="255">
        <v>0.35897435897435898</v>
      </c>
      <c r="J27" s="188">
        <v>25</v>
      </c>
      <c r="K27" s="185">
        <v>0.64102564102564108</v>
      </c>
      <c r="L27" s="74">
        <v>10327.299999999999</v>
      </c>
      <c r="M27" s="74">
        <v>4817.8999999999996</v>
      </c>
      <c r="N27" s="255">
        <v>0.46652077503316453</v>
      </c>
      <c r="O27" s="74">
        <v>5509.4</v>
      </c>
      <c r="P27" s="195">
        <v>0.53347922496683553</v>
      </c>
    </row>
    <row r="28" spans="4:16" x14ac:dyDescent="0.25">
      <c r="E28" s="532"/>
      <c r="F28" s="267" t="s">
        <v>17</v>
      </c>
      <c r="G28" s="187">
        <v>79</v>
      </c>
      <c r="H28" s="188">
        <v>43</v>
      </c>
      <c r="I28" s="255">
        <v>0.54430379746835444</v>
      </c>
      <c r="J28" s="188">
        <v>36</v>
      </c>
      <c r="K28" s="185">
        <v>0.45569620253164556</v>
      </c>
      <c r="L28" s="74">
        <v>72785.100000000006</v>
      </c>
      <c r="M28" s="74">
        <v>40578.5</v>
      </c>
      <c r="N28" s="255">
        <v>0.55751108399933502</v>
      </c>
      <c r="O28" s="74">
        <v>32206.6</v>
      </c>
      <c r="P28" s="195">
        <v>0.44248891600066492</v>
      </c>
    </row>
    <row r="29" spans="4:16" x14ac:dyDescent="0.25">
      <c r="E29" s="532"/>
      <c r="F29" s="267" t="s">
        <v>18</v>
      </c>
      <c r="G29" s="187">
        <v>27</v>
      </c>
      <c r="H29" s="188">
        <v>12</v>
      </c>
      <c r="I29" s="255">
        <v>0.44444444444444442</v>
      </c>
      <c r="J29" s="188">
        <v>15</v>
      </c>
      <c r="K29" s="185">
        <v>0.55555555555555558</v>
      </c>
      <c r="L29" s="74">
        <v>5218.6000000000004</v>
      </c>
      <c r="M29" s="74">
        <v>2194.3000000000002</v>
      </c>
      <c r="N29" s="255">
        <v>0.42047675621814279</v>
      </c>
      <c r="O29" s="74">
        <v>3024.3</v>
      </c>
      <c r="P29" s="195">
        <v>0.57952324378185716</v>
      </c>
    </row>
    <row r="30" spans="4:16" x14ac:dyDescent="0.25">
      <c r="E30" s="532"/>
      <c r="F30" s="267" t="s">
        <v>50</v>
      </c>
      <c r="G30" s="187">
        <v>7</v>
      </c>
      <c r="H30" s="188">
        <v>1</v>
      </c>
      <c r="I30" s="255">
        <v>0.14285714285714285</v>
      </c>
      <c r="J30" s="188">
        <v>6</v>
      </c>
      <c r="K30" s="185">
        <v>0.8571428571428571</v>
      </c>
      <c r="L30" s="74">
        <v>2301.6</v>
      </c>
      <c r="M30" s="74">
        <v>25.1</v>
      </c>
      <c r="N30" s="255">
        <v>1.0905457073340286E-2</v>
      </c>
      <c r="O30" s="74">
        <v>2276.5</v>
      </c>
      <c r="P30" s="195">
        <v>0.98909454292665977</v>
      </c>
    </row>
    <row r="31" spans="4:16" x14ac:dyDescent="0.25">
      <c r="E31" s="532"/>
      <c r="F31" s="75" t="s">
        <v>19</v>
      </c>
      <c r="G31" s="191">
        <v>112</v>
      </c>
      <c r="H31" s="192">
        <v>57</v>
      </c>
      <c r="I31" s="255">
        <v>0.5089285714285714</v>
      </c>
      <c r="J31" s="192">
        <v>55</v>
      </c>
      <c r="K31" s="185">
        <v>0.49107142857142855</v>
      </c>
      <c r="L31" s="77">
        <v>56001.200000000004</v>
      </c>
      <c r="M31" s="77">
        <v>39134.300000000003</v>
      </c>
      <c r="N31" s="255">
        <v>0.69881181117547486</v>
      </c>
      <c r="O31" s="77">
        <v>16866.900000000001</v>
      </c>
      <c r="P31" s="196">
        <v>0.30118818882452519</v>
      </c>
    </row>
    <row r="32" spans="4:16" s="10" customFormat="1" ht="15.75" thickBot="1" x14ac:dyDescent="0.3">
      <c r="E32" s="533"/>
      <c r="F32" s="262" t="s">
        <v>99</v>
      </c>
      <c r="G32" s="78">
        <v>264</v>
      </c>
      <c r="H32" s="84">
        <v>127</v>
      </c>
      <c r="I32" s="256">
        <v>0.48106060606060608</v>
      </c>
      <c r="J32" s="84">
        <v>137</v>
      </c>
      <c r="K32" s="81">
        <v>0.51893939393939392</v>
      </c>
      <c r="L32" s="86">
        <v>146633.80000000002</v>
      </c>
      <c r="M32" s="86">
        <v>86750.1</v>
      </c>
      <c r="N32" s="256">
        <v>0.59161052908674527</v>
      </c>
      <c r="O32" s="86">
        <v>59883.700000000004</v>
      </c>
      <c r="P32" s="83">
        <v>0.40838947091325462</v>
      </c>
    </row>
    <row r="33" spans="5:16" x14ac:dyDescent="0.25">
      <c r="E33" s="476" t="s">
        <v>76</v>
      </c>
      <c r="F33" s="267" t="s">
        <v>78</v>
      </c>
      <c r="G33" s="187">
        <v>11</v>
      </c>
      <c r="H33" s="188">
        <v>8</v>
      </c>
      <c r="I33" s="199">
        <v>0.72727272727272729</v>
      </c>
      <c r="J33" s="188">
        <v>3</v>
      </c>
      <c r="K33" s="185">
        <v>0.27272727272727271</v>
      </c>
      <c r="L33" s="74">
        <v>806.2</v>
      </c>
      <c r="M33" s="74">
        <v>273.60000000000002</v>
      </c>
      <c r="N33" s="255">
        <v>0.33936988340362195</v>
      </c>
      <c r="O33" s="74">
        <v>532.6</v>
      </c>
      <c r="P33" s="195">
        <v>0.66063011659637805</v>
      </c>
    </row>
    <row r="34" spans="5:16" x14ac:dyDescent="0.25">
      <c r="E34" s="532"/>
      <c r="F34" s="267" t="s">
        <v>20</v>
      </c>
      <c r="G34" s="187">
        <v>5</v>
      </c>
      <c r="H34" s="188">
        <v>3</v>
      </c>
      <c r="I34" s="199">
        <v>0.6</v>
      </c>
      <c r="J34" s="188">
        <v>2</v>
      </c>
      <c r="K34" s="185">
        <v>0.4</v>
      </c>
      <c r="L34" s="74">
        <v>206.3</v>
      </c>
      <c r="M34" s="74">
        <v>68.8</v>
      </c>
      <c r="N34" s="255">
        <v>0.33349491032476974</v>
      </c>
      <c r="O34" s="74">
        <v>137.5</v>
      </c>
      <c r="P34" s="195">
        <v>0.66650508967523026</v>
      </c>
    </row>
    <row r="35" spans="5:16" x14ac:dyDescent="0.25">
      <c r="E35" s="532"/>
      <c r="F35" s="267" t="s">
        <v>151</v>
      </c>
      <c r="G35" s="187">
        <v>1</v>
      </c>
      <c r="H35" s="188">
        <v>0</v>
      </c>
      <c r="I35" s="199">
        <v>0</v>
      </c>
      <c r="J35" s="188">
        <v>1</v>
      </c>
      <c r="K35" s="185">
        <v>1</v>
      </c>
      <c r="L35" s="74">
        <v>0.4</v>
      </c>
      <c r="M35" s="74">
        <v>0</v>
      </c>
      <c r="N35" s="255">
        <v>0</v>
      </c>
      <c r="O35" s="74">
        <v>0.4</v>
      </c>
      <c r="P35" s="195">
        <v>1</v>
      </c>
    </row>
    <row r="36" spans="5:16" x14ac:dyDescent="0.25">
      <c r="E36" s="532"/>
      <c r="F36" s="32" t="s">
        <v>21</v>
      </c>
      <c r="G36" s="191">
        <v>3</v>
      </c>
      <c r="H36" s="192">
        <v>1</v>
      </c>
      <c r="I36" s="203">
        <v>0.33333333333333331</v>
      </c>
      <c r="J36" s="192">
        <v>2</v>
      </c>
      <c r="K36" s="185">
        <v>0.66666666666666663</v>
      </c>
      <c r="L36" s="77">
        <v>414.6</v>
      </c>
      <c r="M36" s="77">
        <v>38</v>
      </c>
      <c r="N36" s="255">
        <v>9.1654606849975881E-2</v>
      </c>
      <c r="O36" s="77">
        <v>376.6</v>
      </c>
      <c r="P36" s="196">
        <v>0.90834539315002416</v>
      </c>
    </row>
    <row r="37" spans="5:16" s="10" customFormat="1" ht="15.75" thickBot="1" x14ac:dyDescent="0.3">
      <c r="E37" s="533"/>
      <c r="F37" s="262" t="s">
        <v>99</v>
      </c>
      <c r="G37" s="78">
        <v>20</v>
      </c>
      <c r="H37" s="84">
        <v>12</v>
      </c>
      <c r="I37" s="204">
        <v>0.6</v>
      </c>
      <c r="J37" s="84">
        <v>8</v>
      </c>
      <c r="K37" s="81">
        <v>0.4</v>
      </c>
      <c r="L37" s="86">
        <v>1427.5</v>
      </c>
      <c r="M37" s="86">
        <v>380.40000000000003</v>
      </c>
      <c r="N37" s="256">
        <v>0.26647985989492123</v>
      </c>
      <c r="O37" s="86">
        <v>1047.0999999999999</v>
      </c>
      <c r="P37" s="83">
        <v>0.73352014010507871</v>
      </c>
    </row>
    <row r="38" spans="5:16" x14ac:dyDescent="0.25">
      <c r="E38" s="476" t="s">
        <v>22</v>
      </c>
      <c r="F38" s="267" t="s">
        <v>23</v>
      </c>
      <c r="G38" s="187">
        <v>13</v>
      </c>
      <c r="H38" s="188">
        <v>2</v>
      </c>
      <c r="I38" s="199">
        <v>0.15384615384615385</v>
      </c>
      <c r="J38" s="188">
        <v>11</v>
      </c>
      <c r="K38" s="185">
        <v>0.84615384615384615</v>
      </c>
      <c r="L38" s="74">
        <v>652.5</v>
      </c>
      <c r="M38" s="74">
        <v>51.9</v>
      </c>
      <c r="N38" s="255">
        <v>7.9540229885057476E-2</v>
      </c>
      <c r="O38" s="74">
        <v>600.6</v>
      </c>
      <c r="P38" s="195">
        <v>0.92045977011494251</v>
      </c>
    </row>
    <row r="39" spans="5:16" x14ac:dyDescent="0.25">
      <c r="E39" s="532"/>
      <c r="F39" s="267" t="s">
        <v>24</v>
      </c>
      <c r="G39" s="187">
        <v>13</v>
      </c>
      <c r="H39" s="188">
        <v>3</v>
      </c>
      <c r="I39" s="199">
        <v>0.23076923076923078</v>
      </c>
      <c r="J39" s="188">
        <v>10</v>
      </c>
      <c r="K39" s="185">
        <v>0.76923076923076927</v>
      </c>
      <c r="L39" s="74">
        <v>536.20000000000005</v>
      </c>
      <c r="M39" s="74">
        <v>311.8</v>
      </c>
      <c r="N39" s="255">
        <v>0.58149944050727342</v>
      </c>
      <c r="O39" s="74">
        <v>224.4</v>
      </c>
      <c r="P39" s="195">
        <v>0.41850055949272658</v>
      </c>
    </row>
    <row r="40" spans="5:16" x14ac:dyDescent="0.25">
      <c r="E40" s="532"/>
      <c r="F40" s="119" t="s">
        <v>25</v>
      </c>
      <c r="G40" s="187">
        <v>57</v>
      </c>
      <c r="H40" s="188">
        <v>26</v>
      </c>
      <c r="I40" s="199">
        <v>0.45614035087719296</v>
      </c>
      <c r="J40" s="188">
        <v>31</v>
      </c>
      <c r="K40" s="185">
        <v>0.54385964912280704</v>
      </c>
      <c r="L40" s="74">
        <v>8447.2000000000007</v>
      </c>
      <c r="M40" s="74">
        <v>5593.1</v>
      </c>
      <c r="N40" s="255">
        <v>0.66212472772042807</v>
      </c>
      <c r="O40" s="74">
        <v>2854.1</v>
      </c>
      <c r="P40" s="195">
        <v>0.33787527227957187</v>
      </c>
    </row>
    <row r="41" spans="5:16" x14ac:dyDescent="0.25">
      <c r="E41" s="532"/>
      <c r="F41" s="32" t="s">
        <v>26</v>
      </c>
      <c r="G41" s="187">
        <v>90</v>
      </c>
      <c r="H41" s="188">
        <v>55</v>
      </c>
      <c r="I41" s="199">
        <v>0.61111111111111116</v>
      </c>
      <c r="J41" s="192">
        <v>35</v>
      </c>
      <c r="K41" s="185">
        <v>0.3888888888888889</v>
      </c>
      <c r="L41" s="77">
        <v>5685.5</v>
      </c>
      <c r="M41" s="77">
        <v>4051.2</v>
      </c>
      <c r="N41" s="255">
        <v>0.71254946794477181</v>
      </c>
      <c r="O41" s="77">
        <v>1634.3</v>
      </c>
      <c r="P41" s="196">
        <v>0.28745053205522819</v>
      </c>
    </row>
    <row r="42" spans="5:16" s="10" customFormat="1" ht="15.75" thickBot="1" x14ac:dyDescent="0.3">
      <c r="E42" s="533"/>
      <c r="F42" s="262" t="s">
        <v>99</v>
      </c>
      <c r="G42" s="205">
        <v>173</v>
      </c>
      <c r="H42" s="79">
        <v>86</v>
      </c>
      <c r="I42" s="81">
        <v>0.49710982658959535</v>
      </c>
      <c r="J42" s="84">
        <v>87</v>
      </c>
      <c r="K42" s="81">
        <v>0.50289017341040465</v>
      </c>
      <c r="L42" s="86">
        <v>15321.400000000001</v>
      </c>
      <c r="M42" s="86">
        <v>10008</v>
      </c>
      <c r="N42" s="256">
        <v>0.65320401529886296</v>
      </c>
      <c r="O42" s="86">
        <v>5313.4</v>
      </c>
      <c r="P42" s="83">
        <v>0.34679598470113693</v>
      </c>
    </row>
    <row r="43" spans="5:16" x14ac:dyDescent="0.25">
      <c r="E43" s="476" t="s">
        <v>27</v>
      </c>
      <c r="F43" s="119" t="s">
        <v>28</v>
      </c>
      <c r="G43" s="187">
        <v>88</v>
      </c>
      <c r="H43" s="188">
        <v>40</v>
      </c>
      <c r="I43" s="199">
        <v>0.45454545454545453</v>
      </c>
      <c r="J43" s="188">
        <v>48</v>
      </c>
      <c r="K43" s="185">
        <v>0.54545454545454541</v>
      </c>
      <c r="L43" s="74">
        <v>70752.3</v>
      </c>
      <c r="M43" s="74">
        <v>47591.8</v>
      </c>
      <c r="N43" s="255">
        <v>0.67265375118547388</v>
      </c>
      <c r="O43" s="74">
        <v>23160.5</v>
      </c>
      <c r="P43" s="195">
        <v>0.32734624881452618</v>
      </c>
    </row>
    <row r="44" spans="5:16" x14ac:dyDescent="0.25">
      <c r="E44" s="532"/>
      <c r="F44" s="32" t="s">
        <v>79</v>
      </c>
      <c r="G44" s="191">
        <v>48</v>
      </c>
      <c r="H44" s="192">
        <v>21</v>
      </c>
      <c r="I44" s="199">
        <v>0.4375</v>
      </c>
      <c r="J44" s="192">
        <v>27</v>
      </c>
      <c r="K44" s="185">
        <v>0.5625</v>
      </c>
      <c r="L44" s="77">
        <v>7170.4</v>
      </c>
      <c r="M44" s="77">
        <v>1350.4</v>
      </c>
      <c r="N44" s="255">
        <v>0.18832980029008148</v>
      </c>
      <c r="O44" s="77">
        <v>5820</v>
      </c>
      <c r="P44" s="196">
        <v>0.81167019970991861</v>
      </c>
    </row>
    <row r="45" spans="5:16" s="10" customFormat="1" ht="15.75" thickBot="1" x14ac:dyDescent="0.3">
      <c r="E45" s="533"/>
      <c r="F45" s="262" t="s">
        <v>99</v>
      </c>
      <c r="G45" s="78">
        <v>136</v>
      </c>
      <c r="H45" s="84">
        <v>61</v>
      </c>
      <c r="I45" s="81">
        <v>0.4485294117647059</v>
      </c>
      <c r="J45" s="84">
        <v>75</v>
      </c>
      <c r="K45" s="81">
        <v>0.55147058823529416</v>
      </c>
      <c r="L45" s="86">
        <v>77922.7</v>
      </c>
      <c r="M45" s="86">
        <v>48942.200000000004</v>
      </c>
      <c r="N45" s="256">
        <v>0.62808655244235645</v>
      </c>
      <c r="O45" s="86">
        <v>28980.5</v>
      </c>
      <c r="P45" s="83">
        <v>0.37191344755764366</v>
      </c>
    </row>
    <row r="46" spans="5:16" x14ac:dyDescent="0.25">
      <c r="E46" s="476" t="s">
        <v>29</v>
      </c>
      <c r="F46" s="40" t="s">
        <v>30</v>
      </c>
      <c r="G46" s="206">
        <v>3</v>
      </c>
      <c r="H46" s="207">
        <v>0</v>
      </c>
      <c r="I46" s="199">
        <v>0</v>
      </c>
      <c r="J46" s="207">
        <v>3</v>
      </c>
      <c r="K46" s="185">
        <v>1</v>
      </c>
      <c r="L46" s="89">
        <v>7.4</v>
      </c>
      <c r="M46" s="90">
        <v>0</v>
      </c>
      <c r="N46" s="255">
        <v>0</v>
      </c>
      <c r="O46" s="274">
        <v>7.4</v>
      </c>
      <c r="P46" s="208">
        <v>1</v>
      </c>
    </row>
    <row r="47" spans="5:16" s="10" customFormat="1" ht="15.75" thickBot="1" x14ac:dyDescent="0.3">
      <c r="E47" s="477"/>
      <c r="F47" s="262" t="s">
        <v>99</v>
      </c>
      <c r="G47" s="78">
        <v>3</v>
      </c>
      <c r="H47" s="84">
        <v>0</v>
      </c>
      <c r="I47" s="81">
        <v>0</v>
      </c>
      <c r="J47" s="84">
        <v>3</v>
      </c>
      <c r="K47" s="81">
        <v>1</v>
      </c>
      <c r="L47" s="86">
        <v>7.4</v>
      </c>
      <c r="M47" s="86">
        <v>0</v>
      </c>
      <c r="N47" s="256">
        <v>0</v>
      </c>
      <c r="O47" s="86">
        <v>7.4</v>
      </c>
      <c r="P47" s="83">
        <v>1</v>
      </c>
    </row>
    <row r="48" spans="5:16" x14ac:dyDescent="0.25">
      <c r="E48" s="476" t="s">
        <v>32</v>
      </c>
      <c r="F48" s="40" t="s">
        <v>32</v>
      </c>
      <c r="G48" s="206">
        <v>21</v>
      </c>
      <c r="H48" s="207">
        <v>13</v>
      </c>
      <c r="I48" s="199">
        <v>0.61904761904761907</v>
      </c>
      <c r="J48" s="207">
        <v>8</v>
      </c>
      <c r="K48" s="185">
        <v>0.38095238095238093</v>
      </c>
      <c r="L48" s="89">
        <v>4708.3999999999996</v>
      </c>
      <c r="M48" s="89">
        <v>3649.2</v>
      </c>
      <c r="N48" s="255">
        <v>0.77504035341092514</v>
      </c>
      <c r="O48" s="89">
        <v>1059.2</v>
      </c>
      <c r="P48" s="208">
        <v>0.22495964658907489</v>
      </c>
    </row>
    <row r="49" spans="4:17" s="10" customFormat="1" ht="15.75" thickBot="1" x14ac:dyDescent="0.3">
      <c r="E49" s="477"/>
      <c r="F49" s="262" t="s">
        <v>99</v>
      </c>
      <c r="G49" s="78">
        <v>21</v>
      </c>
      <c r="H49" s="84">
        <v>13</v>
      </c>
      <c r="I49" s="81">
        <v>0.61904761904761907</v>
      </c>
      <c r="J49" s="84">
        <v>8</v>
      </c>
      <c r="K49" s="81">
        <v>0.38095238095238093</v>
      </c>
      <c r="L49" s="86">
        <v>4708.3999999999996</v>
      </c>
      <c r="M49" s="86">
        <v>3649.2</v>
      </c>
      <c r="N49" s="256">
        <v>0.77504035341092514</v>
      </c>
      <c r="O49" s="86">
        <v>1059.2</v>
      </c>
      <c r="P49" s="83">
        <v>0.22495964658907489</v>
      </c>
    </row>
    <row r="50" spans="4:17" x14ac:dyDescent="0.25">
      <c r="E50" s="476" t="s">
        <v>33</v>
      </c>
      <c r="F50" s="40" t="s">
        <v>33</v>
      </c>
      <c r="G50" s="206">
        <v>44</v>
      </c>
      <c r="H50" s="207">
        <v>10</v>
      </c>
      <c r="I50" s="199">
        <v>0.22727272727272727</v>
      </c>
      <c r="J50" s="209">
        <v>34</v>
      </c>
      <c r="K50" s="185">
        <v>0.77272727272727271</v>
      </c>
      <c r="L50" s="89">
        <v>4326.1000000000004</v>
      </c>
      <c r="M50" s="89">
        <v>645.1</v>
      </c>
      <c r="N50" s="255">
        <v>0.14911814336238183</v>
      </c>
      <c r="O50" s="89">
        <v>3681</v>
      </c>
      <c r="P50" s="208">
        <v>0.85088185663761806</v>
      </c>
    </row>
    <row r="51" spans="4:17" s="10" customFormat="1" ht="15.75" thickBot="1" x14ac:dyDescent="0.3">
      <c r="E51" s="477"/>
      <c r="F51" s="262" t="s">
        <v>99</v>
      </c>
      <c r="G51" s="78">
        <v>44</v>
      </c>
      <c r="H51" s="84">
        <v>10</v>
      </c>
      <c r="I51" s="81">
        <v>0.22727272727272727</v>
      </c>
      <c r="J51" s="85">
        <v>34</v>
      </c>
      <c r="K51" s="81">
        <v>0.77272727272727271</v>
      </c>
      <c r="L51" s="86">
        <v>4326.1000000000004</v>
      </c>
      <c r="M51" s="86">
        <v>645.1</v>
      </c>
      <c r="N51" s="256">
        <v>0.14911814336238183</v>
      </c>
      <c r="O51" s="86">
        <v>3681</v>
      </c>
      <c r="P51" s="83">
        <v>0.85088185663761806</v>
      </c>
    </row>
    <row r="52" spans="4:17" x14ac:dyDescent="0.25">
      <c r="E52" s="476" t="s">
        <v>34</v>
      </c>
      <c r="F52" s="40" t="s">
        <v>34</v>
      </c>
      <c r="G52" s="206">
        <v>19</v>
      </c>
      <c r="H52" s="207">
        <v>9</v>
      </c>
      <c r="I52" s="199">
        <v>0.47368421052631576</v>
      </c>
      <c r="J52" s="209">
        <v>10</v>
      </c>
      <c r="K52" s="210">
        <v>0.52631578947368418</v>
      </c>
      <c r="L52" s="89">
        <v>7029.3</v>
      </c>
      <c r="M52" s="89">
        <v>3145</v>
      </c>
      <c r="N52" s="255">
        <v>0.44741297141962927</v>
      </c>
      <c r="O52" s="89">
        <v>3884.3</v>
      </c>
      <c r="P52" s="208">
        <v>0.55258702858037079</v>
      </c>
    </row>
    <row r="53" spans="4:17" s="10" customFormat="1" ht="15.75" thickBot="1" x14ac:dyDescent="0.3">
      <c r="E53" s="477"/>
      <c r="F53" s="262" t="s">
        <v>99</v>
      </c>
      <c r="G53" s="78">
        <v>19</v>
      </c>
      <c r="H53" s="84">
        <v>9</v>
      </c>
      <c r="I53" s="81">
        <v>0.47368421052631576</v>
      </c>
      <c r="J53" s="85">
        <v>10</v>
      </c>
      <c r="K53" s="81">
        <v>0.52631578947368418</v>
      </c>
      <c r="L53" s="86">
        <v>7029.3</v>
      </c>
      <c r="M53" s="86">
        <v>3145</v>
      </c>
      <c r="N53" s="256">
        <v>0.44741297141962927</v>
      </c>
      <c r="O53" s="86">
        <v>3884.3</v>
      </c>
      <c r="P53" s="83">
        <v>0.55258702858037079</v>
      </c>
      <c r="Q53" s="296"/>
    </row>
    <row r="54" spans="4:17" x14ac:dyDescent="0.25">
      <c r="E54" s="476" t="s">
        <v>77</v>
      </c>
      <c r="F54" s="40" t="s">
        <v>30</v>
      </c>
      <c r="G54" s="206">
        <v>4</v>
      </c>
      <c r="H54" s="207">
        <v>1</v>
      </c>
      <c r="I54" s="199">
        <v>0.25</v>
      </c>
      <c r="J54" s="209">
        <v>3</v>
      </c>
      <c r="K54" s="185">
        <v>0.75</v>
      </c>
      <c r="L54" s="89">
        <v>124.30000000000001</v>
      </c>
      <c r="M54" s="90">
        <v>37.1</v>
      </c>
      <c r="N54" s="255">
        <v>0.29847144006436038</v>
      </c>
      <c r="O54" s="274">
        <v>87.2</v>
      </c>
      <c r="P54" s="208">
        <v>0.70152855993563956</v>
      </c>
      <c r="Q54" s="295"/>
    </row>
    <row r="55" spans="4:17" s="10" customFormat="1" ht="15.75" thickBot="1" x14ac:dyDescent="0.3">
      <c r="E55" s="477"/>
      <c r="F55" s="262" t="s">
        <v>99</v>
      </c>
      <c r="G55" s="78">
        <v>4</v>
      </c>
      <c r="H55" s="84">
        <v>1</v>
      </c>
      <c r="I55" s="81">
        <v>0.25</v>
      </c>
      <c r="J55" s="85">
        <v>3</v>
      </c>
      <c r="K55" s="81">
        <v>0.75</v>
      </c>
      <c r="L55" s="86">
        <v>124.30000000000001</v>
      </c>
      <c r="M55" s="86">
        <v>37.1</v>
      </c>
      <c r="N55" s="256">
        <v>0.29847144006436038</v>
      </c>
      <c r="O55" s="86">
        <v>87.2</v>
      </c>
      <c r="P55" s="83">
        <v>0.70152855993563956</v>
      </c>
    </row>
    <row r="56" spans="4:17" x14ac:dyDescent="0.25">
      <c r="E56" s="476" t="s">
        <v>31</v>
      </c>
      <c r="F56" s="32" t="s">
        <v>31</v>
      </c>
      <c r="G56" s="206">
        <v>23</v>
      </c>
      <c r="H56" s="207">
        <v>11</v>
      </c>
      <c r="I56" s="199">
        <v>0.47826086956521741</v>
      </c>
      <c r="J56" s="209">
        <v>12</v>
      </c>
      <c r="K56" s="185">
        <v>0.52173913043478259</v>
      </c>
      <c r="L56" s="89">
        <v>2847.3999999999996</v>
      </c>
      <c r="M56" s="89">
        <v>767.3</v>
      </c>
      <c r="N56" s="255">
        <v>0.26947390601952659</v>
      </c>
      <c r="O56" s="74">
        <v>2080.1</v>
      </c>
      <c r="P56" s="195">
        <v>0.73052609398047352</v>
      </c>
    </row>
    <row r="57" spans="4:17" s="10" customFormat="1" ht="15.75" thickBot="1" x14ac:dyDescent="0.3">
      <c r="E57" s="477"/>
      <c r="F57" s="262" t="s">
        <v>99</v>
      </c>
      <c r="G57" s="78">
        <v>23</v>
      </c>
      <c r="H57" s="84">
        <v>11</v>
      </c>
      <c r="I57" s="81">
        <v>0.47826086956521741</v>
      </c>
      <c r="J57" s="85">
        <v>12</v>
      </c>
      <c r="K57" s="81">
        <v>0.52173913043478259</v>
      </c>
      <c r="L57" s="86">
        <v>2847.3999999999996</v>
      </c>
      <c r="M57" s="86">
        <v>767.3</v>
      </c>
      <c r="N57" s="256">
        <v>0.26947390601952659</v>
      </c>
      <c r="O57" s="82">
        <v>2080.1</v>
      </c>
      <c r="P57" s="211">
        <v>0.73052609398047352</v>
      </c>
    </row>
    <row r="58" spans="4:17" x14ac:dyDescent="0.25">
      <c r="D58" s="6"/>
      <c r="E58" s="497" t="s">
        <v>87</v>
      </c>
      <c r="F58" s="28" t="s">
        <v>14</v>
      </c>
      <c r="G58" s="187">
        <v>44</v>
      </c>
      <c r="H58" s="188">
        <v>23</v>
      </c>
      <c r="I58" s="199">
        <v>0.52272727272727271</v>
      </c>
      <c r="J58" s="212">
        <v>21</v>
      </c>
      <c r="K58" s="185">
        <v>0.47727272727272729</v>
      </c>
      <c r="L58" s="74">
        <v>3776.7000000000003</v>
      </c>
      <c r="M58" s="74">
        <v>2345.8000000000002</v>
      </c>
      <c r="N58" s="255">
        <v>0.6211242619217836</v>
      </c>
      <c r="O58" s="74">
        <v>1430.9</v>
      </c>
      <c r="P58" s="195">
        <v>0.37887573807821645</v>
      </c>
    </row>
    <row r="59" spans="4:17" x14ac:dyDescent="0.25">
      <c r="D59" s="6"/>
      <c r="E59" s="542"/>
      <c r="F59" s="119" t="s">
        <v>85</v>
      </c>
      <c r="G59" s="187">
        <v>45</v>
      </c>
      <c r="H59" s="188">
        <v>32</v>
      </c>
      <c r="I59" s="199">
        <v>0.71111111111111114</v>
      </c>
      <c r="J59" s="212">
        <v>13</v>
      </c>
      <c r="K59" s="185">
        <v>0.28888888888888886</v>
      </c>
      <c r="L59" s="74">
        <v>255</v>
      </c>
      <c r="M59" s="74">
        <v>180.9</v>
      </c>
      <c r="N59" s="255">
        <v>0.70941176470588241</v>
      </c>
      <c r="O59" s="74">
        <v>74.099999999999994</v>
      </c>
      <c r="P59" s="195">
        <v>0.29058823529411765</v>
      </c>
    </row>
    <row r="60" spans="4:17" x14ac:dyDescent="0.25">
      <c r="D60" s="6"/>
      <c r="E60" s="542"/>
      <c r="F60" s="32" t="s">
        <v>15</v>
      </c>
      <c r="G60" s="191">
        <v>52</v>
      </c>
      <c r="H60" s="192">
        <v>41</v>
      </c>
      <c r="I60" s="199">
        <v>0.78846153846153844</v>
      </c>
      <c r="J60" s="213">
        <v>11</v>
      </c>
      <c r="K60" s="185">
        <v>0.21153846153846154</v>
      </c>
      <c r="L60" s="77">
        <v>1121.2</v>
      </c>
      <c r="M60" s="77">
        <v>945.1</v>
      </c>
      <c r="N60" s="255">
        <v>0.84293613985016058</v>
      </c>
      <c r="O60" s="77">
        <v>176.1</v>
      </c>
      <c r="P60" s="196">
        <v>0.15706386014983945</v>
      </c>
    </row>
    <row r="61" spans="4:17" s="10" customFormat="1" ht="15.75" thickBot="1" x14ac:dyDescent="0.3">
      <c r="D61" s="12"/>
      <c r="E61" s="543"/>
      <c r="F61" s="262" t="s">
        <v>99</v>
      </c>
      <c r="G61" s="78">
        <v>141</v>
      </c>
      <c r="H61" s="84">
        <v>96</v>
      </c>
      <c r="I61" s="81">
        <v>0.68085106382978722</v>
      </c>
      <c r="J61" s="85">
        <v>45</v>
      </c>
      <c r="K61" s="81">
        <v>0.31914893617021278</v>
      </c>
      <c r="L61" s="86">
        <v>5152.9000000000005</v>
      </c>
      <c r="M61" s="86">
        <v>3471.8</v>
      </c>
      <c r="N61" s="256">
        <v>0.6737565254516874</v>
      </c>
      <c r="O61" s="86">
        <v>1681.1</v>
      </c>
      <c r="P61" s="83">
        <v>0.32624347454831254</v>
      </c>
    </row>
    <row r="62" spans="4:17" s="15" customFormat="1" ht="15.75" customHeight="1" thickBot="1" x14ac:dyDescent="0.3">
      <c r="D62" s="22"/>
      <c r="E62" s="544" t="s">
        <v>35</v>
      </c>
      <c r="F62" s="545"/>
      <c r="G62" s="91">
        <v>1829</v>
      </c>
      <c r="H62" s="91">
        <v>899</v>
      </c>
      <c r="I62" s="92">
        <v>0.49152542372881358</v>
      </c>
      <c r="J62" s="91">
        <v>930</v>
      </c>
      <c r="K62" s="92">
        <v>0.50847457627118642</v>
      </c>
      <c r="L62" s="93">
        <v>1421096.7999999998</v>
      </c>
      <c r="M62" s="93">
        <v>903154.40000000014</v>
      </c>
      <c r="N62" s="92">
        <v>0.63553334297846586</v>
      </c>
      <c r="O62" s="93">
        <v>517942.39999999997</v>
      </c>
      <c r="P62" s="94">
        <v>0.36446665702153436</v>
      </c>
    </row>
    <row r="63" spans="4:17" x14ac:dyDescent="0.25">
      <c r="E63" s="49"/>
      <c r="F63" s="49"/>
      <c r="G63" s="49"/>
      <c r="H63" s="49"/>
      <c r="I63" s="49"/>
      <c r="J63" s="49"/>
      <c r="K63" s="95"/>
      <c r="L63" s="96"/>
      <c r="M63" s="96"/>
      <c r="N63" s="96"/>
      <c r="O63" s="96"/>
      <c r="P63" s="62"/>
    </row>
    <row r="64" spans="4:17" x14ac:dyDescent="0.25">
      <c r="E64" s="546" t="s">
        <v>103</v>
      </c>
      <c r="F64" s="546"/>
      <c r="G64" s="546"/>
      <c r="H64" s="546"/>
      <c r="I64" s="546"/>
      <c r="J64" s="546"/>
      <c r="K64" s="546"/>
      <c r="L64" s="546"/>
      <c r="M64" s="546"/>
      <c r="N64" s="546"/>
      <c r="O64" s="546"/>
      <c r="P64" s="546"/>
    </row>
    <row r="65" spans="5:16" x14ac:dyDescent="0.25">
      <c r="E65" s="546" t="s">
        <v>86</v>
      </c>
      <c r="F65" s="546"/>
      <c r="G65" s="546"/>
      <c r="H65" s="546"/>
      <c r="I65" s="546"/>
      <c r="J65" s="546"/>
      <c r="K65" s="546"/>
      <c r="L65" s="546"/>
      <c r="M65" s="546"/>
      <c r="N65" s="546"/>
      <c r="O65" s="546"/>
      <c r="P65" s="546"/>
    </row>
    <row r="66" spans="5:16" ht="15.75" x14ac:dyDescent="0.25">
      <c r="E66" s="488" t="s">
        <v>121</v>
      </c>
      <c r="F66" s="488"/>
      <c r="G66" s="488"/>
      <c r="H66" s="488"/>
      <c r="I66" s="488"/>
      <c r="J66" s="488"/>
      <c r="K66" s="488"/>
      <c r="L66" s="488"/>
      <c r="M66" s="488"/>
      <c r="N66" s="488"/>
      <c r="O66" s="488"/>
      <c r="P66" s="488"/>
    </row>
  </sheetData>
  <mergeCells count="26">
    <mergeCell ref="E27:E32"/>
    <mergeCell ref="E33:E37"/>
    <mergeCell ref="E66:P66"/>
    <mergeCell ref="E43:E45"/>
    <mergeCell ref="E46:E47"/>
    <mergeCell ref="E48:E49"/>
    <mergeCell ref="E50:E51"/>
    <mergeCell ref="E52:E53"/>
    <mergeCell ref="E54:E55"/>
    <mergeCell ref="E38:E42"/>
    <mergeCell ref="E56:E57"/>
    <mergeCell ref="E58:E61"/>
    <mergeCell ref="E62:F62"/>
    <mergeCell ref="E64:P64"/>
    <mergeCell ref="E65:P65"/>
    <mergeCell ref="E24:E26"/>
    <mergeCell ref="E9:E17"/>
    <mergeCell ref="E18:E21"/>
    <mergeCell ref="E2:P4"/>
    <mergeCell ref="G6:K6"/>
    <mergeCell ref="L6:P6"/>
    <mergeCell ref="H7:I7"/>
    <mergeCell ref="J7:K7"/>
    <mergeCell ref="M7:N7"/>
    <mergeCell ref="O7:P7"/>
    <mergeCell ref="E22:E23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  <headerFooter>
    <oddHeader>&amp;L&amp;G&amp;RCAMPAÑA: 2024/2025. MES: SEPTIEMBRE
 Fecha de emisión de datos: 07/05/2026</oddHead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G45"/>
  <sheetViews>
    <sheetView view="pageLayout" zoomScale="90" zoomScaleNormal="100" zoomScaleSheetLayoutView="100" zoomScalePageLayoutView="90" workbookViewId="0">
      <selection activeCell="B4" sqref="B4:G5"/>
    </sheetView>
  </sheetViews>
  <sheetFormatPr baseColWidth="10" defaultColWidth="11.42578125" defaultRowHeight="15" x14ac:dyDescent="0.25"/>
  <cols>
    <col min="2" max="2" width="16.42578125" bestFit="1" customWidth="1"/>
    <col min="3" max="3" width="12.85546875" customWidth="1"/>
    <col min="4" max="4" width="13" customWidth="1"/>
    <col min="5" max="5" width="12.85546875" customWidth="1"/>
    <col min="6" max="6" width="13" customWidth="1"/>
    <col min="7" max="7" width="14.28515625" customWidth="1"/>
  </cols>
  <sheetData>
    <row r="4" spans="2:7" ht="28.5" customHeight="1" x14ac:dyDescent="0.25">
      <c r="B4" s="482" t="s">
        <v>123</v>
      </c>
      <c r="C4" s="482"/>
      <c r="D4" s="482"/>
      <c r="E4" s="482"/>
      <c r="F4" s="482"/>
      <c r="G4" s="482"/>
    </row>
    <row r="5" spans="2:7" ht="28.5" customHeight="1" x14ac:dyDescent="0.25">
      <c r="B5" s="482"/>
      <c r="C5" s="482"/>
      <c r="D5" s="482"/>
      <c r="E5" s="482"/>
      <c r="F5" s="482"/>
      <c r="G5" s="482"/>
    </row>
    <row r="6" spans="2:7" ht="28.5" customHeight="1" x14ac:dyDescent="0.25">
      <c r="B6" s="260"/>
      <c r="C6" s="260"/>
      <c r="D6" s="260"/>
      <c r="E6" s="260"/>
      <c r="F6" s="260"/>
      <c r="G6" s="260"/>
    </row>
    <row r="7" spans="2:7" x14ac:dyDescent="0.25">
      <c r="B7" s="2"/>
      <c r="C7" s="9"/>
      <c r="D7" s="2"/>
      <c r="E7" s="2"/>
      <c r="F7" s="2"/>
      <c r="G7" s="2"/>
    </row>
    <row r="8" spans="2:7" x14ac:dyDescent="0.25">
      <c r="B8" s="547" t="s">
        <v>135</v>
      </c>
      <c r="C8" s="547"/>
      <c r="D8" s="547"/>
      <c r="E8" s="547"/>
      <c r="F8" s="547"/>
      <c r="G8" s="547"/>
    </row>
    <row r="9" spans="2:7" x14ac:dyDescent="0.25">
      <c r="B9" s="104"/>
      <c r="C9" s="104"/>
      <c r="D9" s="104"/>
      <c r="E9" s="104"/>
      <c r="F9" s="104"/>
      <c r="G9" s="104"/>
    </row>
    <row r="10" spans="2:7" x14ac:dyDescent="0.25">
      <c r="B10" s="104"/>
      <c r="C10" s="104"/>
      <c r="D10" s="104"/>
      <c r="E10" s="104"/>
      <c r="F10" s="104"/>
      <c r="G10" s="104"/>
    </row>
    <row r="11" spans="2:7" x14ac:dyDescent="0.25">
      <c r="B11" s="104"/>
      <c r="C11" s="104"/>
      <c r="D11" s="104"/>
      <c r="E11" s="104"/>
      <c r="F11" s="104"/>
      <c r="G11" s="104"/>
    </row>
    <row r="12" spans="2:7" x14ac:dyDescent="0.25">
      <c r="B12" s="104"/>
      <c r="C12" s="104"/>
      <c r="D12" s="104"/>
      <c r="E12" s="104"/>
      <c r="F12" s="104"/>
      <c r="G12" s="104"/>
    </row>
    <row r="13" spans="2:7" x14ac:dyDescent="0.25">
      <c r="B13" s="104"/>
      <c r="C13" s="104"/>
      <c r="D13" s="104"/>
      <c r="E13" s="104"/>
      <c r="F13" s="104"/>
      <c r="G13" s="104"/>
    </row>
    <row r="14" spans="2:7" x14ac:dyDescent="0.25">
      <c r="B14" s="104"/>
      <c r="C14" s="104"/>
      <c r="D14" s="104"/>
      <c r="E14" s="104"/>
      <c r="F14" s="104"/>
      <c r="G14" s="104"/>
    </row>
    <row r="15" spans="2:7" x14ac:dyDescent="0.25">
      <c r="B15" s="104"/>
      <c r="C15" s="104"/>
      <c r="D15" s="104"/>
      <c r="E15" s="104"/>
      <c r="F15" s="104"/>
      <c r="G15" s="104"/>
    </row>
    <row r="16" spans="2:7" x14ac:dyDescent="0.25">
      <c r="B16" s="104"/>
      <c r="C16" s="104"/>
      <c r="D16" s="104"/>
      <c r="E16" s="104"/>
      <c r="F16" s="104"/>
      <c r="G16" s="104"/>
    </row>
    <row r="17" spans="2:7" x14ac:dyDescent="0.25">
      <c r="B17" s="104"/>
      <c r="C17" s="104"/>
      <c r="D17" s="104"/>
      <c r="E17" s="104"/>
      <c r="F17" s="104"/>
      <c r="G17" s="104"/>
    </row>
    <row r="18" spans="2:7" x14ac:dyDescent="0.25">
      <c r="B18" s="104"/>
      <c r="C18" s="104"/>
      <c r="D18" s="104"/>
      <c r="E18" s="104"/>
      <c r="F18" s="104"/>
      <c r="G18" s="104"/>
    </row>
    <row r="19" spans="2:7" x14ac:dyDescent="0.25">
      <c r="B19" s="104"/>
      <c r="C19" s="104"/>
      <c r="D19" s="104"/>
      <c r="E19" s="104"/>
      <c r="F19" s="104"/>
      <c r="G19" s="104"/>
    </row>
    <row r="20" spans="2:7" ht="15.75" thickBot="1" x14ac:dyDescent="0.3"/>
    <row r="21" spans="2:7" ht="15.75" thickBot="1" x14ac:dyDescent="0.3">
      <c r="B21" s="105" t="s">
        <v>104</v>
      </c>
      <c r="C21" s="105" t="s">
        <v>105</v>
      </c>
      <c r="D21" s="105" t="s">
        <v>146</v>
      </c>
      <c r="E21" s="105" t="s">
        <v>149</v>
      </c>
      <c r="F21" s="105" t="s">
        <v>150</v>
      </c>
      <c r="G21" s="105" t="s">
        <v>152</v>
      </c>
    </row>
    <row r="22" spans="2:7" ht="15.75" thickBot="1" x14ac:dyDescent="0.3">
      <c r="B22" s="105" t="s">
        <v>137</v>
      </c>
      <c r="C22" s="106">
        <v>50.109529025191677</v>
      </c>
      <c r="D22" s="106">
        <v>49.755301794453509</v>
      </c>
      <c r="E22" s="106">
        <v>49.890829694323145</v>
      </c>
      <c r="F22" s="106">
        <v>49.40087145969499</v>
      </c>
      <c r="G22" s="106">
        <v>49.152542372881356</v>
      </c>
    </row>
    <row r="23" spans="2:7" ht="15.75" thickBot="1" x14ac:dyDescent="0.3">
      <c r="B23" s="105" t="s">
        <v>136</v>
      </c>
      <c r="C23" s="106">
        <v>65.418312207471885</v>
      </c>
      <c r="D23" s="106">
        <v>64.69310113399473</v>
      </c>
      <c r="E23" s="106">
        <v>59.039253302034759</v>
      </c>
      <c r="F23" s="106">
        <v>58.851403135509599</v>
      </c>
      <c r="G23" s="106">
        <v>63.553335317293985</v>
      </c>
    </row>
    <row r="24" spans="2:7" x14ac:dyDescent="0.25">
      <c r="B24" s="107"/>
      <c r="C24" s="108"/>
      <c r="D24" s="108"/>
      <c r="E24" s="108"/>
      <c r="F24" s="108"/>
      <c r="G24" s="108"/>
    </row>
    <row r="26" spans="2:7" x14ac:dyDescent="0.25">
      <c r="B26" s="547" t="s">
        <v>134</v>
      </c>
      <c r="C26" s="547"/>
      <c r="D26" s="547"/>
      <c r="E26" s="547"/>
      <c r="F26" s="547"/>
      <c r="G26" s="547"/>
    </row>
    <row r="38" spans="2:7" ht="15.75" thickBot="1" x14ac:dyDescent="0.3"/>
    <row r="39" spans="2:7" ht="15.75" thickBot="1" x14ac:dyDescent="0.3">
      <c r="B39" s="105" t="s">
        <v>104</v>
      </c>
      <c r="C39" s="105" t="s">
        <v>105</v>
      </c>
      <c r="D39" s="105" t="s">
        <v>146</v>
      </c>
      <c r="E39" s="105" t="s">
        <v>149</v>
      </c>
      <c r="F39" s="105" t="s">
        <v>150</v>
      </c>
      <c r="G39" s="105" t="s">
        <v>152</v>
      </c>
    </row>
    <row r="40" spans="2:7" ht="15.75" thickBot="1" x14ac:dyDescent="0.3">
      <c r="B40" s="105" t="s">
        <v>137</v>
      </c>
      <c r="C40" s="106">
        <v>49.890470974808323</v>
      </c>
      <c r="D40" s="106">
        <v>50.244698205546491</v>
      </c>
      <c r="E40" s="106">
        <v>50.109170305676855</v>
      </c>
      <c r="F40" s="106">
        <v>50.59912854030501</v>
      </c>
      <c r="G40" s="106">
        <v>50.847457627118644</v>
      </c>
    </row>
    <row r="41" spans="2:7" ht="15.75" thickBot="1" x14ac:dyDescent="0.3">
      <c r="B41" s="105" t="s">
        <v>136</v>
      </c>
      <c r="C41" s="106">
        <v>34.581687792528108</v>
      </c>
      <c r="D41" s="106">
        <v>35.30689886600527</v>
      </c>
      <c r="E41" s="106">
        <v>40.960746697965241</v>
      </c>
      <c r="F41" s="106">
        <v>41.148596864490401</v>
      </c>
      <c r="G41" s="106">
        <v>36.446664682706015</v>
      </c>
    </row>
    <row r="43" spans="2:7" ht="15.75" x14ac:dyDescent="0.25">
      <c r="B43" s="488" t="s">
        <v>121</v>
      </c>
      <c r="C43" s="488"/>
      <c r="D43" s="488"/>
      <c r="E43" s="488"/>
      <c r="F43" s="488"/>
      <c r="G43" s="488"/>
    </row>
    <row r="45" spans="2:7" x14ac:dyDescent="0.25">
      <c r="C45" s="23"/>
      <c r="D45" s="23"/>
      <c r="E45" s="23"/>
      <c r="F45" s="23"/>
      <c r="G45" s="23"/>
    </row>
  </sheetData>
  <mergeCells count="4">
    <mergeCell ref="B4:G5"/>
    <mergeCell ref="B8:G8"/>
    <mergeCell ref="B26:G26"/>
    <mergeCell ref="B43:G43"/>
  </mergeCells>
  <pageMargins left="0.70866141732283472" right="0.70866141732283472" top="0.9055118110236221" bottom="0.74803149606299213" header="0.31496062992125984" footer="0.31496062992125984"/>
  <pageSetup paperSize="9" scale="85" orientation="portrait" r:id="rId1"/>
  <headerFooter>
    <oddHeader>&amp;L&amp;G&amp;RCAMPAÑA: 2024/2025. MES: SEPTIEMBRE
Fecha de emisión de datos: 07/05/2026</oddHead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S67"/>
  <sheetViews>
    <sheetView view="pageLayout" topLeftCell="B1" zoomScale="87" zoomScaleNormal="80" zoomScaleSheetLayoutView="100" zoomScalePageLayoutView="87" workbookViewId="0">
      <selection activeCell="D2" sqref="D2:R4"/>
    </sheetView>
  </sheetViews>
  <sheetFormatPr baseColWidth="10" defaultColWidth="11.42578125" defaultRowHeight="15" x14ac:dyDescent="0.25"/>
  <cols>
    <col min="4" max="4" width="25.28515625" customWidth="1"/>
    <col min="5" max="5" width="21.85546875" bestFit="1" customWidth="1"/>
    <col min="6" max="6" width="11.7109375" bestFit="1" customWidth="1"/>
    <col min="7" max="7" width="14.28515625" bestFit="1" customWidth="1"/>
    <col min="8" max="8" width="13.5703125" bestFit="1" customWidth="1"/>
    <col min="17" max="17" width="15.28515625" bestFit="1" customWidth="1"/>
    <col min="18" max="18" width="12.140625" style="10" bestFit="1" customWidth="1"/>
    <col min="19" max="19" width="9.42578125" customWidth="1"/>
  </cols>
  <sheetData>
    <row r="1" spans="4:18" ht="7.5" customHeight="1" x14ac:dyDescent="0.25"/>
    <row r="2" spans="4:18" ht="15" customHeight="1" x14ac:dyDescent="0.25">
      <c r="D2" s="482" t="s">
        <v>124</v>
      </c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/>
    </row>
    <row r="3" spans="4:18" ht="15" customHeight="1" x14ac:dyDescent="0.25"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</row>
    <row r="4" spans="4:18" ht="4.5" customHeight="1" x14ac:dyDescent="0.25"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</row>
    <row r="5" spans="4:18" ht="12" customHeight="1" thickBot="1" x14ac:dyDescent="0.3"/>
    <row r="6" spans="4:18" s="5" customFormat="1" ht="33.75" customHeight="1" thickBot="1" x14ac:dyDescent="0.2">
      <c r="D6" s="50" t="s">
        <v>54</v>
      </c>
      <c r="E6" s="268" t="s">
        <v>4</v>
      </c>
      <c r="F6" s="268" t="s">
        <v>39</v>
      </c>
      <c r="G6" s="268" t="s">
        <v>40</v>
      </c>
      <c r="H6" s="268" t="s">
        <v>41</v>
      </c>
      <c r="I6" s="268" t="s">
        <v>42</v>
      </c>
      <c r="J6" s="268" t="s">
        <v>43</v>
      </c>
      <c r="K6" s="268" t="s">
        <v>44</v>
      </c>
      <c r="L6" s="268" t="s">
        <v>45</v>
      </c>
      <c r="M6" s="268" t="s">
        <v>46</v>
      </c>
      <c r="N6" s="268" t="s">
        <v>55</v>
      </c>
      <c r="O6" s="263" t="s">
        <v>56</v>
      </c>
      <c r="P6" s="268" t="s">
        <v>57</v>
      </c>
      <c r="Q6" s="268" t="s">
        <v>58</v>
      </c>
      <c r="R6" s="268" t="s">
        <v>48</v>
      </c>
    </row>
    <row r="7" spans="4:18" x14ac:dyDescent="0.25">
      <c r="D7" s="476" t="s">
        <v>74</v>
      </c>
      <c r="E7" s="28" t="s">
        <v>80</v>
      </c>
      <c r="F7" s="52">
        <v>525.20000000000005</v>
      </c>
      <c r="G7" s="46">
        <v>718.8</v>
      </c>
      <c r="H7" s="46">
        <v>696.8</v>
      </c>
      <c r="I7" s="46">
        <v>541.4</v>
      </c>
      <c r="J7" s="46">
        <v>398.5</v>
      </c>
      <c r="K7" s="46">
        <v>514.79999999999995</v>
      </c>
      <c r="L7" s="46">
        <v>172.3</v>
      </c>
      <c r="M7" s="46">
        <v>274.39999999999998</v>
      </c>
      <c r="N7" s="46">
        <v>141.1</v>
      </c>
      <c r="O7" s="46">
        <v>284.39999999999998</v>
      </c>
      <c r="P7" s="46">
        <v>272.3</v>
      </c>
      <c r="Q7" s="46">
        <v>214.6</v>
      </c>
      <c r="R7" s="291">
        <v>4754.6000000000004</v>
      </c>
    </row>
    <row r="8" spans="4:18" x14ac:dyDescent="0.25">
      <c r="D8" s="548"/>
      <c r="E8" s="119" t="s">
        <v>81</v>
      </c>
      <c r="F8" s="29">
        <v>1077.7</v>
      </c>
      <c r="G8" s="37">
        <v>1078.2</v>
      </c>
      <c r="H8" s="37">
        <v>963.7</v>
      </c>
      <c r="I8" s="37">
        <v>824.3</v>
      </c>
      <c r="J8" s="37">
        <v>530.29999999999995</v>
      </c>
      <c r="K8" s="37">
        <v>661.2</v>
      </c>
      <c r="L8" s="37">
        <v>485.4</v>
      </c>
      <c r="M8" s="37">
        <v>1278.9000000000001</v>
      </c>
      <c r="N8" s="37">
        <v>1225.5999999999999</v>
      </c>
      <c r="O8" s="37">
        <v>670.7</v>
      </c>
      <c r="P8" s="37">
        <v>117.4</v>
      </c>
      <c r="Q8" s="37">
        <v>310.3</v>
      </c>
      <c r="R8" s="291">
        <v>9223.7000000000007</v>
      </c>
    </row>
    <row r="9" spans="4:18" x14ac:dyDescent="0.25">
      <c r="D9" s="548"/>
      <c r="E9" s="119" t="s">
        <v>82</v>
      </c>
      <c r="F9" s="29">
        <v>10197.6</v>
      </c>
      <c r="G9" s="37">
        <v>17608</v>
      </c>
      <c r="H9" s="37">
        <v>35464.800000000003</v>
      </c>
      <c r="I9" s="37">
        <v>49602.8</v>
      </c>
      <c r="J9" s="37">
        <v>35457.800000000003</v>
      </c>
      <c r="K9" s="37">
        <v>32482.5</v>
      </c>
      <c r="L9" s="37">
        <v>27250.7</v>
      </c>
      <c r="M9" s="37">
        <v>23693.1</v>
      </c>
      <c r="N9" s="37">
        <v>21537.3</v>
      </c>
      <c r="O9" s="37">
        <v>23717.9</v>
      </c>
      <c r="P9" s="37">
        <v>13944.2</v>
      </c>
      <c r="Q9" s="37">
        <v>16178.9</v>
      </c>
      <c r="R9" s="291">
        <v>307135.60000000003</v>
      </c>
    </row>
    <row r="10" spans="4:18" x14ac:dyDescent="0.25">
      <c r="D10" s="548"/>
      <c r="E10" s="119" t="s">
        <v>6</v>
      </c>
      <c r="F10" s="29">
        <v>1923.6</v>
      </c>
      <c r="G10" s="37">
        <v>3701.8</v>
      </c>
      <c r="H10" s="37">
        <v>11833.9</v>
      </c>
      <c r="I10" s="37">
        <v>15314.8</v>
      </c>
      <c r="J10" s="37">
        <v>12085.1</v>
      </c>
      <c r="K10" s="37">
        <v>9479.2000000000007</v>
      </c>
      <c r="L10" s="37">
        <v>9594.4</v>
      </c>
      <c r="M10" s="37">
        <v>11698.8</v>
      </c>
      <c r="N10" s="37">
        <v>11641.5</v>
      </c>
      <c r="O10" s="37">
        <v>12903.1</v>
      </c>
      <c r="P10" s="37">
        <v>5653.7</v>
      </c>
      <c r="Q10" s="37">
        <v>8494.6</v>
      </c>
      <c r="R10" s="291">
        <v>114324.5</v>
      </c>
    </row>
    <row r="11" spans="4:18" x14ac:dyDescent="0.25">
      <c r="D11" s="548"/>
      <c r="E11" s="119" t="s">
        <v>7</v>
      </c>
      <c r="F11" s="29">
        <v>979</v>
      </c>
      <c r="G11" s="37">
        <v>874.5</v>
      </c>
      <c r="H11" s="37">
        <v>1506.5</v>
      </c>
      <c r="I11" s="37">
        <v>852.3</v>
      </c>
      <c r="J11" s="37">
        <v>873.5</v>
      </c>
      <c r="K11" s="37">
        <v>292.7</v>
      </c>
      <c r="L11" s="37">
        <v>364.1</v>
      </c>
      <c r="M11" s="37">
        <v>246.4</v>
      </c>
      <c r="N11" s="37">
        <v>251.9</v>
      </c>
      <c r="O11" s="37">
        <v>668.4</v>
      </c>
      <c r="P11" s="37">
        <v>562.6</v>
      </c>
      <c r="Q11" s="37">
        <v>411.8</v>
      </c>
      <c r="R11" s="291">
        <v>7883.7</v>
      </c>
    </row>
    <row r="12" spans="4:18" x14ac:dyDescent="0.25">
      <c r="D12" s="548"/>
      <c r="E12" s="119" t="s">
        <v>83</v>
      </c>
      <c r="F12" s="29">
        <v>22149.599999999999</v>
      </c>
      <c r="G12" s="37">
        <v>20097</v>
      </c>
      <c r="H12" s="37">
        <v>38963.599999999999</v>
      </c>
      <c r="I12" s="37">
        <v>60772.7</v>
      </c>
      <c r="J12" s="37">
        <v>52795.199999999997</v>
      </c>
      <c r="K12" s="37">
        <v>46725.7</v>
      </c>
      <c r="L12" s="37">
        <v>41779</v>
      </c>
      <c r="M12" s="37">
        <v>46695.5</v>
      </c>
      <c r="N12" s="37">
        <v>49429.4</v>
      </c>
      <c r="O12" s="37">
        <v>61430.2</v>
      </c>
      <c r="P12" s="37">
        <v>48130.8</v>
      </c>
      <c r="Q12" s="37">
        <v>61375.5</v>
      </c>
      <c r="R12" s="291">
        <v>550344.19999999995</v>
      </c>
    </row>
    <row r="13" spans="4:18" x14ac:dyDescent="0.25">
      <c r="D13" s="548"/>
      <c r="E13" s="119" t="s">
        <v>84</v>
      </c>
      <c r="F13" s="29">
        <v>1322.2</v>
      </c>
      <c r="G13" s="37">
        <v>2846.1</v>
      </c>
      <c r="H13" s="37">
        <v>5294.5</v>
      </c>
      <c r="I13" s="37">
        <v>5295.5</v>
      </c>
      <c r="J13" s="37">
        <v>3703.5</v>
      </c>
      <c r="K13" s="37">
        <v>4078.8</v>
      </c>
      <c r="L13" s="37">
        <v>3910.8</v>
      </c>
      <c r="M13" s="37">
        <v>3404.9</v>
      </c>
      <c r="N13" s="37">
        <v>2003.4</v>
      </c>
      <c r="O13" s="37">
        <v>2023.7</v>
      </c>
      <c r="P13" s="37">
        <v>701.5</v>
      </c>
      <c r="Q13" s="37">
        <v>1020.9</v>
      </c>
      <c r="R13" s="291">
        <v>35605.800000000003</v>
      </c>
    </row>
    <row r="14" spans="4:18" x14ac:dyDescent="0.25">
      <c r="D14" s="548"/>
      <c r="E14" s="32" t="s">
        <v>8</v>
      </c>
      <c r="F14" s="33">
        <v>10784.2</v>
      </c>
      <c r="G14" s="38">
        <v>14566.2</v>
      </c>
      <c r="H14" s="38">
        <v>14480.9</v>
      </c>
      <c r="I14" s="38">
        <v>12495.2</v>
      </c>
      <c r="J14" s="38">
        <v>10188</v>
      </c>
      <c r="K14" s="38">
        <v>10905.6</v>
      </c>
      <c r="L14" s="38">
        <v>9660.9</v>
      </c>
      <c r="M14" s="38">
        <v>10182.299999999999</v>
      </c>
      <c r="N14" s="38">
        <v>8752.6</v>
      </c>
      <c r="O14" s="38">
        <v>5721.7</v>
      </c>
      <c r="P14" s="38">
        <v>3705.6</v>
      </c>
      <c r="Q14" s="38">
        <v>3425.9</v>
      </c>
      <c r="R14" s="291">
        <v>114869.1</v>
      </c>
    </row>
    <row r="15" spans="4:18" s="10" customFormat="1" ht="15.75" thickBot="1" x14ac:dyDescent="0.3">
      <c r="D15" s="521"/>
      <c r="E15" s="117" t="s">
        <v>72</v>
      </c>
      <c r="F15" s="35">
        <v>48959.099999999991</v>
      </c>
      <c r="G15" s="110">
        <v>61490.600000000006</v>
      </c>
      <c r="H15" s="110">
        <v>109204.7</v>
      </c>
      <c r="I15" s="110">
        <v>145699</v>
      </c>
      <c r="J15" s="110">
        <v>116031.9</v>
      </c>
      <c r="K15" s="110">
        <v>105140.5</v>
      </c>
      <c r="L15" s="110">
        <v>93217.599999999991</v>
      </c>
      <c r="M15" s="110">
        <v>97474.3</v>
      </c>
      <c r="N15" s="110">
        <v>94982.8</v>
      </c>
      <c r="O15" s="110">
        <v>107420.09999999999</v>
      </c>
      <c r="P15" s="110">
        <v>73088.100000000006</v>
      </c>
      <c r="Q15" s="110">
        <v>91432.499999999985</v>
      </c>
      <c r="R15" s="111">
        <v>1144141.2000000002</v>
      </c>
    </row>
    <row r="16" spans="4:18" x14ac:dyDescent="0.25">
      <c r="D16" s="476" t="s">
        <v>75</v>
      </c>
      <c r="E16" s="119" t="s">
        <v>10</v>
      </c>
      <c r="F16" s="29">
        <v>78.5</v>
      </c>
      <c r="G16" s="37">
        <v>683.1</v>
      </c>
      <c r="H16" s="37">
        <v>513.29999999999995</v>
      </c>
      <c r="I16" s="37">
        <v>221.4</v>
      </c>
      <c r="J16" s="37">
        <v>100.1</v>
      </c>
      <c r="K16" s="37">
        <v>30.5</v>
      </c>
      <c r="L16" s="37">
        <v>24.5</v>
      </c>
      <c r="M16" s="37">
        <v>19.899999999999999</v>
      </c>
      <c r="N16" s="37">
        <v>20.3</v>
      </c>
      <c r="O16" s="37">
        <v>9.5</v>
      </c>
      <c r="P16" s="37">
        <v>48.8</v>
      </c>
      <c r="Q16" s="37">
        <v>78.8</v>
      </c>
      <c r="R16" s="291">
        <v>1828.7</v>
      </c>
    </row>
    <row r="17" spans="4:19" x14ac:dyDescent="0.25">
      <c r="D17" s="548"/>
      <c r="E17" s="119" t="s">
        <v>11</v>
      </c>
      <c r="F17" s="29">
        <v>495.4</v>
      </c>
      <c r="G17" s="37">
        <v>304.5</v>
      </c>
      <c r="H17" s="37">
        <v>307.3</v>
      </c>
      <c r="I17" s="37">
        <v>215.5</v>
      </c>
      <c r="J17" s="37">
        <v>251.8</v>
      </c>
      <c r="K17" s="37">
        <v>120.4</v>
      </c>
      <c r="L17" s="37">
        <v>66</v>
      </c>
      <c r="M17" s="37">
        <v>86.9</v>
      </c>
      <c r="N17" s="37">
        <v>177.2</v>
      </c>
      <c r="O17" s="37">
        <v>379.5</v>
      </c>
      <c r="P17" s="37">
        <v>93.4</v>
      </c>
      <c r="Q17" s="37">
        <v>119.3</v>
      </c>
      <c r="R17" s="291">
        <v>2617.2000000000003</v>
      </c>
    </row>
    <row r="18" spans="4:19" x14ac:dyDescent="0.25">
      <c r="D18" s="548"/>
      <c r="E18" s="32" t="s">
        <v>12</v>
      </c>
      <c r="F18" s="33">
        <v>92.6</v>
      </c>
      <c r="G18" s="38">
        <v>211.9</v>
      </c>
      <c r="H18" s="38">
        <v>426.3</v>
      </c>
      <c r="I18" s="38">
        <v>679</v>
      </c>
      <c r="J18" s="38">
        <v>557.1</v>
      </c>
      <c r="K18" s="38">
        <v>368.1</v>
      </c>
      <c r="L18" s="38">
        <v>435.9</v>
      </c>
      <c r="M18" s="38">
        <v>339.7</v>
      </c>
      <c r="N18" s="38">
        <v>215.3</v>
      </c>
      <c r="O18" s="38">
        <v>167.3</v>
      </c>
      <c r="P18" s="38">
        <v>74.2</v>
      </c>
      <c r="Q18" s="38">
        <v>122.8</v>
      </c>
      <c r="R18" s="291">
        <v>3690.2000000000003</v>
      </c>
    </row>
    <row r="19" spans="4:19" s="10" customFormat="1" ht="15.75" thickBot="1" x14ac:dyDescent="0.3">
      <c r="D19" s="521"/>
      <c r="E19" s="117" t="s">
        <v>72</v>
      </c>
      <c r="F19" s="35">
        <v>666.5</v>
      </c>
      <c r="G19" s="35">
        <v>1199.5</v>
      </c>
      <c r="H19" s="35">
        <v>1246.8999999999999</v>
      </c>
      <c r="I19" s="35">
        <v>1115.9000000000001</v>
      </c>
      <c r="J19" s="35">
        <v>909</v>
      </c>
      <c r="K19" s="35">
        <v>519</v>
      </c>
      <c r="L19" s="35">
        <v>526.4</v>
      </c>
      <c r="M19" s="35">
        <v>446.5</v>
      </c>
      <c r="N19" s="35">
        <v>412.8</v>
      </c>
      <c r="O19" s="35">
        <v>556.29999999999995</v>
      </c>
      <c r="P19" s="35">
        <v>216.39999999999998</v>
      </c>
      <c r="Q19" s="35">
        <v>320.89999999999998</v>
      </c>
      <c r="R19" s="111">
        <v>8136.1</v>
      </c>
    </row>
    <row r="20" spans="4:19" x14ac:dyDescent="0.25">
      <c r="D20" s="476" t="s">
        <v>13</v>
      </c>
      <c r="E20" s="40" t="s">
        <v>13</v>
      </c>
      <c r="F20" s="41">
        <v>78.2</v>
      </c>
      <c r="G20" s="42">
        <v>58.1</v>
      </c>
      <c r="H20" s="42">
        <v>12.5</v>
      </c>
      <c r="I20" s="42">
        <v>19.399999999999999</v>
      </c>
      <c r="J20" s="46">
        <v>17.600000000000001</v>
      </c>
      <c r="K20" s="37">
        <v>15.2</v>
      </c>
      <c r="L20" s="37">
        <v>18.8</v>
      </c>
      <c r="M20" s="37">
        <v>15.3</v>
      </c>
      <c r="N20" s="37">
        <v>14.9</v>
      </c>
      <c r="O20" s="37">
        <v>15.3</v>
      </c>
      <c r="P20" s="37">
        <v>12</v>
      </c>
      <c r="Q20" s="37">
        <v>25.2</v>
      </c>
      <c r="R20" s="291">
        <v>302.5</v>
      </c>
    </row>
    <row r="21" spans="4:19" s="10" customFormat="1" ht="15.75" thickBot="1" x14ac:dyDescent="0.3">
      <c r="D21" s="521"/>
      <c r="E21" s="117" t="s">
        <v>72</v>
      </c>
      <c r="F21" s="35">
        <v>78.2</v>
      </c>
      <c r="G21" s="110">
        <v>58.1</v>
      </c>
      <c r="H21" s="110">
        <v>12.5</v>
      </c>
      <c r="I21" s="110">
        <v>19.399999999999999</v>
      </c>
      <c r="J21" s="112">
        <v>17.600000000000001</v>
      </c>
      <c r="K21" s="112">
        <v>15.2</v>
      </c>
      <c r="L21" s="112">
        <v>18.8</v>
      </c>
      <c r="M21" s="112">
        <v>15.3</v>
      </c>
      <c r="N21" s="112">
        <v>14.9</v>
      </c>
      <c r="O21" s="112">
        <v>15.3</v>
      </c>
      <c r="P21" s="112">
        <v>12</v>
      </c>
      <c r="Q21" s="112">
        <v>25.2</v>
      </c>
      <c r="R21" s="111">
        <v>302.5</v>
      </c>
      <c r="S21" s="13"/>
    </row>
    <row r="22" spans="4:19" x14ac:dyDescent="0.25">
      <c r="D22" s="476" t="s">
        <v>87</v>
      </c>
      <c r="E22" s="28" t="s">
        <v>14</v>
      </c>
      <c r="F22" s="29">
        <v>101.5</v>
      </c>
      <c r="G22" s="37">
        <v>439.6</v>
      </c>
      <c r="H22" s="37">
        <v>532</v>
      </c>
      <c r="I22" s="37">
        <v>658.7</v>
      </c>
      <c r="J22" s="37">
        <v>266.5</v>
      </c>
      <c r="K22" s="37">
        <v>357.4</v>
      </c>
      <c r="L22" s="37">
        <v>520.9</v>
      </c>
      <c r="M22" s="37">
        <v>443.2</v>
      </c>
      <c r="N22" s="37">
        <v>235.1</v>
      </c>
      <c r="O22" s="37">
        <v>124.9</v>
      </c>
      <c r="P22" s="37">
        <v>59.7</v>
      </c>
      <c r="Q22" s="37">
        <v>74.5</v>
      </c>
      <c r="R22" s="291">
        <v>3813.9999999999995</v>
      </c>
    </row>
    <row r="23" spans="4:19" x14ac:dyDescent="0.25">
      <c r="D23" s="548"/>
      <c r="E23" s="119" t="s">
        <v>85</v>
      </c>
      <c r="F23" s="29">
        <v>271.89999999999998</v>
      </c>
      <c r="G23" s="37">
        <v>178.7</v>
      </c>
      <c r="H23" s="37">
        <v>90.5</v>
      </c>
      <c r="I23" s="37">
        <v>49.1</v>
      </c>
      <c r="J23" s="37">
        <v>66.8</v>
      </c>
      <c r="K23" s="37">
        <v>15.5</v>
      </c>
      <c r="L23" s="37">
        <v>7.5</v>
      </c>
      <c r="M23" s="37">
        <v>7.7</v>
      </c>
      <c r="N23" s="37">
        <v>3.4</v>
      </c>
      <c r="O23" s="37">
        <v>6.3</v>
      </c>
      <c r="P23" s="37">
        <v>4.3</v>
      </c>
      <c r="Q23" s="37">
        <v>40.799999999999997</v>
      </c>
      <c r="R23" s="291">
        <v>742.49999999999977</v>
      </c>
    </row>
    <row r="24" spans="4:19" x14ac:dyDescent="0.25">
      <c r="D24" s="548"/>
      <c r="E24" s="32" t="s">
        <v>15</v>
      </c>
      <c r="F24" s="33">
        <v>94.5</v>
      </c>
      <c r="G24" s="38">
        <v>206</v>
      </c>
      <c r="H24" s="38">
        <v>295.89999999999998</v>
      </c>
      <c r="I24" s="38">
        <v>190.7</v>
      </c>
      <c r="J24" s="38">
        <v>151.5</v>
      </c>
      <c r="K24" s="38">
        <v>146.80000000000001</v>
      </c>
      <c r="L24" s="38">
        <v>84.9</v>
      </c>
      <c r="M24" s="38">
        <v>43.3</v>
      </c>
      <c r="N24" s="38">
        <v>51.2</v>
      </c>
      <c r="O24" s="38">
        <v>25.2</v>
      </c>
      <c r="P24" s="38">
        <v>13.9</v>
      </c>
      <c r="Q24" s="38">
        <v>24.5</v>
      </c>
      <c r="R24" s="291">
        <v>1328.4</v>
      </c>
    </row>
    <row r="25" spans="4:19" s="10" customFormat="1" ht="15.75" thickBot="1" x14ac:dyDescent="0.3">
      <c r="D25" s="521"/>
      <c r="E25" s="117" t="s">
        <v>72</v>
      </c>
      <c r="F25" s="35">
        <v>467.9</v>
      </c>
      <c r="G25" s="35">
        <v>824.3</v>
      </c>
      <c r="H25" s="35">
        <v>918.4</v>
      </c>
      <c r="I25" s="35">
        <v>898.5</v>
      </c>
      <c r="J25" s="35">
        <v>484.8</v>
      </c>
      <c r="K25" s="35">
        <v>519.70000000000005</v>
      </c>
      <c r="L25" s="35">
        <v>613.29999999999995</v>
      </c>
      <c r="M25" s="35">
        <v>494.2</v>
      </c>
      <c r="N25" s="35">
        <v>289.7</v>
      </c>
      <c r="O25" s="35">
        <v>156.4</v>
      </c>
      <c r="P25" s="35">
        <v>77.900000000000006</v>
      </c>
      <c r="Q25" s="35">
        <v>139.80000000000001</v>
      </c>
      <c r="R25" s="111">
        <v>5884.9</v>
      </c>
    </row>
    <row r="26" spans="4:19" s="10" customFormat="1" x14ac:dyDescent="0.25">
      <c r="D26" s="476" t="s">
        <v>153</v>
      </c>
      <c r="E26" s="28" t="s">
        <v>154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1">
        <v>0</v>
      </c>
    </row>
    <row r="27" spans="4:19" s="10" customFormat="1" x14ac:dyDescent="0.25">
      <c r="D27" s="548"/>
      <c r="E27" s="32" t="s">
        <v>155</v>
      </c>
      <c r="F27" s="29">
        <v>1.4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1">
        <v>1.4</v>
      </c>
    </row>
    <row r="28" spans="4:19" s="10" customFormat="1" ht="15.75" thickBot="1" x14ac:dyDescent="0.3">
      <c r="D28" s="521"/>
      <c r="E28" s="48" t="s">
        <v>72</v>
      </c>
      <c r="F28" s="113">
        <v>1.4</v>
      </c>
      <c r="G28" s="112">
        <v>0</v>
      </c>
      <c r="H28" s="113">
        <v>0</v>
      </c>
      <c r="I28" s="113">
        <v>0</v>
      </c>
      <c r="J28" s="113">
        <v>0</v>
      </c>
      <c r="K28" s="113">
        <v>0</v>
      </c>
      <c r="L28" s="113">
        <v>0</v>
      </c>
      <c r="M28" s="113">
        <v>0</v>
      </c>
      <c r="N28" s="113">
        <v>0</v>
      </c>
      <c r="O28" s="113">
        <v>0</v>
      </c>
      <c r="P28" s="113">
        <v>0</v>
      </c>
      <c r="Q28" s="113">
        <v>0</v>
      </c>
      <c r="R28" s="111">
        <v>1.4</v>
      </c>
    </row>
    <row r="29" spans="4:19" x14ac:dyDescent="0.25">
      <c r="D29" s="476" t="s">
        <v>73</v>
      </c>
      <c r="E29" s="119" t="s">
        <v>16</v>
      </c>
      <c r="F29" s="29">
        <v>702.6</v>
      </c>
      <c r="G29" s="37">
        <v>868.1</v>
      </c>
      <c r="H29" s="37">
        <v>1430.1</v>
      </c>
      <c r="I29" s="37">
        <v>1465.9</v>
      </c>
      <c r="J29" s="37">
        <v>1039.2</v>
      </c>
      <c r="K29" s="37">
        <v>1355</v>
      </c>
      <c r="L29" s="37">
        <v>982.5</v>
      </c>
      <c r="M29" s="37">
        <v>499.5</v>
      </c>
      <c r="N29" s="37">
        <v>620.5</v>
      </c>
      <c r="O29" s="37">
        <v>777.6</v>
      </c>
      <c r="P29" s="37">
        <v>478.8</v>
      </c>
      <c r="Q29" s="37">
        <v>576.9</v>
      </c>
      <c r="R29" s="291">
        <v>10796.7</v>
      </c>
    </row>
    <row r="30" spans="4:19" x14ac:dyDescent="0.25">
      <c r="D30" s="548"/>
      <c r="E30" s="119" t="s">
        <v>17</v>
      </c>
      <c r="F30" s="29">
        <v>3796.8</v>
      </c>
      <c r="G30" s="37">
        <v>3212.5</v>
      </c>
      <c r="H30" s="37">
        <v>9715.4</v>
      </c>
      <c r="I30" s="37">
        <v>9466.5</v>
      </c>
      <c r="J30" s="37">
        <v>6868.7</v>
      </c>
      <c r="K30" s="37">
        <v>8152.5</v>
      </c>
      <c r="L30" s="37">
        <v>7995.7</v>
      </c>
      <c r="M30" s="37">
        <v>5728.6</v>
      </c>
      <c r="N30" s="37">
        <v>6020.7</v>
      </c>
      <c r="O30" s="37">
        <v>8272.9</v>
      </c>
      <c r="P30" s="37">
        <v>4023.9</v>
      </c>
      <c r="Q30" s="37">
        <v>3892.3</v>
      </c>
      <c r="R30" s="291">
        <v>77146.499999999985</v>
      </c>
    </row>
    <row r="31" spans="4:19" x14ac:dyDescent="0.25">
      <c r="D31" s="548"/>
      <c r="E31" s="119" t="s">
        <v>18</v>
      </c>
      <c r="F31" s="29">
        <v>182.1</v>
      </c>
      <c r="G31" s="37">
        <v>147.1</v>
      </c>
      <c r="H31" s="37">
        <v>318.5</v>
      </c>
      <c r="I31" s="37">
        <v>500.7</v>
      </c>
      <c r="J31" s="37">
        <v>653.4</v>
      </c>
      <c r="K31" s="37">
        <v>520.5</v>
      </c>
      <c r="L31" s="37">
        <v>729.8</v>
      </c>
      <c r="M31" s="37">
        <v>466.8</v>
      </c>
      <c r="N31" s="37">
        <v>394.7</v>
      </c>
      <c r="O31" s="37">
        <v>467.6</v>
      </c>
      <c r="P31" s="37">
        <v>260.5</v>
      </c>
      <c r="Q31" s="37">
        <v>272.7</v>
      </c>
      <c r="R31" s="291">
        <v>4914.4000000000005</v>
      </c>
    </row>
    <row r="32" spans="4:19" x14ac:dyDescent="0.25">
      <c r="D32" s="548"/>
      <c r="E32" s="119" t="s">
        <v>50</v>
      </c>
      <c r="F32" s="29">
        <v>19.100000000000001</v>
      </c>
      <c r="G32" s="37">
        <v>22.9</v>
      </c>
      <c r="H32" s="37">
        <v>115.2</v>
      </c>
      <c r="I32" s="37">
        <v>309.89999999999998</v>
      </c>
      <c r="J32" s="37">
        <v>173.3</v>
      </c>
      <c r="K32" s="37">
        <v>292.39999999999998</v>
      </c>
      <c r="L32" s="37">
        <v>93.3</v>
      </c>
      <c r="M32" s="37">
        <v>47.6</v>
      </c>
      <c r="N32" s="37">
        <v>307.10000000000002</v>
      </c>
      <c r="O32" s="37">
        <v>184.4</v>
      </c>
      <c r="P32" s="37">
        <v>114.2</v>
      </c>
      <c r="Q32" s="37">
        <v>243.8</v>
      </c>
      <c r="R32" s="291">
        <v>1923.1999999999998</v>
      </c>
    </row>
    <row r="33" spans="3:18" x14ac:dyDescent="0.25">
      <c r="D33" s="548"/>
      <c r="E33" s="32" t="s">
        <v>19</v>
      </c>
      <c r="F33" s="33">
        <v>3005.5</v>
      </c>
      <c r="G33" s="38">
        <v>2451.9</v>
      </c>
      <c r="H33" s="38">
        <v>3961.3</v>
      </c>
      <c r="I33" s="38">
        <v>7588.1</v>
      </c>
      <c r="J33" s="38">
        <v>6563.8</v>
      </c>
      <c r="K33" s="38">
        <v>4783.3999999999996</v>
      </c>
      <c r="L33" s="38">
        <v>3603.3</v>
      </c>
      <c r="M33" s="38">
        <v>5344.6</v>
      </c>
      <c r="N33" s="38">
        <v>6134.5</v>
      </c>
      <c r="O33" s="38">
        <v>7665.7</v>
      </c>
      <c r="P33" s="38">
        <v>3966.9</v>
      </c>
      <c r="Q33" s="38">
        <v>3959.8</v>
      </c>
      <c r="R33" s="291">
        <v>59028.800000000003</v>
      </c>
    </row>
    <row r="34" spans="3:18" s="10" customFormat="1" ht="15.75" thickBot="1" x14ac:dyDescent="0.3">
      <c r="D34" s="521"/>
      <c r="E34" s="117" t="s">
        <v>72</v>
      </c>
      <c r="F34" s="35">
        <v>7706.1000000000013</v>
      </c>
      <c r="G34" s="110">
        <v>6702.5</v>
      </c>
      <c r="H34" s="110">
        <v>15540.5</v>
      </c>
      <c r="I34" s="110">
        <v>19331.099999999999</v>
      </c>
      <c r="J34" s="110">
        <v>15298.399999999998</v>
      </c>
      <c r="K34" s="110">
        <v>15103.8</v>
      </c>
      <c r="L34" s="110">
        <v>13404.599999999999</v>
      </c>
      <c r="M34" s="110">
        <v>12087.100000000002</v>
      </c>
      <c r="N34" s="110">
        <v>13477.5</v>
      </c>
      <c r="O34" s="110">
        <v>17368.2</v>
      </c>
      <c r="P34" s="110">
        <v>8844.2999999999993</v>
      </c>
      <c r="Q34" s="110">
        <v>8945.5</v>
      </c>
      <c r="R34" s="111">
        <v>153809.59999999998</v>
      </c>
    </row>
    <row r="35" spans="3:18" x14ac:dyDescent="0.25">
      <c r="C35" s="6"/>
      <c r="D35" s="476" t="s">
        <v>76</v>
      </c>
      <c r="E35" s="28" t="s">
        <v>78</v>
      </c>
      <c r="F35" s="52">
        <v>0</v>
      </c>
      <c r="G35" s="46">
        <v>3.4</v>
      </c>
      <c r="H35" s="46">
        <v>89.4</v>
      </c>
      <c r="I35" s="46">
        <v>430.2</v>
      </c>
      <c r="J35" s="46">
        <v>29.8</v>
      </c>
      <c r="K35" s="46">
        <v>27</v>
      </c>
      <c r="L35" s="46">
        <v>7.7</v>
      </c>
      <c r="M35" s="46">
        <v>127.6</v>
      </c>
      <c r="N35" s="46">
        <v>7.3</v>
      </c>
      <c r="O35" s="46">
        <v>68.5</v>
      </c>
      <c r="P35" s="46">
        <v>1.1000000000000001</v>
      </c>
      <c r="Q35" s="46">
        <v>27.4</v>
      </c>
      <c r="R35" s="291">
        <v>819.4</v>
      </c>
    </row>
    <row r="36" spans="3:18" x14ac:dyDescent="0.25">
      <c r="C36" s="6"/>
      <c r="D36" s="548"/>
      <c r="E36" s="119" t="s">
        <v>20</v>
      </c>
      <c r="F36" s="29">
        <v>0.5</v>
      </c>
      <c r="G36" s="37">
        <v>0.3</v>
      </c>
      <c r="H36" s="37">
        <v>28.7</v>
      </c>
      <c r="I36" s="37">
        <v>82.8</v>
      </c>
      <c r="J36" s="37">
        <v>0.1</v>
      </c>
      <c r="K36" s="37">
        <v>67.3</v>
      </c>
      <c r="L36" s="37">
        <v>19.5</v>
      </c>
      <c r="M36" s="37">
        <v>2</v>
      </c>
      <c r="N36" s="37">
        <v>1.6</v>
      </c>
      <c r="O36" s="37">
        <v>1.3</v>
      </c>
      <c r="P36" s="37">
        <v>1.3</v>
      </c>
      <c r="Q36" s="37">
        <v>0.6</v>
      </c>
      <c r="R36" s="291">
        <v>206</v>
      </c>
    </row>
    <row r="37" spans="3:18" x14ac:dyDescent="0.25">
      <c r="C37" s="6"/>
      <c r="D37" s="548"/>
      <c r="E37" s="119" t="s">
        <v>151</v>
      </c>
      <c r="F37" s="29">
        <v>0</v>
      </c>
      <c r="G37" s="37">
        <v>0</v>
      </c>
      <c r="H37" s="37">
        <v>0</v>
      </c>
      <c r="I37" s="37">
        <v>0</v>
      </c>
      <c r="J37" s="37">
        <v>0.2</v>
      </c>
      <c r="K37" s="37">
        <v>0.2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291">
        <v>0.4</v>
      </c>
    </row>
    <row r="38" spans="3:18" x14ac:dyDescent="0.25">
      <c r="C38" s="6"/>
      <c r="D38" s="548"/>
      <c r="E38" s="32" t="s">
        <v>21</v>
      </c>
      <c r="F38" s="33">
        <v>19.899999999999999</v>
      </c>
      <c r="G38" s="38">
        <v>8.8000000000000007</v>
      </c>
      <c r="H38" s="38">
        <v>13.2</v>
      </c>
      <c r="I38" s="38">
        <v>13.8</v>
      </c>
      <c r="J38" s="38">
        <v>10.7</v>
      </c>
      <c r="K38" s="38">
        <v>23.1</v>
      </c>
      <c r="L38" s="38">
        <v>10.3</v>
      </c>
      <c r="M38" s="38">
        <v>48.1</v>
      </c>
      <c r="N38" s="38">
        <v>95.1</v>
      </c>
      <c r="O38" s="38">
        <v>5.8</v>
      </c>
      <c r="P38" s="38">
        <v>8.1</v>
      </c>
      <c r="Q38" s="38">
        <v>64.8</v>
      </c>
      <c r="R38" s="291">
        <v>321.70000000000005</v>
      </c>
    </row>
    <row r="39" spans="3:18" s="10" customFormat="1" ht="15.75" thickBot="1" x14ac:dyDescent="0.3">
      <c r="C39" s="12"/>
      <c r="D39" s="521"/>
      <c r="E39" s="117" t="s">
        <v>72</v>
      </c>
      <c r="F39" s="35">
        <v>20.399999999999999</v>
      </c>
      <c r="G39" s="110">
        <v>12.5</v>
      </c>
      <c r="H39" s="110">
        <v>131.30000000000001</v>
      </c>
      <c r="I39" s="110">
        <v>526.79999999999995</v>
      </c>
      <c r="J39" s="110">
        <v>40.799999999999997</v>
      </c>
      <c r="K39" s="110">
        <v>117.6</v>
      </c>
      <c r="L39" s="110">
        <v>37.5</v>
      </c>
      <c r="M39" s="110">
        <v>177.7</v>
      </c>
      <c r="N39" s="110">
        <v>104</v>
      </c>
      <c r="O39" s="110">
        <v>75.599999999999994</v>
      </c>
      <c r="P39" s="110">
        <v>10.5</v>
      </c>
      <c r="Q39" s="110">
        <v>92.8</v>
      </c>
      <c r="R39" s="111">
        <v>1347.5000000000002</v>
      </c>
    </row>
    <row r="40" spans="3:18" x14ac:dyDescent="0.25">
      <c r="C40" s="6"/>
      <c r="D40" s="476" t="s">
        <v>22</v>
      </c>
      <c r="E40" s="119" t="s">
        <v>23</v>
      </c>
      <c r="F40" s="29">
        <v>82.8</v>
      </c>
      <c r="G40" s="37">
        <v>371.4</v>
      </c>
      <c r="H40" s="37">
        <v>145.1</v>
      </c>
      <c r="I40" s="37">
        <v>25.9</v>
      </c>
      <c r="J40" s="37">
        <v>2.2000000000000002</v>
      </c>
      <c r="K40" s="37">
        <v>3.9</v>
      </c>
      <c r="L40" s="37">
        <v>2.9</v>
      </c>
      <c r="M40" s="37">
        <v>1.9</v>
      </c>
      <c r="N40" s="37">
        <v>1.7</v>
      </c>
      <c r="O40" s="37">
        <v>2.5</v>
      </c>
      <c r="P40" s="37">
        <v>1.2</v>
      </c>
      <c r="Q40" s="37">
        <v>1.9</v>
      </c>
      <c r="R40" s="291">
        <v>643.4</v>
      </c>
    </row>
    <row r="41" spans="3:18" x14ac:dyDescent="0.25">
      <c r="C41" s="6"/>
      <c r="D41" s="548"/>
      <c r="E41" s="119" t="s">
        <v>24</v>
      </c>
      <c r="F41" s="29">
        <v>29</v>
      </c>
      <c r="G41" s="37">
        <v>173.3</v>
      </c>
      <c r="H41" s="37">
        <v>149.4</v>
      </c>
      <c r="I41" s="37">
        <v>51.2</v>
      </c>
      <c r="J41" s="37">
        <v>16.3</v>
      </c>
      <c r="K41" s="37">
        <v>13</v>
      </c>
      <c r="L41" s="37">
        <v>12.4</v>
      </c>
      <c r="M41" s="37">
        <v>11.7</v>
      </c>
      <c r="N41" s="37">
        <v>21.2</v>
      </c>
      <c r="O41" s="37">
        <v>15</v>
      </c>
      <c r="P41" s="37">
        <v>16.8</v>
      </c>
      <c r="Q41" s="37">
        <v>16.5</v>
      </c>
      <c r="R41" s="291">
        <v>525.79999999999995</v>
      </c>
    </row>
    <row r="42" spans="3:18" x14ac:dyDescent="0.25">
      <c r="C42" s="6"/>
      <c r="D42" s="548"/>
      <c r="E42" s="119" t="s">
        <v>25</v>
      </c>
      <c r="F42" s="29">
        <v>345.2</v>
      </c>
      <c r="G42" s="37">
        <v>1736.6</v>
      </c>
      <c r="H42" s="37">
        <v>1860.3</v>
      </c>
      <c r="I42" s="37">
        <v>975.6</v>
      </c>
      <c r="J42" s="37">
        <v>752.5</v>
      </c>
      <c r="K42" s="37">
        <v>650.20000000000005</v>
      </c>
      <c r="L42" s="37">
        <v>339.3</v>
      </c>
      <c r="M42" s="37">
        <v>587.70000000000005</v>
      </c>
      <c r="N42" s="37">
        <v>444.7</v>
      </c>
      <c r="O42" s="37">
        <v>301.89999999999998</v>
      </c>
      <c r="P42" s="37">
        <v>128.5</v>
      </c>
      <c r="Q42" s="37">
        <v>312.2</v>
      </c>
      <c r="R42" s="291">
        <v>8434.6999999999989</v>
      </c>
    </row>
    <row r="43" spans="3:18" x14ac:dyDescent="0.25">
      <c r="C43" s="6"/>
      <c r="D43" s="548"/>
      <c r="E43" s="32" t="s">
        <v>26</v>
      </c>
      <c r="F43" s="33">
        <v>606.1</v>
      </c>
      <c r="G43" s="38">
        <v>1893.5</v>
      </c>
      <c r="H43" s="38">
        <v>1348.5</v>
      </c>
      <c r="I43" s="38">
        <v>665.1</v>
      </c>
      <c r="J43" s="38">
        <v>509.8</v>
      </c>
      <c r="K43" s="38">
        <v>347.7</v>
      </c>
      <c r="L43" s="38">
        <v>192.6</v>
      </c>
      <c r="M43" s="38">
        <v>131.4</v>
      </c>
      <c r="N43" s="38">
        <v>128.80000000000001</v>
      </c>
      <c r="O43" s="38">
        <v>134.30000000000001</v>
      </c>
      <c r="P43" s="38">
        <v>67.8</v>
      </c>
      <c r="Q43" s="38">
        <v>229.8</v>
      </c>
      <c r="R43" s="291">
        <v>6255.4000000000005</v>
      </c>
    </row>
    <row r="44" spans="3:18" s="10" customFormat="1" ht="15.75" thickBot="1" x14ac:dyDescent="0.3">
      <c r="C44" s="12"/>
      <c r="D44" s="521"/>
      <c r="E44" s="117" t="s">
        <v>72</v>
      </c>
      <c r="F44" s="35">
        <v>1063.0999999999999</v>
      </c>
      <c r="G44" s="110">
        <v>4174.8</v>
      </c>
      <c r="H44" s="35">
        <v>3503.3</v>
      </c>
      <c r="I44" s="35">
        <v>1717.8000000000002</v>
      </c>
      <c r="J44" s="35">
        <v>1280.8</v>
      </c>
      <c r="K44" s="35">
        <v>1014.8</v>
      </c>
      <c r="L44" s="35">
        <v>547.20000000000005</v>
      </c>
      <c r="M44" s="35">
        <v>732.7</v>
      </c>
      <c r="N44" s="35">
        <v>596.4</v>
      </c>
      <c r="O44" s="35">
        <v>453.7</v>
      </c>
      <c r="P44" s="35">
        <v>214.3</v>
      </c>
      <c r="Q44" s="35">
        <v>560.4</v>
      </c>
      <c r="R44" s="111">
        <v>15859.3</v>
      </c>
    </row>
    <row r="45" spans="3:18" x14ac:dyDescent="0.25">
      <c r="C45" s="6"/>
      <c r="D45" s="476" t="s">
        <v>27</v>
      </c>
      <c r="E45" s="119" t="s">
        <v>28</v>
      </c>
      <c r="F45" s="29">
        <v>2547.6999999999998</v>
      </c>
      <c r="G45" s="37">
        <v>9820.9</v>
      </c>
      <c r="H45" s="37">
        <v>10671.2</v>
      </c>
      <c r="I45" s="37">
        <v>11503</v>
      </c>
      <c r="J45" s="37">
        <v>8177.9</v>
      </c>
      <c r="K45" s="37">
        <v>7074.3</v>
      </c>
      <c r="L45" s="37">
        <v>5037.2</v>
      </c>
      <c r="M45" s="37">
        <v>4523.8999999999996</v>
      </c>
      <c r="N45" s="37">
        <v>4386.3</v>
      </c>
      <c r="O45" s="37">
        <v>4235.5</v>
      </c>
      <c r="P45" s="37">
        <v>1930.8</v>
      </c>
      <c r="Q45" s="37">
        <v>2158.1999999999998</v>
      </c>
      <c r="R45" s="291">
        <v>72066.900000000009</v>
      </c>
    </row>
    <row r="46" spans="3:18" x14ac:dyDescent="0.25">
      <c r="C46" s="6"/>
      <c r="D46" s="548"/>
      <c r="E46" s="119" t="s">
        <v>79</v>
      </c>
      <c r="F46" s="29">
        <v>233</v>
      </c>
      <c r="G46" s="37">
        <v>1210.9000000000001</v>
      </c>
      <c r="H46" s="37">
        <v>974.9</v>
      </c>
      <c r="I46" s="37">
        <v>1246.8</v>
      </c>
      <c r="J46" s="38">
        <v>538.6</v>
      </c>
      <c r="K46" s="38">
        <v>497.5</v>
      </c>
      <c r="L46" s="38">
        <v>722</v>
      </c>
      <c r="M46" s="38">
        <v>364.5</v>
      </c>
      <c r="N46" s="38">
        <v>391.2</v>
      </c>
      <c r="O46" s="38">
        <v>789</v>
      </c>
      <c r="P46" s="38">
        <v>230.3</v>
      </c>
      <c r="Q46" s="38">
        <v>220</v>
      </c>
      <c r="R46" s="291">
        <v>7418.7000000000007</v>
      </c>
    </row>
    <row r="47" spans="3:18" s="10" customFormat="1" ht="15.75" thickBot="1" x14ac:dyDescent="0.3">
      <c r="C47" s="12"/>
      <c r="D47" s="521"/>
      <c r="E47" s="48" t="s">
        <v>72</v>
      </c>
      <c r="F47" s="113">
        <v>2780.7</v>
      </c>
      <c r="G47" s="112">
        <v>11031.8</v>
      </c>
      <c r="H47" s="113">
        <v>11646.1</v>
      </c>
      <c r="I47" s="113">
        <v>12749.8</v>
      </c>
      <c r="J47" s="113">
        <v>8716.5</v>
      </c>
      <c r="K47" s="113">
        <v>7571.8</v>
      </c>
      <c r="L47" s="113">
        <v>5759.2</v>
      </c>
      <c r="M47" s="113">
        <v>4888.3999999999996</v>
      </c>
      <c r="N47" s="113">
        <v>4777.5</v>
      </c>
      <c r="O47" s="113">
        <v>5024.5</v>
      </c>
      <c r="P47" s="110">
        <v>2161.1</v>
      </c>
      <c r="Q47" s="113">
        <v>2378.1999999999998</v>
      </c>
      <c r="R47" s="111">
        <v>79485.600000000006</v>
      </c>
    </row>
    <row r="48" spans="3:18" x14ac:dyDescent="0.25">
      <c r="C48" s="6"/>
      <c r="D48" s="476" t="s">
        <v>29</v>
      </c>
      <c r="E48" s="32" t="s">
        <v>30</v>
      </c>
      <c r="F48" s="33">
        <v>0</v>
      </c>
      <c r="G48" s="38">
        <v>0.1</v>
      </c>
      <c r="H48" s="38">
        <v>7</v>
      </c>
      <c r="I48" s="38">
        <v>0</v>
      </c>
      <c r="J48" s="42">
        <v>0.1</v>
      </c>
      <c r="K48" s="42">
        <v>0.1</v>
      </c>
      <c r="L48" s="42">
        <v>0.1</v>
      </c>
      <c r="M48" s="42">
        <v>0.1</v>
      </c>
      <c r="N48" s="42">
        <v>0.1</v>
      </c>
      <c r="O48" s="42">
        <v>0</v>
      </c>
      <c r="P48" s="42">
        <v>0.1</v>
      </c>
      <c r="Q48" s="42">
        <v>0</v>
      </c>
      <c r="R48" s="292">
        <v>7.6999999999999975</v>
      </c>
    </row>
    <row r="49" spans="3:19" s="10" customFormat="1" ht="15.75" thickBot="1" x14ac:dyDescent="0.3">
      <c r="C49" s="12"/>
      <c r="D49" s="521"/>
      <c r="E49" s="48" t="s">
        <v>72</v>
      </c>
      <c r="F49" s="113">
        <v>0</v>
      </c>
      <c r="G49" s="113">
        <v>0.1</v>
      </c>
      <c r="H49" s="113">
        <v>7</v>
      </c>
      <c r="I49" s="113">
        <v>0</v>
      </c>
      <c r="J49" s="113">
        <v>0.1</v>
      </c>
      <c r="K49" s="113">
        <v>0.1</v>
      </c>
      <c r="L49" s="113">
        <v>0.1</v>
      </c>
      <c r="M49" s="113">
        <v>0.1</v>
      </c>
      <c r="N49" s="113">
        <v>0.1</v>
      </c>
      <c r="O49" s="113">
        <v>0</v>
      </c>
      <c r="P49" s="113">
        <v>0.1</v>
      </c>
      <c r="Q49" s="113">
        <v>0</v>
      </c>
      <c r="R49" s="111">
        <v>7.6999999999999975</v>
      </c>
    </row>
    <row r="50" spans="3:19" x14ac:dyDescent="0.25">
      <c r="C50" s="6"/>
      <c r="D50" s="476" t="s">
        <v>31</v>
      </c>
      <c r="E50" s="87" t="s">
        <v>31</v>
      </c>
      <c r="F50" s="33">
        <v>88.7</v>
      </c>
      <c r="G50" s="38">
        <v>121.5</v>
      </c>
      <c r="H50" s="38">
        <v>300.39999999999998</v>
      </c>
      <c r="I50" s="38">
        <v>289.8</v>
      </c>
      <c r="J50" s="42">
        <v>362.1</v>
      </c>
      <c r="K50" s="42">
        <v>360.1</v>
      </c>
      <c r="L50" s="42">
        <v>397.4</v>
      </c>
      <c r="M50" s="42">
        <v>239.7</v>
      </c>
      <c r="N50" s="42">
        <v>253.2</v>
      </c>
      <c r="O50" s="42">
        <v>141.9</v>
      </c>
      <c r="P50" s="42">
        <v>52.4</v>
      </c>
      <c r="Q50" s="42">
        <v>187.4</v>
      </c>
      <c r="R50" s="292">
        <v>2794.6</v>
      </c>
    </row>
    <row r="51" spans="3:19" s="10" customFormat="1" ht="15.75" thickBot="1" x14ac:dyDescent="0.3">
      <c r="C51" s="12"/>
      <c r="D51" s="521"/>
      <c r="E51" s="114" t="s">
        <v>72</v>
      </c>
      <c r="F51" s="113">
        <v>88.7</v>
      </c>
      <c r="G51" s="113">
        <v>121.5</v>
      </c>
      <c r="H51" s="113">
        <v>300.39999999999998</v>
      </c>
      <c r="I51" s="113">
        <v>289.8</v>
      </c>
      <c r="J51" s="113">
        <v>362.1</v>
      </c>
      <c r="K51" s="113">
        <v>360.1</v>
      </c>
      <c r="L51" s="113">
        <v>397.4</v>
      </c>
      <c r="M51" s="113">
        <v>239.7</v>
      </c>
      <c r="N51" s="113">
        <v>253.2</v>
      </c>
      <c r="O51" s="113">
        <v>141.9</v>
      </c>
      <c r="P51" s="113">
        <v>52.4</v>
      </c>
      <c r="Q51" s="113">
        <v>187.4</v>
      </c>
      <c r="R51" s="111">
        <v>2794.6</v>
      </c>
    </row>
    <row r="52" spans="3:19" x14ac:dyDescent="0.25">
      <c r="C52" s="6"/>
      <c r="D52" s="476" t="s">
        <v>32</v>
      </c>
      <c r="E52" s="75" t="s">
        <v>32</v>
      </c>
      <c r="F52" s="33">
        <v>80</v>
      </c>
      <c r="G52" s="38">
        <v>114.7</v>
      </c>
      <c r="H52" s="38">
        <v>283.5</v>
      </c>
      <c r="I52" s="38">
        <v>546.29999999999995</v>
      </c>
      <c r="J52" s="37">
        <v>646.1</v>
      </c>
      <c r="K52" s="37">
        <v>788.1</v>
      </c>
      <c r="L52" s="37">
        <v>362.2</v>
      </c>
      <c r="M52" s="37">
        <v>461.4</v>
      </c>
      <c r="N52" s="37">
        <v>456.4</v>
      </c>
      <c r="O52" s="38">
        <v>430.8</v>
      </c>
      <c r="P52" s="38">
        <v>163.5</v>
      </c>
      <c r="Q52" s="38">
        <v>275.60000000000002</v>
      </c>
      <c r="R52" s="293">
        <v>4608.6000000000004</v>
      </c>
    </row>
    <row r="53" spans="3:19" s="10" customFormat="1" ht="15.75" thickBot="1" x14ac:dyDescent="0.3">
      <c r="C53" s="12"/>
      <c r="D53" s="521"/>
      <c r="E53" s="262" t="s">
        <v>72</v>
      </c>
      <c r="F53" s="113">
        <v>80</v>
      </c>
      <c r="G53" s="113">
        <v>114.7</v>
      </c>
      <c r="H53" s="113">
        <v>283.5</v>
      </c>
      <c r="I53" s="113">
        <v>546.29999999999995</v>
      </c>
      <c r="J53" s="113">
        <v>646.1</v>
      </c>
      <c r="K53" s="113">
        <v>788.1</v>
      </c>
      <c r="L53" s="113">
        <v>362.2</v>
      </c>
      <c r="M53" s="113">
        <v>461.4</v>
      </c>
      <c r="N53" s="113">
        <v>456.4</v>
      </c>
      <c r="O53" s="113">
        <v>430.8</v>
      </c>
      <c r="P53" s="113">
        <v>163.5</v>
      </c>
      <c r="Q53" s="113">
        <v>275.60000000000002</v>
      </c>
      <c r="R53" s="111">
        <v>4608.6000000000004</v>
      </c>
    </row>
    <row r="54" spans="3:19" x14ac:dyDescent="0.25">
      <c r="C54" s="6"/>
      <c r="D54" s="476" t="s">
        <v>33</v>
      </c>
      <c r="E54" s="87" t="s">
        <v>33</v>
      </c>
      <c r="F54" s="41">
        <v>379.4</v>
      </c>
      <c r="G54" s="42">
        <v>1056.5999999999999</v>
      </c>
      <c r="H54" s="42">
        <v>839</v>
      </c>
      <c r="I54" s="42">
        <v>323.89999999999998</v>
      </c>
      <c r="J54" s="38">
        <v>325.5</v>
      </c>
      <c r="K54" s="38">
        <v>256.10000000000002</v>
      </c>
      <c r="L54" s="38">
        <v>400</v>
      </c>
      <c r="M54" s="38">
        <v>100.3</v>
      </c>
      <c r="N54" s="38">
        <v>212.8</v>
      </c>
      <c r="O54" s="42">
        <v>149.30000000000001</v>
      </c>
      <c r="P54" s="42">
        <v>137.9</v>
      </c>
      <c r="Q54" s="42">
        <v>194</v>
      </c>
      <c r="R54" s="293">
        <v>4374.8</v>
      </c>
    </row>
    <row r="55" spans="3:19" s="10" customFormat="1" ht="15.75" thickBot="1" x14ac:dyDescent="0.3">
      <c r="C55" s="12"/>
      <c r="D55" s="521"/>
      <c r="E55" s="262" t="s">
        <v>72</v>
      </c>
      <c r="F55" s="35">
        <v>379.4</v>
      </c>
      <c r="G55" s="113">
        <v>1056.5999999999999</v>
      </c>
      <c r="H55" s="110">
        <v>839</v>
      </c>
      <c r="I55" s="113">
        <v>323.89999999999998</v>
      </c>
      <c r="J55" s="113">
        <v>325.5</v>
      </c>
      <c r="K55" s="113">
        <v>256.10000000000002</v>
      </c>
      <c r="L55" s="112">
        <v>400</v>
      </c>
      <c r="M55" s="113">
        <v>100.3</v>
      </c>
      <c r="N55" s="113">
        <v>212.8</v>
      </c>
      <c r="O55" s="113">
        <v>149.30000000000001</v>
      </c>
      <c r="P55" s="113">
        <v>137.9</v>
      </c>
      <c r="Q55" s="113">
        <v>194</v>
      </c>
      <c r="R55" s="111">
        <v>4374.8</v>
      </c>
    </row>
    <row r="56" spans="3:19" x14ac:dyDescent="0.25">
      <c r="C56" s="6"/>
      <c r="D56" s="476" t="s">
        <v>34</v>
      </c>
      <c r="E56" s="87" t="s">
        <v>34</v>
      </c>
      <c r="F56" s="41">
        <v>87.3</v>
      </c>
      <c r="G56" s="42">
        <v>976.1</v>
      </c>
      <c r="H56" s="42">
        <v>1853.8</v>
      </c>
      <c r="I56" s="42">
        <v>558.6</v>
      </c>
      <c r="J56" s="38">
        <v>1131.3</v>
      </c>
      <c r="K56" s="38">
        <v>399</v>
      </c>
      <c r="L56" s="38">
        <v>332.5</v>
      </c>
      <c r="M56" s="38">
        <v>218</v>
      </c>
      <c r="N56" s="38">
        <v>311.39999999999998</v>
      </c>
      <c r="O56" s="38">
        <v>293.7</v>
      </c>
      <c r="P56" s="38">
        <v>232.5</v>
      </c>
      <c r="Q56" s="38">
        <v>427.5</v>
      </c>
      <c r="R56" s="294">
        <v>6821.6999999999989</v>
      </c>
    </row>
    <row r="57" spans="3:19" s="10" customFormat="1" ht="15.75" thickBot="1" x14ac:dyDescent="0.3">
      <c r="C57" s="12"/>
      <c r="D57" s="521"/>
      <c r="E57" s="114" t="s">
        <v>72</v>
      </c>
      <c r="F57" s="113">
        <v>87.3</v>
      </c>
      <c r="G57" s="113">
        <v>976.1</v>
      </c>
      <c r="H57" s="113">
        <v>1853.8</v>
      </c>
      <c r="I57" s="113">
        <v>558.6</v>
      </c>
      <c r="J57" s="113">
        <v>1131.3</v>
      </c>
      <c r="K57" s="113">
        <v>399</v>
      </c>
      <c r="L57" s="113">
        <v>332.5</v>
      </c>
      <c r="M57" s="113">
        <v>218</v>
      </c>
      <c r="N57" s="113">
        <v>311.39999999999998</v>
      </c>
      <c r="O57" s="113">
        <v>293.7</v>
      </c>
      <c r="P57" s="113">
        <v>232.5</v>
      </c>
      <c r="Q57" s="113">
        <v>427.5</v>
      </c>
      <c r="R57" s="111">
        <v>6821.6999999999989</v>
      </c>
    </row>
    <row r="58" spans="3:19" x14ac:dyDescent="0.25">
      <c r="C58" s="6"/>
      <c r="D58" s="476" t="s">
        <v>77</v>
      </c>
      <c r="E58" s="75" t="s">
        <v>30</v>
      </c>
      <c r="F58" s="33">
        <v>0</v>
      </c>
      <c r="G58" s="38">
        <v>55</v>
      </c>
      <c r="H58" s="38">
        <v>18.899999999999999</v>
      </c>
      <c r="I58" s="38">
        <v>37.1</v>
      </c>
      <c r="J58" s="38">
        <v>0</v>
      </c>
      <c r="K58" s="38">
        <v>0</v>
      </c>
      <c r="L58" s="38">
        <v>0</v>
      </c>
      <c r="M58" s="38">
        <v>11.3</v>
      </c>
      <c r="N58" s="38">
        <v>0</v>
      </c>
      <c r="O58" s="38">
        <v>0</v>
      </c>
      <c r="P58" s="42">
        <v>2</v>
      </c>
      <c r="Q58" s="42">
        <v>0</v>
      </c>
      <c r="R58" s="300">
        <v>124.3</v>
      </c>
      <c r="S58" s="4"/>
    </row>
    <row r="59" spans="3:19" s="10" customFormat="1" ht="15.75" thickBot="1" x14ac:dyDescent="0.3">
      <c r="C59" s="12"/>
      <c r="D59" s="521"/>
      <c r="E59" s="262" t="s">
        <v>72</v>
      </c>
      <c r="F59" s="113">
        <v>0</v>
      </c>
      <c r="G59" s="113">
        <v>55</v>
      </c>
      <c r="H59" s="113">
        <v>18.899999999999999</v>
      </c>
      <c r="I59" s="113">
        <v>37.1</v>
      </c>
      <c r="J59" s="113">
        <v>0</v>
      </c>
      <c r="K59" s="113">
        <v>0</v>
      </c>
      <c r="L59" s="113">
        <v>0</v>
      </c>
      <c r="M59" s="113">
        <v>11.3</v>
      </c>
      <c r="N59" s="113">
        <v>0</v>
      </c>
      <c r="O59" s="113">
        <v>0</v>
      </c>
      <c r="P59" s="113">
        <v>2</v>
      </c>
      <c r="Q59" s="113">
        <v>0</v>
      </c>
      <c r="R59" s="111">
        <v>124.3</v>
      </c>
      <c r="S59" s="13"/>
    </row>
    <row r="60" spans="3:19" s="10" customFormat="1" ht="15.75" thickBot="1" x14ac:dyDescent="0.3">
      <c r="C60" s="12"/>
      <c r="D60" s="508" t="s">
        <v>48</v>
      </c>
      <c r="E60" s="552"/>
      <c r="F60" s="115">
        <v>62378.799999999988</v>
      </c>
      <c r="G60" s="115">
        <v>87818.10000000002</v>
      </c>
      <c r="H60" s="115">
        <v>145506.39999999997</v>
      </c>
      <c r="I60" s="115">
        <v>183813.99999999994</v>
      </c>
      <c r="J60" s="115">
        <v>145244.9</v>
      </c>
      <c r="K60" s="115">
        <v>131805.80000000002</v>
      </c>
      <c r="L60" s="115">
        <v>115616.79999999997</v>
      </c>
      <c r="M60" s="115">
        <v>117347</v>
      </c>
      <c r="N60" s="115">
        <v>115889.49999999999</v>
      </c>
      <c r="O60" s="115">
        <v>132085.79999999999</v>
      </c>
      <c r="P60" s="115">
        <v>85213</v>
      </c>
      <c r="Q60" s="115">
        <v>104979.79999999997</v>
      </c>
      <c r="R60" s="115">
        <v>1427699.8</v>
      </c>
    </row>
    <row r="61" spans="3:19" s="238" customFormat="1" ht="15.75" thickBot="1" x14ac:dyDescent="0.3">
      <c r="D61" s="553" t="s">
        <v>139</v>
      </c>
      <c r="E61" s="554"/>
      <c r="F61" s="270">
        <v>1829</v>
      </c>
      <c r="G61" s="270">
        <v>1824</v>
      </c>
      <c r="H61" s="270">
        <v>1823</v>
      </c>
      <c r="I61" s="270">
        <v>1822</v>
      </c>
      <c r="J61" s="270">
        <v>1818</v>
      </c>
      <c r="K61" s="271">
        <v>1814</v>
      </c>
      <c r="L61" s="271">
        <v>1813</v>
      </c>
      <c r="M61" s="271">
        <v>1809</v>
      </c>
      <c r="N61" s="271">
        <v>1804</v>
      </c>
      <c r="O61" s="271">
        <v>1801</v>
      </c>
      <c r="P61" s="271">
        <v>1801</v>
      </c>
      <c r="Q61" s="271">
        <v>1795</v>
      </c>
      <c r="R61" s="271" t="s">
        <v>158</v>
      </c>
    </row>
    <row r="62" spans="3:19" ht="7.5" customHeight="1" x14ac:dyDescent="0.25"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116"/>
    </row>
    <row r="63" spans="3:19" x14ac:dyDescent="0.25">
      <c r="D63" s="549" t="s">
        <v>51</v>
      </c>
      <c r="E63" s="549"/>
      <c r="F63" s="549"/>
      <c r="G63" s="549"/>
      <c r="H63" s="549"/>
      <c r="I63" s="549"/>
      <c r="J63" s="549"/>
      <c r="K63" s="549"/>
      <c r="L63" s="549"/>
      <c r="M63" s="549"/>
      <c r="N63" s="549"/>
      <c r="O63" s="549"/>
      <c r="P63" s="549"/>
      <c r="Q63" s="549"/>
      <c r="R63" s="549"/>
    </row>
    <row r="64" spans="3:19" x14ac:dyDescent="0.25">
      <c r="D64" s="555" t="s">
        <v>52</v>
      </c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56"/>
      <c r="P64" s="556"/>
      <c r="Q64" s="556"/>
      <c r="R64" s="556"/>
    </row>
    <row r="65" spans="4:18" x14ac:dyDescent="0.25">
      <c r="D65" s="549" t="s">
        <v>53</v>
      </c>
      <c r="E65" s="550"/>
      <c r="F65" s="550"/>
      <c r="G65" s="550"/>
      <c r="H65" s="550"/>
      <c r="I65" s="550"/>
      <c r="J65" s="550"/>
      <c r="K65" s="550"/>
      <c r="L65" s="550"/>
      <c r="M65" s="550"/>
      <c r="N65" s="550"/>
      <c r="O65" s="550"/>
      <c r="P65" s="550"/>
      <c r="Q65" s="550"/>
      <c r="R65" s="550"/>
    </row>
    <row r="66" spans="4:18" x14ac:dyDescent="0.25">
      <c r="D66" s="549" t="s">
        <v>38</v>
      </c>
      <c r="E66" s="550"/>
      <c r="F66" s="550"/>
      <c r="G66" s="550"/>
      <c r="H66" s="550"/>
      <c r="I66" s="550"/>
      <c r="J66" s="550"/>
      <c r="K66" s="550"/>
      <c r="L66" s="550"/>
      <c r="M66" s="550"/>
      <c r="N66" s="550"/>
      <c r="O66" s="550"/>
      <c r="P66" s="550"/>
      <c r="Q66" s="550"/>
      <c r="R66" s="550"/>
    </row>
    <row r="67" spans="4:18" ht="11.25" customHeight="1" x14ac:dyDescent="0.25">
      <c r="D67" s="488" t="s">
        <v>121</v>
      </c>
      <c r="E67" s="551"/>
      <c r="F67" s="551"/>
      <c r="G67" s="551"/>
      <c r="H67" s="551"/>
      <c r="I67" s="551"/>
      <c r="J67" s="551"/>
      <c r="K67" s="551"/>
      <c r="L67" s="551"/>
      <c r="M67" s="551"/>
      <c r="N67" s="551"/>
      <c r="O67" s="551"/>
      <c r="P67" s="551"/>
      <c r="Q67" s="551"/>
      <c r="R67" s="551"/>
    </row>
  </sheetData>
  <mergeCells count="23">
    <mergeCell ref="D48:D49"/>
    <mergeCell ref="D50:D51"/>
    <mergeCell ref="D64:R64"/>
    <mergeCell ref="D52:D53"/>
    <mergeCell ref="D65:R65"/>
    <mergeCell ref="D66:R66"/>
    <mergeCell ref="D67:R67"/>
    <mergeCell ref="D54:D55"/>
    <mergeCell ref="D56:D57"/>
    <mergeCell ref="D58:D59"/>
    <mergeCell ref="D60:E60"/>
    <mergeCell ref="D61:E61"/>
    <mergeCell ref="D63:R63"/>
    <mergeCell ref="D29:D34"/>
    <mergeCell ref="D35:D39"/>
    <mergeCell ref="D40:D44"/>
    <mergeCell ref="D45:D47"/>
    <mergeCell ref="D2:R4"/>
    <mergeCell ref="D7:D15"/>
    <mergeCell ref="D16:D19"/>
    <mergeCell ref="D20:D21"/>
    <mergeCell ref="D22:D25"/>
    <mergeCell ref="D26:D28"/>
  </mergeCells>
  <pageMargins left="0.70866141732283472" right="0.70866141732283472" top="0.74803149606299213" bottom="0.64453125" header="0.31496062992125984" footer="0.31496062992125984"/>
  <pageSetup paperSize="9" scale="50" orientation="landscape" r:id="rId1"/>
  <headerFooter>
    <oddHeader>&amp;L&amp;G&amp;RCAMPAÑA: 2024/2025. MES: SEPTIEMBRE
Fecha de emisión de datos: 07/05/2026</oddHead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P66"/>
  <sheetViews>
    <sheetView view="pageLayout" topLeftCell="A4" zoomScaleNormal="70" zoomScaleSheetLayoutView="80" workbookViewId="0">
      <selection activeCell="B5" sqref="B5:L7"/>
    </sheetView>
  </sheetViews>
  <sheetFormatPr baseColWidth="10" defaultColWidth="11.42578125" defaultRowHeight="15" x14ac:dyDescent="0.25"/>
  <cols>
    <col min="1" max="1" width="1.140625" customWidth="1"/>
    <col min="2" max="2" width="23.28515625" customWidth="1"/>
    <col min="3" max="3" width="21.85546875" bestFit="1" customWidth="1"/>
    <col min="4" max="4" width="11.85546875" bestFit="1" customWidth="1"/>
    <col min="5" max="5" width="14.140625" bestFit="1" customWidth="1"/>
    <col min="6" max="6" width="13.5703125" bestFit="1" customWidth="1"/>
    <col min="7" max="7" width="12.85546875" bestFit="1" customWidth="1"/>
    <col min="8" max="8" width="12.140625" bestFit="1" customWidth="1"/>
    <col min="12" max="12" width="12.5703125" customWidth="1"/>
    <col min="13" max="13" width="1.42578125" customWidth="1"/>
  </cols>
  <sheetData>
    <row r="5" spans="1:16" ht="15" customHeight="1" x14ac:dyDescent="0.25">
      <c r="B5" s="557" t="s">
        <v>128</v>
      </c>
      <c r="C5" s="557"/>
      <c r="D5" s="557"/>
      <c r="E5" s="557"/>
      <c r="F5" s="557"/>
      <c r="G5" s="557"/>
      <c r="H5" s="557"/>
      <c r="I5" s="557"/>
      <c r="J5" s="557"/>
      <c r="K5" s="557"/>
      <c r="L5" s="557"/>
    </row>
    <row r="6" spans="1:16" ht="15" customHeight="1" x14ac:dyDescent="0.25">
      <c r="B6" s="557"/>
      <c r="C6" s="557"/>
      <c r="D6" s="557"/>
      <c r="E6" s="557"/>
      <c r="F6" s="557"/>
      <c r="G6" s="557"/>
      <c r="H6" s="557"/>
      <c r="I6" s="557"/>
      <c r="J6" s="557"/>
      <c r="K6" s="557"/>
      <c r="L6" s="557"/>
    </row>
    <row r="7" spans="1:16" ht="15" customHeight="1" x14ac:dyDescent="0.25">
      <c r="B7" s="557"/>
      <c r="C7" s="557"/>
      <c r="D7" s="557"/>
      <c r="E7" s="557"/>
      <c r="F7" s="557"/>
      <c r="G7" s="557"/>
      <c r="H7" s="557"/>
      <c r="I7" s="557"/>
      <c r="J7" s="557"/>
      <c r="K7" s="557"/>
      <c r="L7" s="557"/>
    </row>
    <row r="8" spans="1:16" ht="15.75" thickBot="1" x14ac:dyDescent="0.3"/>
    <row r="9" spans="1:16" ht="34.5" customHeight="1" thickBot="1" x14ac:dyDescent="0.3">
      <c r="B9" s="50" t="s">
        <v>54</v>
      </c>
      <c r="C9" s="268" t="s">
        <v>4</v>
      </c>
      <c r="D9" s="268" t="s">
        <v>39</v>
      </c>
      <c r="E9" s="268" t="s">
        <v>40</v>
      </c>
      <c r="F9" s="268" t="s">
        <v>41</v>
      </c>
      <c r="G9" s="268" t="s">
        <v>42</v>
      </c>
      <c r="H9" s="268" t="s">
        <v>43</v>
      </c>
      <c r="I9" s="268" t="s">
        <v>44</v>
      </c>
      <c r="J9" s="268" t="s">
        <v>45</v>
      </c>
      <c r="K9" s="268" t="s">
        <v>46</v>
      </c>
      <c r="L9" s="268" t="s">
        <v>48</v>
      </c>
      <c r="M9" s="24"/>
      <c r="P9" s="10"/>
    </row>
    <row r="10" spans="1:16" x14ac:dyDescent="0.25">
      <c r="A10" s="6"/>
      <c r="B10" s="476" t="s">
        <v>74</v>
      </c>
      <c r="C10" s="28" t="s">
        <v>80</v>
      </c>
      <c r="D10" s="71">
        <v>2601.3000000000002</v>
      </c>
      <c r="E10" s="72">
        <v>12795.5</v>
      </c>
      <c r="F10" s="72">
        <v>8542.7000000000007</v>
      </c>
      <c r="G10" s="72">
        <v>770.9</v>
      </c>
      <c r="H10" s="72">
        <v>63.4</v>
      </c>
      <c r="I10" s="72">
        <v>0</v>
      </c>
      <c r="J10" s="72">
        <v>0</v>
      </c>
      <c r="K10" s="72">
        <v>0</v>
      </c>
      <c r="L10" s="53">
        <v>24773.800000000003</v>
      </c>
      <c r="M10" s="26"/>
    </row>
    <row r="11" spans="1:16" x14ac:dyDescent="0.25">
      <c r="A11" s="6"/>
      <c r="B11" s="548"/>
      <c r="C11" s="119" t="s">
        <v>81</v>
      </c>
      <c r="D11" s="73">
        <v>6040.3</v>
      </c>
      <c r="E11" s="74">
        <v>27410.9</v>
      </c>
      <c r="F11" s="74">
        <v>18220.2</v>
      </c>
      <c r="G11" s="74">
        <v>2575.1</v>
      </c>
      <c r="H11" s="74">
        <v>105.9</v>
      </c>
      <c r="I11" s="74">
        <v>0</v>
      </c>
      <c r="J11" s="74">
        <v>0</v>
      </c>
      <c r="K11" s="74">
        <v>0</v>
      </c>
      <c r="L11" s="53">
        <v>54352.400000000009</v>
      </c>
      <c r="M11" s="26"/>
    </row>
    <row r="12" spans="1:16" x14ac:dyDescent="0.25">
      <c r="A12" s="6"/>
      <c r="B12" s="548"/>
      <c r="C12" s="119" t="s">
        <v>82</v>
      </c>
      <c r="D12" s="73">
        <v>37720.199999999997</v>
      </c>
      <c r="E12" s="74">
        <v>399895.3</v>
      </c>
      <c r="F12" s="74">
        <v>701593.5</v>
      </c>
      <c r="G12" s="74">
        <v>350624.6</v>
      </c>
      <c r="H12" s="74">
        <v>182482.7</v>
      </c>
      <c r="I12" s="74">
        <v>25256.9</v>
      </c>
      <c r="J12" s="74">
        <v>7728.1</v>
      </c>
      <c r="K12" s="74">
        <v>206.1</v>
      </c>
      <c r="L12" s="53">
        <v>1705507.4000000001</v>
      </c>
      <c r="M12" s="26"/>
    </row>
    <row r="13" spans="1:16" x14ac:dyDescent="0.25">
      <c r="A13" s="6"/>
      <c r="B13" s="548"/>
      <c r="C13" s="119" t="s">
        <v>6</v>
      </c>
      <c r="D13" s="73">
        <v>2025.4</v>
      </c>
      <c r="E13" s="74">
        <v>88008.4</v>
      </c>
      <c r="F13" s="74">
        <v>261931.2</v>
      </c>
      <c r="G13" s="74">
        <v>159563</v>
      </c>
      <c r="H13" s="74">
        <v>67386.100000000006</v>
      </c>
      <c r="I13" s="74">
        <v>8052.1</v>
      </c>
      <c r="J13" s="74">
        <v>2246.1</v>
      </c>
      <c r="K13" s="74">
        <v>336.4</v>
      </c>
      <c r="L13" s="53">
        <v>589548.69999999995</v>
      </c>
      <c r="M13" s="26"/>
    </row>
    <row r="14" spans="1:16" x14ac:dyDescent="0.25">
      <c r="A14" s="6"/>
      <c r="B14" s="548"/>
      <c r="C14" s="119" t="s">
        <v>7</v>
      </c>
      <c r="D14" s="73">
        <v>7105.4</v>
      </c>
      <c r="E14" s="74">
        <v>29633.5</v>
      </c>
      <c r="F14" s="74">
        <v>15804.6</v>
      </c>
      <c r="G14" s="74">
        <v>728.9</v>
      </c>
      <c r="H14" s="74">
        <v>26.8</v>
      </c>
      <c r="I14" s="74">
        <v>0</v>
      </c>
      <c r="J14" s="74">
        <v>0</v>
      </c>
      <c r="K14" s="74">
        <v>0</v>
      </c>
      <c r="L14" s="53">
        <v>53299.200000000004</v>
      </c>
      <c r="M14" s="26"/>
    </row>
    <row r="15" spans="1:16" x14ac:dyDescent="0.25">
      <c r="A15" s="6"/>
      <c r="B15" s="548"/>
      <c r="C15" s="119" t="s">
        <v>83</v>
      </c>
      <c r="D15" s="73">
        <v>41626.1</v>
      </c>
      <c r="E15" s="74">
        <v>412552</v>
      </c>
      <c r="F15" s="74">
        <v>1232238.3999999999</v>
      </c>
      <c r="G15" s="74">
        <v>796995.1</v>
      </c>
      <c r="H15" s="74">
        <v>354592.8</v>
      </c>
      <c r="I15" s="74">
        <v>12493.4</v>
      </c>
      <c r="J15" s="74">
        <v>1481.3</v>
      </c>
      <c r="K15" s="74">
        <v>134.9</v>
      </c>
      <c r="L15" s="53">
        <v>2852113.9999999995</v>
      </c>
      <c r="M15" s="26"/>
    </row>
    <row r="16" spans="1:16" x14ac:dyDescent="0.25">
      <c r="A16" s="6"/>
      <c r="B16" s="548"/>
      <c r="C16" s="119" t="s">
        <v>84</v>
      </c>
      <c r="D16" s="73">
        <v>10072.1</v>
      </c>
      <c r="E16" s="74">
        <v>60124.4</v>
      </c>
      <c r="F16" s="74">
        <v>78927.100000000006</v>
      </c>
      <c r="G16" s="74">
        <v>36746</v>
      </c>
      <c r="H16" s="74">
        <v>15837</v>
      </c>
      <c r="I16" s="74">
        <v>2846.3</v>
      </c>
      <c r="J16" s="74">
        <v>1801.8</v>
      </c>
      <c r="K16" s="74">
        <v>30.9</v>
      </c>
      <c r="L16" s="53">
        <v>206385.59999999998</v>
      </c>
      <c r="M16" s="26"/>
    </row>
    <row r="17" spans="1:13" x14ac:dyDescent="0.25">
      <c r="A17" s="6"/>
      <c r="B17" s="548"/>
      <c r="C17" s="32" t="s">
        <v>8</v>
      </c>
      <c r="D17" s="76">
        <v>95190.8</v>
      </c>
      <c r="E17" s="77">
        <v>266170.3</v>
      </c>
      <c r="F17" s="77">
        <v>291326.09999999998</v>
      </c>
      <c r="G17" s="77">
        <v>74293.600000000006</v>
      </c>
      <c r="H17" s="77">
        <v>9206.1</v>
      </c>
      <c r="I17" s="77">
        <v>578.79999999999995</v>
      </c>
      <c r="J17" s="77">
        <v>0</v>
      </c>
      <c r="K17" s="77">
        <v>0</v>
      </c>
      <c r="L17" s="214">
        <v>736765.7</v>
      </c>
      <c r="M17" s="26"/>
    </row>
    <row r="18" spans="1:13" s="10" customFormat="1" ht="15.75" thickBot="1" x14ac:dyDescent="0.3">
      <c r="A18" s="12"/>
      <c r="B18" s="521"/>
      <c r="C18" s="117" t="s">
        <v>72</v>
      </c>
      <c r="D18" s="180">
        <v>202381.6</v>
      </c>
      <c r="E18" s="86">
        <v>1296590.3</v>
      </c>
      <c r="F18" s="86">
        <v>2608583.8000000003</v>
      </c>
      <c r="G18" s="86">
        <v>1422297.2000000002</v>
      </c>
      <c r="H18" s="86">
        <v>629700.79999999993</v>
      </c>
      <c r="I18" s="86">
        <v>49227.500000000007</v>
      </c>
      <c r="J18" s="86">
        <v>13257.3</v>
      </c>
      <c r="K18" s="86">
        <v>708.3</v>
      </c>
      <c r="L18" s="215">
        <v>6222746.7999999998</v>
      </c>
      <c r="M18" s="27"/>
    </row>
    <row r="19" spans="1:13" x14ac:dyDescent="0.25">
      <c r="A19" s="6"/>
      <c r="B19" s="476" t="s">
        <v>75</v>
      </c>
      <c r="C19" s="119" t="s">
        <v>10</v>
      </c>
      <c r="D19" s="73">
        <v>627.29999999999995</v>
      </c>
      <c r="E19" s="74">
        <v>8086.6</v>
      </c>
      <c r="F19" s="74">
        <v>3707.2</v>
      </c>
      <c r="G19" s="74">
        <v>501.8</v>
      </c>
      <c r="H19" s="74">
        <v>0</v>
      </c>
      <c r="I19" s="74">
        <v>1.7</v>
      </c>
      <c r="J19" s="74">
        <v>0</v>
      </c>
      <c r="K19" s="74">
        <v>0</v>
      </c>
      <c r="L19" s="53">
        <v>12924.599999999999</v>
      </c>
      <c r="M19" s="26"/>
    </row>
    <row r="20" spans="1:13" x14ac:dyDescent="0.25">
      <c r="A20" s="6"/>
      <c r="B20" s="548"/>
      <c r="C20" s="119" t="s">
        <v>11</v>
      </c>
      <c r="D20" s="73">
        <v>455.7</v>
      </c>
      <c r="E20" s="74">
        <v>7608.9</v>
      </c>
      <c r="F20" s="74">
        <v>2340.9</v>
      </c>
      <c r="G20" s="74">
        <v>1079.3</v>
      </c>
      <c r="H20" s="74">
        <v>80.400000000000006</v>
      </c>
      <c r="I20" s="74">
        <v>0</v>
      </c>
      <c r="J20" s="74">
        <v>31.2</v>
      </c>
      <c r="K20" s="74">
        <v>0</v>
      </c>
      <c r="L20" s="53">
        <v>11596.4</v>
      </c>
      <c r="M20" s="26"/>
    </row>
    <row r="21" spans="1:13" x14ac:dyDescent="0.25">
      <c r="A21" s="6"/>
      <c r="B21" s="548"/>
      <c r="C21" s="32" t="s">
        <v>12</v>
      </c>
      <c r="D21" s="76">
        <v>497.5</v>
      </c>
      <c r="E21" s="77">
        <v>12207.7</v>
      </c>
      <c r="F21" s="77">
        <v>11485.6</v>
      </c>
      <c r="G21" s="77">
        <v>1502.4</v>
      </c>
      <c r="H21" s="77">
        <v>75.099999999999994</v>
      </c>
      <c r="I21" s="77">
        <v>0</v>
      </c>
      <c r="J21" s="77">
        <v>0</v>
      </c>
      <c r="K21" s="77">
        <v>0</v>
      </c>
      <c r="L21" s="214">
        <v>25768.300000000003</v>
      </c>
      <c r="M21" s="26"/>
    </row>
    <row r="22" spans="1:13" s="10" customFormat="1" ht="15.75" thickBot="1" x14ac:dyDescent="0.3">
      <c r="A22" s="12"/>
      <c r="B22" s="521"/>
      <c r="C22" s="117" t="s">
        <v>72</v>
      </c>
      <c r="D22" s="180">
        <v>1580.5</v>
      </c>
      <c r="E22" s="86">
        <v>27903.200000000001</v>
      </c>
      <c r="F22" s="86">
        <v>17533.7</v>
      </c>
      <c r="G22" s="86">
        <v>3083.5</v>
      </c>
      <c r="H22" s="86">
        <v>155.5</v>
      </c>
      <c r="I22" s="86">
        <v>1.7</v>
      </c>
      <c r="J22" s="86">
        <v>31.2</v>
      </c>
      <c r="K22" s="86">
        <v>0</v>
      </c>
      <c r="L22" s="215">
        <v>50289.3</v>
      </c>
      <c r="M22" s="27"/>
    </row>
    <row r="23" spans="1:13" x14ac:dyDescent="0.25">
      <c r="A23" s="6"/>
      <c r="B23" s="476" t="s">
        <v>13</v>
      </c>
      <c r="C23" s="40" t="s">
        <v>13</v>
      </c>
      <c r="D23" s="181">
        <v>1163.2</v>
      </c>
      <c r="E23" s="89">
        <v>748.7</v>
      </c>
      <c r="F23" s="89">
        <v>18.2</v>
      </c>
      <c r="G23" s="89">
        <v>0</v>
      </c>
      <c r="H23" s="89">
        <v>0</v>
      </c>
      <c r="I23" s="74">
        <v>0</v>
      </c>
      <c r="J23" s="74">
        <v>0</v>
      </c>
      <c r="K23" s="74">
        <v>0</v>
      </c>
      <c r="L23" s="53">
        <v>1930.1000000000001</v>
      </c>
      <c r="M23" s="26"/>
    </row>
    <row r="24" spans="1:13" s="10" customFormat="1" ht="15.75" thickBot="1" x14ac:dyDescent="0.3">
      <c r="A24" s="12"/>
      <c r="B24" s="521"/>
      <c r="C24" s="117" t="s">
        <v>72</v>
      </c>
      <c r="D24" s="180">
        <v>1163.2</v>
      </c>
      <c r="E24" s="86">
        <v>748.7</v>
      </c>
      <c r="F24" s="86">
        <v>18.2</v>
      </c>
      <c r="G24" s="86">
        <v>0</v>
      </c>
      <c r="H24" s="86">
        <v>0</v>
      </c>
      <c r="I24" s="82">
        <v>0</v>
      </c>
      <c r="J24" s="82">
        <v>0</v>
      </c>
      <c r="K24" s="82">
        <v>0</v>
      </c>
      <c r="L24" s="216">
        <v>1930.1000000000001</v>
      </c>
      <c r="M24" s="27"/>
    </row>
    <row r="25" spans="1:13" s="10" customFormat="1" x14ac:dyDescent="0.25">
      <c r="A25" s="12"/>
      <c r="B25" s="476" t="s">
        <v>153</v>
      </c>
      <c r="C25" s="119" t="s">
        <v>154</v>
      </c>
      <c r="D25" s="73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53">
        <v>0</v>
      </c>
      <c r="M25" s="27"/>
    </row>
    <row r="26" spans="1:13" s="10" customFormat="1" x14ac:dyDescent="0.25">
      <c r="A26" s="12"/>
      <c r="B26" s="548"/>
      <c r="C26" s="119" t="s">
        <v>155</v>
      </c>
      <c r="D26" s="73">
        <v>13.5</v>
      </c>
      <c r="E26" s="74">
        <v>0.3</v>
      </c>
      <c r="F26" s="74">
        <v>0</v>
      </c>
      <c r="G26" s="74">
        <v>0</v>
      </c>
      <c r="H26" s="77">
        <v>0</v>
      </c>
      <c r="I26" s="77">
        <v>0</v>
      </c>
      <c r="J26" s="77">
        <v>0</v>
      </c>
      <c r="K26" s="77">
        <v>0</v>
      </c>
      <c r="L26" s="214">
        <v>13.8</v>
      </c>
      <c r="M26" s="27"/>
    </row>
    <row r="27" spans="1:13" s="10" customFormat="1" ht="15.75" thickBot="1" x14ac:dyDescent="0.3">
      <c r="A27" s="12"/>
      <c r="B27" s="548"/>
      <c r="C27" s="48" t="s">
        <v>72</v>
      </c>
      <c r="D27" s="217">
        <v>13.5</v>
      </c>
      <c r="E27" s="82">
        <v>0.3</v>
      </c>
      <c r="F27" s="82">
        <v>0</v>
      </c>
      <c r="G27" s="82">
        <v>0</v>
      </c>
      <c r="H27" s="82">
        <v>0</v>
      </c>
      <c r="I27" s="82">
        <v>0</v>
      </c>
      <c r="J27" s="82">
        <v>0</v>
      </c>
      <c r="K27" s="82">
        <v>0</v>
      </c>
      <c r="L27" s="216">
        <v>13.8</v>
      </c>
      <c r="M27" s="27"/>
    </row>
    <row r="28" spans="1:13" x14ac:dyDescent="0.25">
      <c r="A28" s="6"/>
      <c r="B28" s="476" t="s">
        <v>73</v>
      </c>
      <c r="C28" s="119" t="s">
        <v>16</v>
      </c>
      <c r="D28" s="73">
        <v>858.7</v>
      </c>
      <c r="E28" s="74">
        <v>21910.7</v>
      </c>
      <c r="F28" s="74">
        <v>29034.2</v>
      </c>
      <c r="G28" s="74">
        <v>4057.3</v>
      </c>
      <c r="H28" s="74">
        <v>554.6</v>
      </c>
      <c r="I28" s="74">
        <v>78.599999999999994</v>
      </c>
      <c r="J28" s="74">
        <v>0</v>
      </c>
      <c r="K28" s="74">
        <v>0</v>
      </c>
      <c r="L28" s="53">
        <v>56494.100000000006</v>
      </c>
      <c r="M28" s="26"/>
    </row>
    <row r="29" spans="1:13" x14ac:dyDescent="0.25">
      <c r="A29" s="6"/>
      <c r="B29" s="548"/>
      <c r="C29" s="119" t="s">
        <v>17</v>
      </c>
      <c r="D29" s="73">
        <v>2402.1</v>
      </c>
      <c r="E29" s="74">
        <v>67549.7</v>
      </c>
      <c r="F29" s="74">
        <v>184995.4</v>
      </c>
      <c r="G29" s="74">
        <v>91964.7</v>
      </c>
      <c r="H29" s="74">
        <v>17572.5</v>
      </c>
      <c r="I29" s="74">
        <v>164.8</v>
      </c>
      <c r="J29" s="74">
        <v>0</v>
      </c>
      <c r="K29" s="74">
        <v>0</v>
      </c>
      <c r="L29" s="53">
        <v>364649.2</v>
      </c>
      <c r="M29" s="26"/>
    </row>
    <row r="30" spans="1:13" x14ac:dyDescent="0.25">
      <c r="A30" s="6"/>
      <c r="B30" s="548"/>
      <c r="C30" s="119" t="s">
        <v>18</v>
      </c>
      <c r="D30" s="73">
        <v>113.7</v>
      </c>
      <c r="E30" s="74">
        <v>4581.5</v>
      </c>
      <c r="F30" s="74">
        <v>15455.8</v>
      </c>
      <c r="G30" s="74">
        <v>5424.7</v>
      </c>
      <c r="H30" s="74">
        <v>1571.4</v>
      </c>
      <c r="I30" s="74">
        <v>76.900000000000006</v>
      </c>
      <c r="J30" s="74">
        <v>32.799999999999997</v>
      </c>
      <c r="K30" s="74">
        <v>0</v>
      </c>
      <c r="L30" s="53">
        <v>27256.800000000003</v>
      </c>
      <c r="M30" s="26"/>
    </row>
    <row r="31" spans="1:13" x14ac:dyDescent="0.25">
      <c r="A31" s="6"/>
      <c r="B31" s="548"/>
      <c r="C31" s="119" t="s">
        <v>50</v>
      </c>
      <c r="D31" s="73">
        <v>0</v>
      </c>
      <c r="E31" s="74">
        <v>1317.8</v>
      </c>
      <c r="F31" s="74">
        <v>4619.8999999999996</v>
      </c>
      <c r="G31" s="74">
        <v>2859.9</v>
      </c>
      <c r="H31" s="74">
        <v>1863.4</v>
      </c>
      <c r="I31" s="74">
        <v>357.3</v>
      </c>
      <c r="J31" s="74">
        <v>62.7</v>
      </c>
      <c r="K31" s="74">
        <v>0</v>
      </c>
      <c r="L31" s="53">
        <v>11081</v>
      </c>
      <c r="M31" s="26"/>
    </row>
    <row r="32" spans="1:13" x14ac:dyDescent="0.25">
      <c r="A32" s="6"/>
      <c r="B32" s="548"/>
      <c r="C32" s="32" t="s">
        <v>19</v>
      </c>
      <c r="D32" s="76">
        <v>2338</v>
      </c>
      <c r="E32" s="77">
        <v>38125.800000000003</v>
      </c>
      <c r="F32" s="77">
        <v>119786</v>
      </c>
      <c r="G32" s="77">
        <v>79159.899999999994</v>
      </c>
      <c r="H32" s="77">
        <v>41422.6</v>
      </c>
      <c r="I32" s="77">
        <v>4525.8999999999996</v>
      </c>
      <c r="J32" s="77">
        <v>137.5</v>
      </c>
      <c r="K32" s="77">
        <v>0</v>
      </c>
      <c r="L32" s="214">
        <v>285495.7</v>
      </c>
      <c r="M32" s="26"/>
    </row>
    <row r="33" spans="1:13" s="10" customFormat="1" ht="15.75" thickBot="1" x14ac:dyDescent="0.3">
      <c r="A33" s="12"/>
      <c r="B33" s="521"/>
      <c r="C33" s="48" t="s">
        <v>72</v>
      </c>
      <c r="D33" s="180">
        <v>5712.5</v>
      </c>
      <c r="E33" s="86">
        <v>133485.5</v>
      </c>
      <c r="F33" s="86">
        <v>353891.3</v>
      </c>
      <c r="G33" s="86">
        <v>183466.5</v>
      </c>
      <c r="H33" s="86">
        <v>62984.5</v>
      </c>
      <c r="I33" s="86">
        <v>5203.5</v>
      </c>
      <c r="J33" s="86">
        <v>233</v>
      </c>
      <c r="K33" s="86">
        <v>0</v>
      </c>
      <c r="L33" s="215">
        <v>744976.8</v>
      </c>
      <c r="M33" s="27"/>
    </row>
    <row r="34" spans="1:13" x14ac:dyDescent="0.25">
      <c r="A34" s="6"/>
      <c r="B34" s="476" t="s">
        <v>76</v>
      </c>
      <c r="C34" s="28" t="s">
        <v>78</v>
      </c>
      <c r="D34" s="71">
        <v>0</v>
      </c>
      <c r="E34" s="72">
        <v>2212.1999999999998</v>
      </c>
      <c r="F34" s="72">
        <v>3276.8</v>
      </c>
      <c r="G34" s="72">
        <v>6</v>
      </c>
      <c r="H34" s="72">
        <v>0</v>
      </c>
      <c r="I34" s="72">
        <v>0</v>
      </c>
      <c r="J34" s="72">
        <v>0</v>
      </c>
      <c r="K34" s="72">
        <v>0</v>
      </c>
      <c r="L34" s="53">
        <v>5495</v>
      </c>
      <c r="M34" s="26"/>
    </row>
    <row r="35" spans="1:13" x14ac:dyDescent="0.25">
      <c r="A35" s="6"/>
      <c r="B35" s="548"/>
      <c r="C35" s="119" t="s">
        <v>20</v>
      </c>
      <c r="D35" s="73">
        <v>148.1</v>
      </c>
      <c r="E35" s="74">
        <v>2150.1</v>
      </c>
      <c r="F35" s="74">
        <v>149.69999999999999</v>
      </c>
      <c r="G35" s="74">
        <v>0</v>
      </c>
      <c r="H35" s="74">
        <v>0</v>
      </c>
      <c r="I35" s="74">
        <v>0</v>
      </c>
      <c r="J35" s="74">
        <v>0</v>
      </c>
      <c r="K35" s="74">
        <v>0</v>
      </c>
      <c r="L35" s="53">
        <v>2447.8999999999996</v>
      </c>
      <c r="M35" s="26"/>
    </row>
    <row r="36" spans="1:13" x14ac:dyDescent="0.25">
      <c r="A36" s="6"/>
      <c r="B36" s="548"/>
      <c r="C36" s="119" t="s">
        <v>151</v>
      </c>
      <c r="D36" s="73">
        <v>0</v>
      </c>
      <c r="E36" s="74">
        <v>2</v>
      </c>
      <c r="F36" s="74">
        <v>0</v>
      </c>
      <c r="G36" s="74">
        <v>0</v>
      </c>
      <c r="H36" s="74">
        <v>0</v>
      </c>
      <c r="I36" s="74">
        <v>0</v>
      </c>
      <c r="J36" s="74">
        <v>0</v>
      </c>
      <c r="K36" s="74">
        <v>0</v>
      </c>
      <c r="L36" s="53">
        <v>2</v>
      </c>
      <c r="M36" s="26"/>
    </row>
    <row r="37" spans="1:13" x14ac:dyDescent="0.25">
      <c r="A37" s="6"/>
      <c r="B37" s="548"/>
      <c r="C37" s="32" t="s">
        <v>21</v>
      </c>
      <c r="D37" s="76">
        <v>0</v>
      </c>
      <c r="E37" s="77">
        <v>2207.1</v>
      </c>
      <c r="F37" s="77">
        <v>693.4</v>
      </c>
      <c r="G37" s="77">
        <v>0</v>
      </c>
      <c r="H37" s="77">
        <v>0</v>
      </c>
      <c r="I37" s="77">
        <v>0</v>
      </c>
      <c r="J37" s="77">
        <v>0</v>
      </c>
      <c r="K37" s="77">
        <v>0</v>
      </c>
      <c r="L37" s="214">
        <v>2900.5</v>
      </c>
      <c r="M37" s="26"/>
    </row>
    <row r="38" spans="1:13" s="10" customFormat="1" ht="15.75" thickBot="1" x14ac:dyDescent="0.3">
      <c r="A38" s="12"/>
      <c r="B38" s="521"/>
      <c r="C38" s="117" t="s">
        <v>72</v>
      </c>
      <c r="D38" s="180">
        <v>148.1</v>
      </c>
      <c r="E38" s="86">
        <v>6571.4</v>
      </c>
      <c r="F38" s="86">
        <v>4119.8999999999996</v>
      </c>
      <c r="G38" s="86">
        <v>6</v>
      </c>
      <c r="H38" s="86">
        <v>0</v>
      </c>
      <c r="I38" s="86">
        <v>0</v>
      </c>
      <c r="J38" s="86">
        <v>0</v>
      </c>
      <c r="K38" s="86">
        <v>0</v>
      </c>
      <c r="L38" s="215">
        <v>10845.4</v>
      </c>
      <c r="M38" s="27"/>
    </row>
    <row r="39" spans="1:13" x14ac:dyDescent="0.25">
      <c r="A39" s="6"/>
      <c r="B39" s="476" t="s">
        <v>22</v>
      </c>
      <c r="C39" s="28" t="s">
        <v>23</v>
      </c>
      <c r="D39" s="73">
        <v>743.3</v>
      </c>
      <c r="E39" s="74">
        <v>3124.8</v>
      </c>
      <c r="F39" s="74">
        <v>1049.7</v>
      </c>
      <c r="G39" s="74">
        <v>83.3</v>
      </c>
      <c r="H39" s="74">
        <v>0</v>
      </c>
      <c r="I39" s="74">
        <v>0</v>
      </c>
      <c r="J39" s="74">
        <v>0</v>
      </c>
      <c r="K39" s="74">
        <v>0</v>
      </c>
      <c r="L39" s="53">
        <v>5001.1000000000004</v>
      </c>
      <c r="M39" s="26"/>
    </row>
    <row r="40" spans="1:13" x14ac:dyDescent="0.25">
      <c r="A40" s="6"/>
      <c r="B40" s="548"/>
      <c r="C40" s="119" t="s">
        <v>24</v>
      </c>
      <c r="D40" s="73">
        <v>500.6</v>
      </c>
      <c r="E40" s="74">
        <v>2659.3</v>
      </c>
      <c r="F40" s="74">
        <v>1153.5999999999999</v>
      </c>
      <c r="G40" s="74">
        <v>89.6</v>
      </c>
      <c r="H40" s="74">
        <v>0</v>
      </c>
      <c r="I40" s="74">
        <v>0</v>
      </c>
      <c r="J40" s="74">
        <v>0</v>
      </c>
      <c r="K40" s="74">
        <v>0</v>
      </c>
      <c r="L40" s="53">
        <v>4403.1000000000004</v>
      </c>
      <c r="M40" s="26"/>
    </row>
    <row r="41" spans="1:13" x14ac:dyDescent="0.25">
      <c r="A41" s="6"/>
      <c r="B41" s="548"/>
      <c r="C41" s="119" t="s">
        <v>25</v>
      </c>
      <c r="D41" s="73">
        <v>3418.9</v>
      </c>
      <c r="E41" s="74">
        <v>32817.800000000003</v>
      </c>
      <c r="F41" s="74">
        <v>22417.9</v>
      </c>
      <c r="G41" s="74">
        <v>2239.9</v>
      </c>
      <c r="H41" s="74">
        <v>0</v>
      </c>
      <c r="I41" s="74">
        <v>0</v>
      </c>
      <c r="J41" s="74">
        <v>0</v>
      </c>
      <c r="K41" s="74">
        <v>0</v>
      </c>
      <c r="L41" s="53">
        <v>60894.500000000007</v>
      </c>
      <c r="M41" s="26"/>
    </row>
    <row r="42" spans="1:13" x14ac:dyDescent="0.25">
      <c r="A42" s="6"/>
      <c r="B42" s="548"/>
      <c r="C42" s="32" t="s">
        <v>26</v>
      </c>
      <c r="D42" s="76">
        <v>3700.9</v>
      </c>
      <c r="E42" s="77">
        <v>26567</v>
      </c>
      <c r="F42" s="77">
        <v>9608.6</v>
      </c>
      <c r="G42" s="77">
        <v>1117.8</v>
      </c>
      <c r="H42" s="77">
        <v>403.2</v>
      </c>
      <c r="I42" s="77">
        <v>0</v>
      </c>
      <c r="J42" s="77">
        <v>0</v>
      </c>
      <c r="K42" s="77">
        <v>0</v>
      </c>
      <c r="L42" s="214">
        <v>41397.5</v>
      </c>
      <c r="M42" s="26"/>
    </row>
    <row r="43" spans="1:13" s="10" customFormat="1" ht="15.75" thickBot="1" x14ac:dyDescent="0.3">
      <c r="A43" s="12"/>
      <c r="B43" s="521"/>
      <c r="C43" s="117" t="s">
        <v>72</v>
      </c>
      <c r="D43" s="180">
        <v>8363.7000000000007</v>
      </c>
      <c r="E43" s="86">
        <v>65168.9</v>
      </c>
      <c r="F43" s="86">
        <v>34229.800000000003</v>
      </c>
      <c r="G43" s="86">
        <v>3530.6000000000004</v>
      </c>
      <c r="H43" s="86">
        <v>403.2</v>
      </c>
      <c r="I43" s="86">
        <v>0</v>
      </c>
      <c r="J43" s="86">
        <v>0</v>
      </c>
      <c r="K43" s="86">
        <v>0</v>
      </c>
      <c r="L43" s="215">
        <v>111696.20000000001</v>
      </c>
      <c r="M43" s="27"/>
    </row>
    <row r="44" spans="1:13" x14ac:dyDescent="0.25">
      <c r="A44" s="6"/>
      <c r="B44" s="476" t="s">
        <v>27</v>
      </c>
      <c r="C44" s="119" t="s">
        <v>28</v>
      </c>
      <c r="D44" s="73">
        <v>34227.800000000003</v>
      </c>
      <c r="E44" s="74">
        <v>185159.4</v>
      </c>
      <c r="F44" s="74">
        <v>205791.5</v>
      </c>
      <c r="G44" s="74">
        <v>31566.6</v>
      </c>
      <c r="H44" s="74">
        <v>3844.5</v>
      </c>
      <c r="I44" s="74">
        <v>211.7</v>
      </c>
      <c r="J44" s="74">
        <v>64.2</v>
      </c>
      <c r="K44" s="74">
        <v>0</v>
      </c>
      <c r="L44" s="53">
        <v>460865.7</v>
      </c>
      <c r="M44" s="26"/>
    </row>
    <row r="45" spans="1:13" x14ac:dyDescent="0.25">
      <c r="A45" s="6"/>
      <c r="B45" s="548"/>
      <c r="C45" s="119" t="s">
        <v>79</v>
      </c>
      <c r="D45" s="73">
        <v>8448.2000000000007</v>
      </c>
      <c r="E45" s="74">
        <v>25643.5</v>
      </c>
      <c r="F45" s="74">
        <v>22668.9</v>
      </c>
      <c r="G45" s="74">
        <v>2274.1999999999998</v>
      </c>
      <c r="H45" s="77">
        <v>51.8</v>
      </c>
      <c r="I45" s="77">
        <v>0</v>
      </c>
      <c r="J45" s="77">
        <v>0</v>
      </c>
      <c r="K45" s="77">
        <v>0</v>
      </c>
      <c r="L45" s="214">
        <v>59086.6</v>
      </c>
      <c r="M45" s="26"/>
    </row>
    <row r="46" spans="1:13" s="10" customFormat="1" ht="15.75" thickBot="1" x14ac:dyDescent="0.3">
      <c r="A46" s="12"/>
      <c r="B46" s="521"/>
      <c r="C46" s="48" t="s">
        <v>72</v>
      </c>
      <c r="D46" s="217">
        <v>42676</v>
      </c>
      <c r="E46" s="82">
        <v>210802.9</v>
      </c>
      <c r="F46" s="82">
        <v>228460.4</v>
      </c>
      <c r="G46" s="82">
        <v>33840.799999999996</v>
      </c>
      <c r="H46" s="86">
        <v>3896.3</v>
      </c>
      <c r="I46" s="86">
        <v>211.7</v>
      </c>
      <c r="J46" s="86">
        <v>64.2</v>
      </c>
      <c r="K46" s="86">
        <v>0</v>
      </c>
      <c r="L46" s="215">
        <v>519952.3</v>
      </c>
      <c r="M46" s="27"/>
    </row>
    <row r="47" spans="1:13" x14ac:dyDescent="0.25">
      <c r="A47" s="6"/>
      <c r="B47" s="476" t="s">
        <v>29</v>
      </c>
      <c r="C47" s="32" t="s">
        <v>30</v>
      </c>
      <c r="D47" s="76">
        <v>0</v>
      </c>
      <c r="E47" s="77">
        <v>3.6</v>
      </c>
      <c r="F47" s="77">
        <v>73.7</v>
      </c>
      <c r="G47" s="77">
        <v>0</v>
      </c>
      <c r="H47" s="89">
        <v>0</v>
      </c>
      <c r="I47" s="89">
        <v>0</v>
      </c>
      <c r="J47" s="89">
        <v>0</v>
      </c>
      <c r="K47" s="89">
        <v>0</v>
      </c>
      <c r="L47" s="218">
        <v>77.3</v>
      </c>
      <c r="M47" s="26"/>
    </row>
    <row r="48" spans="1:13" s="10" customFormat="1" ht="15.75" thickBot="1" x14ac:dyDescent="0.3">
      <c r="A48" s="12"/>
      <c r="B48" s="521"/>
      <c r="C48" s="48" t="s">
        <v>72</v>
      </c>
      <c r="D48" s="217">
        <v>0</v>
      </c>
      <c r="E48" s="82">
        <v>3.6</v>
      </c>
      <c r="F48" s="82">
        <v>73.7</v>
      </c>
      <c r="G48" s="82">
        <v>0</v>
      </c>
      <c r="H48" s="86">
        <v>0</v>
      </c>
      <c r="I48" s="86">
        <v>0</v>
      </c>
      <c r="J48" s="86">
        <v>0</v>
      </c>
      <c r="K48" s="86">
        <v>0</v>
      </c>
      <c r="L48" s="215">
        <v>77.3</v>
      </c>
      <c r="M48" s="27"/>
    </row>
    <row r="49" spans="1:13" x14ac:dyDescent="0.25">
      <c r="A49" s="6"/>
      <c r="B49" s="476" t="s">
        <v>32</v>
      </c>
      <c r="C49" s="32" t="s">
        <v>32</v>
      </c>
      <c r="D49" s="76">
        <v>94.9</v>
      </c>
      <c r="E49" s="77">
        <v>2517.6999999999998</v>
      </c>
      <c r="F49" s="77">
        <v>9795.7999999999993</v>
      </c>
      <c r="G49" s="77">
        <v>6708.8</v>
      </c>
      <c r="H49" s="74">
        <v>3553</v>
      </c>
      <c r="I49" s="74">
        <v>187.7</v>
      </c>
      <c r="J49" s="74">
        <v>57.2</v>
      </c>
      <c r="K49" s="74">
        <v>0</v>
      </c>
      <c r="L49" s="58">
        <v>22915.100000000002</v>
      </c>
      <c r="M49" s="26"/>
    </row>
    <row r="50" spans="1:13" s="10" customFormat="1" ht="15.75" thickBot="1" x14ac:dyDescent="0.3">
      <c r="A50" s="12"/>
      <c r="B50" s="521"/>
      <c r="C50" s="117" t="s">
        <v>72</v>
      </c>
      <c r="D50" s="180">
        <v>94.9</v>
      </c>
      <c r="E50" s="86">
        <v>2517.6999999999998</v>
      </c>
      <c r="F50" s="86">
        <v>9795.7999999999993</v>
      </c>
      <c r="G50" s="86">
        <v>6708.8</v>
      </c>
      <c r="H50" s="82">
        <v>3553</v>
      </c>
      <c r="I50" s="82">
        <v>187.7</v>
      </c>
      <c r="J50" s="82">
        <v>57.2</v>
      </c>
      <c r="K50" s="82">
        <v>0</v>
      </c>
      <c r="L50" s="59">
        <v>22915.100000000002</v>
      </c>
      <c r="M50" s="27"/>
    </row>
    <row r="51" spans="1:13" x14ac:dyDescent="0.25">
      <c r="A51" s="6"/>
      <c r="B51" s="476" t="s">
        <v>33</v>
      </c>
      <c r="C51" s="40" t="s">
        <v>33</v>
      </c>
      <c r="D51" s="181">
        <v>3470</v>
      </c>
      <c r="E51" s="89">
        <v>15601.4</v>
      </c>
      <c r="F51" s="89">
        <v>6588.1</v>
      </c>
      <c r="G51" s="89">
        <v>887.4</v>
      </c>
      <c r="H51" s="77">
        <v>29</v>
      </c>
      <c r="I51" s="77">
        <v>0</v>
      </c>
      <c r="J51" s="77">
        <v>0</v>
      </c>
      <c r="K51" s="77">
        <v>0</v>
      </c>
      <c r="L51" s="58">
        <v>26575.9</v>
      </c>
      <c r="M51" s="26"/>
    </row>
    <row r="52" spans="1:13" s="10" customFormat="1" ht="15.75" thickBot="1" x14ac:dyDescent="0.3">
      <c r="A52" s="12"/>
      <c r="B52" s="521"/>
      <c r="C52" s="117" t="s">
        <v>72</v>
      </c>
      <c r="D52" s="180">
        <v>3470</v>
      </c>
      <c r="E52" s="86">
        <v>15601.4</v>
      </c>
      <c r="F52" s="86">
        <v>6588.1</v>
      </c>
      <c r="G52" s="86">
        <v>887.4</v>
      </c>
      <c r="H52" s="82">
        <v>29</v>
      </c>
      <c r="I52" s="82">
        <v>0</v>
      </c>
      <c r="J52" s="82">
        <v>0</v>
      </c>
      <c r="K52" s="82">
        <v>0</v>
      </c>
      <c r="L52" s="54">
        <v>26575.9</v>
      </c>
      <c r="M52" s="27"/>
    </row>
    <row r="53" spans="1:13" x14ac:dyDescent="0.25">
      <c r="A53" s="6"/>
      <c r="B53" s="476" t="s">
        <v>34</v>
      </c>
      <c r="C53" s="40" t="s">
        <v>34</v>
      </c>
      <c r="D53" s="181">
        <v>603.79999999999995</v>
      </c>
      <c r="E53" s="89">
        <v>27182.1</v>
      </c>
      <c r="F53" s="89">
        <v>18074.400000000001</v>
      </c>
      <c r="G53" s="89">
        <v>68.8</v>
      </c>
      <c r="H53" s="77">
        <v>0</v>
      </c>
      <c r="I53" s="77">
        <v>0</v>
      </c>
      <c r="J53" s="77">
        <v>0</v>
      </c>
      <c r="K53" s="77">
        <v>0</v>
      </c>
      <c r="L53" s="57">
        <v>45929.100000000006</v>
      </c>
      <c r="M53" s="26"/>
    </row>
    <row r="54" spans="1:13" s="10" customFormat="1" ht="15.75" thickBot="1" x14ac:dyDescent="0.3">
      <c r="A54" s="12"/>
      <c r="B54" s="521"/>
      <c r="C54" s="48" t="s">
        <v>72</v>
      </c>
      <c r="D54" s="217">
        <v>603.79999999999995</v>
      </c>
      <c r="E54" s="82">
        <v>27182.1</v>
      </c>
      <c r="F54" s="82">
        <v>18074.400000000001</v>
      </c>
      <c r="G54" s="82">
        <v>68.8</v>
      </c>
      <c r="H54" s="82">
        <v>0</v>
      </c>
      <c r="I54" s="82">
        <v>0</v>
      </c>
      <c r="J54" s="82">
        <v>0</v>
      </c>
      <c r="K54" s="82">
        <v>0</v>
      </c>
      <c r="L54" s="59">
        <v>45929.100000000006</v>
      </c>
      <c r="M54" s="27"/>
    </row>
    <row r="55" spans="1:13" x14ac:dyDescent="0.25">
      <c r="A55" s="6"/>
      <c r="B55" s="476" t="s">
        <v>77</v>
      </c>
      <c r="C55" s="32" t="s">
        <v>30</v>
      </c>
      <c r="D55" s="76">
        <v>0</v>
      </c>
      <c r="E55" s="77">
        <v>355.2</v>
      </c>
      <c r="F55" s="77">
        <v>181.7</v>
      </c>
      <c r="G55" s="77">
        <v>193.4</v>
      </c>
      <c r="H55" s="77">
        <v>0</v>
      </c>
      <c r="I55" s="77">
        <v>0</v>
      </c>
      <c r="J55" s="77">
        <v>0</v>
      </c>
      <c r="K55" s="77">
        <v>0</v>
      </c>
      <c r="L55" s="58">
        <v>730.3</v>
      </c>
      <c r="M55" s="26"/>
    </row>
    <row r="56" spans="1:13" s="10" customFormat="1" ht="15.75" thickBot="1" x14ac:dyDescent="0.3">
      <c r="A56" s="12"/>
      <c r="B56" s="521"/>
      <c r="C56" s="117" t="s">
        <v>72</v>
      </c>
      <c r="D56" s="180">
        <v>0</v>
      </c>
      <c r="E56" s="86">
        <v>355.2</v>
      </c>
      <c r="F56" s="86">
        <v>181.7</v>
      </c>
      <c r="G56" s="86">
        <v>193.4</v>
      </c>
      <c r="H56" s="86">
        <v>0</v>
      </c>
      <c r="I56" s="86">
        <v>0</v>
      </c>
      <c r="J56" s="86">
        <v>0</v>
      </c>
      <c r="K56" s="86">
        <v>0</v>
      </c>
      <c r="L56" s="59">
        <v>730.3</v>
      </c>
      <c r="M56" s="27"/>
    </row>
    <row r="57" spans="1:13" x14ac:dyDescent="0.25">
      <c r="A57" s="6"/>
      <c r="B57" s="476" t="s">
        <v>31</v>
      </c>
      <c r="C57" s="32" t="s">
        <v>31</v>
      </c>
      <c r="D57" s="76">
        <v>111</v>
      </c>
      <c r="E57" s="77">
        <v>8291.7000000000007</v>
      </c>
      <c r="F57" s="77">
        <v>8293.2000000000007</v>
      </c>
      <c r="G57" s="77">
        <v>15</v>
      </c>
      <c r="H57" s="89">
        <v>0</v>
      </c>
      <c r="I57" s="89">
        <v>0</v>
      </c>
      <c r="J57" s="89">
        <v>0</v>
      </c>
      <c r="K57" s="89">
        <v>0</v>
      </c>
      <c r="L57" s="218">
        <v>16710.900000000001</v>
      </c>
      <c r="M57" s="26"/>
    </row>
    <row r="58" spans="1:13" s="10" customFormat="1" ht="15.75" thickBot="1" x14ac:dyDescent="0.3">
      <c r="A58" s="12"/>
      <c r="B58" s="521"/>
      <c r="C58" s="48" t="s">
        <v>72</v>
      </c>
      <c r="D58" s="217">
        <v>111</v>
      </c>
      <c r="E58" s="82">
        <v>8291.7000000000007</v>
      </c>
      <c r="F58" s="82">
        <v>8293.2000000000007</v>
      </c>
      <c r="G58" s="82">
        <v>15</v>
      </c>
      <c r="H58" s="86">
        <v>0</v>
      </c>
      <c r="I58" s="86">
        <v>0</v>
      </c>
      <c r="J58" s="86">
        <v>0</v>
      </c>
      <c r="K58" s="86">
        <v>0</v>
      </c>
      <c r="L58" s="216">
        <v>16710.900000000001</v>
      </c>
      <c r="M58" s="27"/>
    </row>
    <row r="59" spans="1:13" x14ac:dyDescent="0.25">
      <c r="A59" s="6"/>
      <c r="B59" s="476" t="s">
        <v>87</v>
      </c>
      <c r="C59" s="119" t="s">
        <v>14</v>
      </c>
      <c r="D59" s="73">
        <v>1556.3</v>
      </c>
      <c r="E59" s="74">
        <v>7683.5</v>
      </c>
      <c r="F59" s="74">
        <v>6729</v>
      </c>
      <c r="G59" s="74">
        <v>3298.9</v>
      </c>
      <c r="H59" s="74">
        <v>712</v>
      </c>
      <c r="I59" s="74">
        <v>89.8</v>
      </c>
      <c r="J59" s="74">
        <v>0</v>
      </c>
      <c r="K59" s="74">
        <v>0</v>
      </c>
      <c r="L59" s="53">
        <v>20069.5</v>
      </c>
      <c r="M59" s="26"/>
    </row>
    <row r="60" spans="1:13" x14ac:dyDescent="0.25">
      <c r="A60" s="6"/>
      <c r="B60" s="548"/>
      <c r="C60" s="119" t="s">
        <v>85</v>
      </c>
      <c r="D60" s="73">
        <v>559.5</v>
      </c>
      <c r="E60" s="74">
        <v>1317.6</v>
      </c>
      <c r="F60" s="74">
        <v>203.2</v>
      </c>
      <c r="G60" s="74">
        <v>10.9</v>
      </c>
      <c r="H60" s="74">
        <v>0</v>
      </c>
      <c r="I60" s="74">
        <v>0</v>
      </c>
      <c r="J60" s="74">
        <v>0</v>
      </c>
      <c r="K60" s="74">
        <v>0</v>
      </c>
      <c r="L60" s="53">
        <v>2091.1999999999998</v>
      </c>
      <c r="M60" s="26"/>
    </row>
    <row r="61" spans="1:13" x14ac:dyDescent="0.25">
      <c r="A61" s="6"/>
      <c r="B61" s="548"/>
      <c r="C61" s="32" t="s">
        <v>15</v>
      </c>
      <c r="D61" s="76">
        <v>603.1</v>
      </c>
      <c r="E61" s="77">
        <v>4376.8999999999996</v>
      </c>
      <c r="F61" s="77">
        <v>2222.1999999999998</v>
      </c>
      <c r="G61" s="77">
        <v>88.3</v>
      </c>
      <c r="H61" s="77">
        <v>0</v>
      </c>
      <c r="I61" s="77">
        <v>0</v>
      </c>
      <c r="J61" s="77">
        <v>0</v>
      </c>
      <c r="K61" s="77">
        <v>0</v>
      </c>
      <c r="L61" s="214">
        <v>7290.5</v>
      </c>
      <c r="M61" s="26"/>
    </row>
    <row r="62" spans="1:13" s="10" customFormat="1" ht="15.75" thickBot="1" x14ac:dyDescent="0.3">
      <c r="A62" s="12"/>
      <c r="B62" s="521"/>
      <c r="C62" s="117" t="s">
        <v>72</v>
      </c>
      <c r="D62" s="180">
        <v>2718.9</v>
      </c>
      <c r="E62" s="86">
        <v>13378</v>
      </c>
      <c r="F62" s="86">
        <v>9154.4</v>
      </c>
      <c r="G62" s="86">
        <v>3398.1000000000004</v>
      </c>
      <c r="H62" s="86">
        <v>712</v>
      </c>
      <c r="I62" s="86">
        <v>89.8</v>
      </c>
      <c r="J62" s="86">
        <v>0</v>
      </c>
      <c r="K62" s="86">
        <v>0</v>
      </c>
      <c r="L62" s="215">
        <v>29451.200000000001</v>
      </c>
      <c r="M62" s="27"/>
    </row>
    <row r="63" spans="1:13" s="10" customFormat="1" ht="15.75" thickBot="1" x14ac:dyDescent="0.3">
      <c r="A63" s="12"/>
      <c r="B63" s="522" t="s">
        <v>35</v>
      </c>
      <c r="C63" s="558"/>
      <c r="D63" s="219">
        <v>269037.7</v>
      </c>
      <c r="E63" s="219">
        <v>1808600.8999999997</v>
      </c>
      <c r="F63" s="219">
        <v>3298998.4000000004</v>
      </c>
      <c r="G63" s="219">
        <v>1657496.1000000003</v>
      </c>
      <c r="H63" s="219">
        <v>701434.29999999993</v>
      </c>
      <c r="I63" s="219">
        <v>54921.9</v>
      </c>
      <c r="J63" s="219">
        <v>13642.900000000001</v>
      </c>
      <c r="K63" s="219">
        <v>708.3</v>
      </c>
      <c r="L63" s="220">
        <v>7804840.4999999991</v>
      </c>
      <c r="M63" s="27"/>
    </row>
    <row r="64" spans="1:13" x14ac:dyDescent="0.25"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</row>
    <row r="65" spans="2:13" x14ac:dyDescent="0.25">
      <c r="B65" s="559" t="s">
        <v>86</v>
      </c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252"/>
    </row>
    <row r="66" spans="2:13" ht="15.75" x14ac:dyDescent="0.25">
      <c r="B66" s="488" t="s">
        <v>121</v>
      </c>
      <c r="C66" s="488"/>
      <c r="D66" s="488"/>
      <c r="E66" s="488"/>
      <c r="F66" s="488"/>
      <c r="G66" s="488"/>
      <c r="H66" s="488"/>
      <c r="I66" s="488"/>
      <c r="J66" s="488"/>
      <c r="K66" s="488"/>
      <c r="L66" s="488"/>
      <c r="M66" s="253"/>
    </row>
  </sheetData>
  <mergeCells count="19">
    <mergeCell ref="B63:C63"/>
    <mergeCell ref="B65:L65"/>
    <mergeCell ref="B66:L66"/>
    <mergeCell ref="B39:B43"/>
    <mergeCell ref="B44:B46"/>
    <mergeCell ref="B47:B48"/>
    <mergeCell ref="B49:B50"/>
    <mergeCell ref="B51:B52"/>
    <mergeCell ref="B53:B54"/>
    <mergeCell ref="B55:B56"/>
    <mergeCell ref="B57:B58"/>
    <mergeCell ref="B59:B62"/>
    <mergeCell ref="B34:B38"/>
    <mergeCell ref="B5:L7"/>
    <mergeCell ref="B10:B18"/>
    <mergeCell ref="B19:B22"/>
    <mergeCell ref="B23:B24"/>
    <mergeCell ref="B28:B33"/>
    <mergeCell ref="B25:B27"/>
  </mergeCells>
  <pageMargins left="0.70866141732283472" right="0.70866141732283472" top="0.74803149606299213" bottom="0.74803149606299213" header="0.31496062992125984" footer="0.31496062992125984"/>
  <pageSetup paperSize="9" scale="54" orientation="portrait" r:id="rId1"/>
  <headerFooter>
    <oddHeader>&amp;L&amp;G&amp;RCAMPAÑA: 2024/2025. MES: SEPTIEMBRE
Fecha de emisión de datos: 07/05/2026</oddHead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0"/>
  <sheetViews>
    <sheetView view="pageLayout" zoomScale="75" zoomScaleNormal="70" zoomScaleSheetLayoutView="70" zoomScalePageLayoutView="75" workbookViewId="0">
      <selection activeCell="B1" sqref="B1:J3"/>
    </sheetView>
  </sheetViews>
  <sheetFormatPr baseColWidth="10" defaultColWidth="11.42578125" defaultRowHeight="15" x14ac:dyDescent="0.25"/>
  <cols>
    <col min="1" max="1" width="2.140625" customWidth="1"/>
    <col min="2" max="2" width="26.5703125" customWidth="1"/>
    <col min="3" max="3" width="22.7109375" bestFit="1" customWidth="1"/>
    <col min="4" max="4" width="18" customWidth="1"/>
    <col min="5" max="5" width="17" customWidth="1"/>
    <col min="6" max="6" width="12" customWidth="1"/>
    <col min="7" max="7" width="10.28515625" customWidth="1"/>
    <col min="8" max="8" width="9.5703125" customWidth="1"/>
    <col min="9" max="9" width="9.42578125" customWidth="1"/>
    <col min="10" max="10" width="13.28515625" customWidth="1"/>
    <col min="11" max="11" width="1.7109375" customWidth="1"/>
  </cols>
  <sheetData>
    <row r="1" spans="1:10" ht="15" customHeight="1" x14ac:dyDescent="0.25">
      <c r="B1" s="560" t="s">
        <v>130</v>
      </c>
      <c r="C1" s="560"/>
      <c r="D1" s="560"/>
      <c r="E1" s="560"/>
      <c r="F1" s="560"/>
      <c r="G1" s="560"/>
      <c r="H1" s="560"/>
      <c r="I1" s="560"/>
      <c r="J1" s="560"/>
    </row>
    <row r="2" spans="1:10" ht="15" customHeight="1" x14ac:dyDescent="0.25">
      <c r="B2" s="560"/>
      <c r="C2" s="560"/>
      <c r="D2" s="560"/>
      <c r="E2" s="560"/>
      <c r="F2" s="560"/>
      <c r="G2" s="560"/>
      <c r="H2" s="560"/>
      <c r="I2" s="560"/>
      <c r="J2" s="560"/>
    </row>
    <row r="3" spans="1:10" ht="24" customHeight="1" x14ac:dyDescent="0.25">
      <c r="B3" s="560"/>
      <c r="C3" s="560"/>
      <c r="D3" s="560"/>
      <c r="E3" s="560"/>
      <c r="F3" s="560"/>
      <c r="G3" s="560"/>
      <c r="H3" s="560"/>
      <c r="I3" s="560"/>
      <c r="J3" s="560"/>
    </row>
    <row r="4" spans="1:10" ht="21.75" customHeight="1" thickBot="1" x14ac:dyDescent="0.3">
      <c r="C4" s="25"/>
      <c r="D4" s="25"/>
      <c r="E4" s="25"/>
      <c r="F4" s="25"/>
      <c r="G4" s="25"/>
      <c r="H4" s="25"/>
    </row>
    <row r="5" spans="1:10" ht="16.5" thickBot="1" x14ac:dyDescent="0.3">
      <c r="B5" s="561" t="s">
        <v>90</v>
      </c>
      <c r="C5" s="562"/>
      <c r="D5" s="562"/>
      <c r="E5" s="562"/>
      <c r="F5" s="562"/>
      <c r="G5" s="562"/>
      <c r="H5" s="562"/>
      <c r="I5" s="562"/>
      <c r="J5" s="563"/>
    </row>
    <row r="6" spans="1:10" ht="15.75" thickBot="1" x14ac:dyDescent="0.3">
      <c r="B6" s="564" t="s">
        <v>54</v>
      </c>
      <c r="C6" s="564" t="s">
        <v>4</v>
      </c>
      <c r="D6" s="564" t="s">
        <v>61</v>
      </c>
      <c r="E6" s="564"/>
      <c r="F6" s="564"/>
      <c r="G6" s="564"/>
      <c r="H6" s="564"/>
      <c r="I6" s="564"/>
      <c r="J6" s="564"/>
    </row>
    <row r="7" spans="1:10" ht="15.75" thickBot="1" x14ac:dyDescent="0.3">
      <c r="B7" s="565"/>
      <c r="C7" s="565"/>
      <c r="D7" s="121" t="s">
        <v>62</v>
      </c>
      <c r="E7" s="121" t="s">
        <v>63</v>
      </c>
      <c r="F7" s="121" t="s">
        <v>64</v>
      </c>
      <c r="G7" s="121" t="s">
        <v>65</v>
      </c>
      <c r="H7" s="121" t="s">
        <v>66</v>
      </c>
      <c r="I7" s="121" t="s">
        <v>67</v>
      </c>
      <c r="J7" s="121" t="s">
        <v>48</v>
      </c>
    </row>
    <row r="8" spans="1:10" x14ac:dyDescent="0.25">
      <c r="A8" s="6"/>
      <c r="B8" s="497" t="s">
        <v>74</v>
      </c>
      <c r="C8" s="70" t="s">
        <v>80</v>
      </c>
      <c r="D8" s="71">
        <v>96.6</v>
      </c>
      <c r="E8" s="72">
        <v>5.0999999999999996</v>
      </c>
      <c r="F8" s="71">
        <v>82.8</v>
      </c>
      <c r="G8" s="71">
        <v>18.899999999999999</v>
      </c>
      <c r="H8" s="72">
        <v>0</v>
      </c>
      <c r="I8" s="71">
        <v>0</v>
      </c>
      <c r="J8" s="221">
        <v>101.69999999999999</v>
      </c>
    </row>
    <row r="9" spans="1:10" x14ac:dyDescent="0.25">
      <c r="A9" s="6"/>
      <c r="B9" s="498"/>
      <c r="C9" s="267" t="s">
        <v>81</v>
      </c>
      <c r="D9" s="73">
        <v>69.5</v>
      </c>
      <c r="E9" s="74">
        <v>15</v>
      </c>
      <c r="F9" s="73">
        <v>74.7</v>
      </c>
      <c r="G9" s="73">
        <v>8.4</v>
      </c>
      <c r="H9" s="74">
        <v>0.5</v>
      </c>
      <c r="I9" s="73">
        <v>0.9</v>
      </c>
      <c r="J9" s="53">
        <v>84.5</v>
      </c>
    </row>
    <row r="10" spans="1:10" x14ac:dyDescent="0.25">
      <c r="A10" s="6"/>
      <c r="B10" s="498"/>
      <c r="C10" s="267" t="s">
        <v>82</v>
      </c>
      <c r="D10" s="73">
        <v>5824.8</v>
      </c>
      <c r="E10" s="74">
        <v>4720.2</v>
      </c>
      <c r="F10" s="73">
        <v>7580.1</v>
      </c>
      <c r="G10" s="73">
        <v>2549.1999999999998</v>
      </c>
      <c r="H10" s="74">
        <v>151.19999999999999</v>
      </c>
      <c r="I10" s="73">
        <v>264.5</v>
      </c>
      <c r="J10" s="53">
        <v>10545</v>
      </c>
    </row>
    <row r="11" spans="1:10" x14ac:dyDescent="0.25">
      <c r="A11" s="6"/>
      <c r="B11" s="498"/>
      <c r="C11" s="267" t="s">
        <v>6</v>
      </c>
      <c r="D11" s="73">
        <v>881.6</v>
      </c>
      <c r="E11" s="74">
        <v>1385</v>
      </c>
      <c r="F11" s="73">
        <v>1696.7</v>
      </c>
      <c r="G11" s="73">
        <v>534.1</v>
      </c>
      <c r="H11" s="74">
        <v>4.7</v>
      </c>
      <c r="I11" s="73">
        <v>31.1</v>
      </c>
      <c r="J11" s="53">
        <v>2266.6</v>
      </c>
    </row>
    <row r="12" spans="1:10" x14ac:dyDescent="0.25">
      <c r="A12" s="6"/>
      <c r="B12" s="498"/>
      <c r="C12" s="267" t="s">
        <v>7</v>
      </c>
      <c r="D12" s="73">
        <v>137.1</v>
      </c>
      <c r="E12" s="74">
        <v>0</v>
      </c>
      <c r="F12" s="73">
        <v>136.5</v>
      </c>
      <c r="G12" s="73">
        <v>0.6</v>
      </c>
      <c r="H12" s="74">
        <v>0</v>
      </c>
      <c r="I12" s="73">
        <v>0</v>
      </c>
      <c r="J12" s="53">
        <v>137.1</v>
      </c>
    </row>
    <row r="13" spans="1:10" x14ac:dyDescent="0.25">
      <c r="A13" s="6"/>
      <c r="B13" s="498"/>
      <c r="C13" s="267" t="s">
        <v>83</v>
      </c>
      <c r="D13" s="73">
        <v>6198.1</v>
      </c>
      <c r="E13" s="74">
        <v>3850.2</v>
      </c>
      <c r="F13" s="73">
        <v>6906.4</v>
      </c>
      <c r="G13" s="73">
        <v>2701.1</v>
      </c>
      <c r="H13" s="74">
        <v>309.5</v>
      </c>
      <c r="I13" s="73">
        <v>131.4</v>
      </c>
      <c r="J13" s="53">
        <v>10048.299999999999</v>
      </c>
    </row>
    <row r="14" spans="1:10" x14ac:dyDescent="0.25">
      <c r="A14" s="6"/>
      <c r="B14" s="498"/>
      <c r="C14" s="267" t="s">
        <v>84</v>
      </c>
      <c r="D14" s="73">
        <v>1089.5</v>
      </c>
      <c r="E14" s="74">
        <v>586.1</v>
      </c>
      <c r="F14" s="73">
        <v>1059.2</v>
      </c>
      <c r="G14" s="73">
        <v>482.3</v>
      </c>
      <c r="H14" s="74">
        <v>107.7</v>
      </c>
      <c r="I14" s="73">
        <v>26.5</v>
      </c>
      <c r="J14" s="53">
        <v>1675.6</v>
      </c>
    </row>
    <row r="15" spans="1:10" x14ac:dyDescent="0.25">
      <c r="A15" s="6"/>
      <c r="B15" s="498"/>
      <c r="C15" s="75" t="s">
        <v>8</v>
      </c>
      <c r="D15" s="76">
        <v>454.1</v>
      </c>
      <c r="E15" s="77">
        <v>1719.2</v>
      </c>
      <c r="F15" s="76">
        <v>1670.2</v>
      </c>
      <c r="G15" s="76">
        <v>66.7</v>
      </c>
      <c r="H15" s="77">
        <v>387</v>
      </c>
      <c r="I15" s="76">
        <v>49.4</v>
      </c>
      <c r="J15" s="214">
        <v>2173.3000000000002</v>
      </c>
    </row>
    <row r="16" spans="1:10" s="10" customFormat="1" ht="15.75" thickBot="1" x14ac:dyDescent="0.3">
      <c r="A16" s="12"/>
      <c r="B16" s="499"/>
      <c r="C16" s="262" t="s">
        <v>72</v>
      </c>
      <c r="D16" s="180">
        <v>14751.300000000001</v>
      </c>
      <c r="E16" s="86">
        <v>12280.800000000001</v>
      </c>
      <c r="F16" s="180">
        <v>19206.600000000002</v>
      </c>
      <c r="G16" s="180">
        <v>6361.2999999999993</v>
      </c>
      <c r="H16" s="86">
        <v>960.6</v>
      </c>
      <c r="I16" s="180">
        <v>503.79999999999995</v>
      </c>
      <c r="J16" s="215">
        <v>27032.1</v>
      </c>
    </row>
    <row r="17" spans="1:10" x14ac:dyDescent="0.25">
      <c r="A17" s="6"/>
      <c r="B17" s="497" t="s">
        <v>75</v>
      </c>
      <c r="C17" s="267" t="s">
        <v>10</v>
      </c>
      <c r="D17" s="73">
        <v>185.6</v>
      </c>
      <c r="E17" s="74">
        <v>38.5</v>
      </c>
      <c r="F17" s="73">
        <v>179.9</v>
      </c>
      <c r="G17" s="73">
        <v>40.1</v>
      </c>
      <c r="H17" s="74">
        <v>4.0999999999999996</v>
      </c>
      <c r="I17" s="73">
        <v>0</v>
      </c>
      <c r="J17" s="53">
        <v>224.1</v>
      </c>
    </row>
    <row r="18" spans="1:10" x14ac:dyDescent="0.25">
      <c r="B18" s="548"/>
      <c r="C18" s="267" t="s">
        <v>11</v>
      </c>
      <c r="D18" s="73">
        <v>69.2</v>
      </c>
      <c r="E18" s="74">
        <v>0</v>
      </c>
      <c r="F18" s="73">
        <v>49.7</v>
      </c>
      <c r="G18" s="73">
        <v>19.600000000000001</v>
      </c>
      <c r="H18" s="74">
        <v>0</v>
      </c>
      <c r="I18" s="73">
        <v>0</v>
      </c>
      <c r="J18" s="53">
        <v>69.2</v>
      </c>
    </row>
    <row r="19" spans="1:10" x14ac:dyDescent="0.25">
      <c r="B19" s="548"/>
      <c r="C19" s="75" t="s">
        <v>12</v>
      </c>
      <c r="D19" s="76">
        <v>127</v>
      </c>
      <c r="E19" s="77">
        <v>78.8</v>
      </c>
      <c r="F19" s="76">
        <v>186.2</v>
      </c>
      <c r="G19" s="76">
        <v>7.6</v>
      </c>
      <c r="H19" s="77">
        <v>11.9</v>
      </c>
      <c r="I19" s="76">
        <v>0</v>
      </c>
      <c r="J19" s="214">
        <v>205.8</v>
      </c>
    </row>
    <row r="20" spans="1:10" s="10" customFormat="1" ht="15.75" thickBot="1" x14ac:dyDescent="0.3">
      <c r="B20" s="521"/>
      <c r="C20" s="262" t="s">
        <v>72</v>
      </c>
      <c r="D20" s="180">
        <v>381.8</v>
      </c>
      <c r="E20" s="86">
        <v>117.3</v>
      </c>
      <c r="F20" s="180">
        <v>415.8</v>
      </c>
      <c r="G20" s="180">
        <v>67.3</v>
      </c>
      <c r="H20" s="86">
        <v>16</v>
      </c>
      <c r="I20" s="180">
        <v>0</v>
      </c>
      <c r="J20" s="215">
        <v>499.1</v>
      </c>
    </row>
    <row r="21" spans="1:10" x14ac:dyDescent="0.25">
      <c r="B21" s="476" t="s">
        <v>13</v>
      </c>
      <c r="C21" s="87" t="s">
        <v>13</v>
      </c>
      <c r="D21" s="181">
        <v>9</v>
      </c>
      <c r="E21" s="89">
        <v>137.30000000000001</v>
      </c>
      <c r="F21" s="181">
        <v>68.3</v>
      </c>
      <c r="G21" s="181">
        <v>20.8</v>
      </c>
      <c r="H21" s="89">
        <v>57.2</v>
      </c>
      <c r="I21" s="181">
        <v>0</v>
      </c>
      <c r="J21" s="218">
        <v>146.30000000000001</v>
      </c>
    </row>
    <row r="22" spans="1:10" s="10" customFormat="1" ht="15.75" thickBot="1" x14ac:dyDescent="0.3">
      <c r="B22" s="521"/>
      <c r="C22" s="262" t="s">
        <v>72</v>
      </c>
      <c r="D22" s="180">
        <v>9</v>
      </c>
      <c r="E22" s="86">
        <v>137.30000000000001</v>
      </c>
      <c r="F22" s="180">
        <v>68.3</v>
      </c>
      <c r="G22" s="180">
        <v>20.8</v>
      </c>
      <c r="H22" s="86">
        <v>57.2</v>
      </c>
      <c r="I22" s="180">
        <v>0</v>
      </c>
      <c r="J22" s="215">
        <v>146.30000000000001</v>
      </c>
    </row>
    <row r="23" spans="1:10" s="10" customFormat="1" x14ac:dyDescent="0.25">
      <c r="B23" s="476" t="s">
        <v>153</v>
      </c>
      <c r="C23" s="119" t="s">
        <v>154</v>
      </c>
      <c r="D23" s="73">
        <v>0</v>
      </c>
      <c r="E23" s="74">
        <v>1</v>
      </c>
      <c r="F23" s="74">
        <v>1</v>
      </c>
      <c r="G23" s="74">
        <v>0</v>
      </c>
      <c r="H23" s="74">
        <v>0</v>
      </c>
      <c r="I23" s="74">
        <v>0</v>
      </c>
      <c r="J23" s="53">
        <v>1</v>
      </c>
    </row>
    <row r="24" spans="1:10" s="10" customFormat="1" x14ac:dyDescent="0.25">
      <c r="B24" s="548"/>
      <c r="C24" s="32" t="s">
        <v>155</v>
      </c>
      <c r="D24" s="76">
        <v>0.4</v>
      </c>
      <c r="E24" s="77">
        <v>0</v>
      </c>
      <c r="F24" s="77">
        <v>0.4</v>
      </c>
      <c r="G24" s="77">
        <v>0</v>
      </c>
      <c r="H24" s="77">
        <v>0</v>
      </c>
      <c r="I24" s="77">
        <v>0</v>
      </c>
      <c r="J24" s="214">
        <v>0.4</v>
      </c>
    </row>
    <row r="25" spans="1:10" s="10" customFormat="1" ht="15.75" thickBot="1" x14ac:dyDescent="0.3">
      <c r="B25" s="521"/>
      <c r="C25" s="48" t="s">
        <v>72</v>
      </c>
      <c r="D25" s="217">
        <v>0.4</v>
      </c>
      <c r="E25" s="82">
        <v>1</v>
      </c>
      <c r="F25" s="217">
        <v>1.4</v>
      </c>
      <c r="G25" s="217">
        <v>0</v>
      </c>
      <c r="H25" s="82">
        <v>0</v>
      </c>
      <c r="I25" s="217">
        <v>0</v>
      </c>
      <c r="J25" s="216">
        <v>1.4</v>
      </c>
    </row>
    <row r="26" spans="1:10" x14ac:dyDescent="0.25">
      <c r="B26" s="476" t="s">
        <v>73</v>
      </c>
      <c r="C26" s="267" t="s">
        <v>16</v>
      </c>
      <c r="D26" s="73">
        <v>120.7</v>
      </c>
      <c r="E26" s="74">
        <v>130.30000000000001</v>
      </c>
      <c r="F26" s="73">
        <v>170.5</v>
      </c>
      <c r="G26" s="73">
        <v>70.7</v>
      </c>
      <c r="H26" s="74">
        <v>6.7</v>
      </c>
      <c r="I26" s="73">
        <v>3.1</v>
      </c>
      <c r="J26" s="221">
        <v>251</v>
      </c>
    </row>
    <row r="27" spans="1:10" x14ac:dyDescent="0.25">
      <c r="B27" s="548"/>
      <c r="C27" s="267" t="s">
        <v>17</v>
      </c>
      <c r="D27" s="73">
        <v>571.9</v>
      </c>
      <c r="E27" s="74">
        <v>2097.6999999999998</v>
      </c>
      <c r="F27" s="73">
        <v>2243.3000000000002</v>
      </c>
      <c r="G27" s="73">
        <v>422.1</v>
      </c>
      <c r="H27" s="74">
        <v>0</v>
      </c>
      <c r="I27" s="73">
        <v>4.0999999999999996</v>
      </c>
      <c r="J27" s="53">
        <v>2669.6</v>
      </c>
    </row>
    <row r="28" spans="1:10" x14ac:dyDescent="0.25">
      <c r="B28" s="548"/>
      <c r="C28" s="267" t="s">
        <v>18</v>
      </c>
      <c r="D28" s="73">
        <v>102.3</v>
      </c>
      <c r="E28" s="74">
        <v>1.5</v>
      </c>
      <c r="F28" s="74">
        <v>40.9</v>
      </c>
      <c r="G28" s="73">
        <v>62.9</v>
      </c>
      <c r="H28" s="74">
        <v>0</v>
      </c>
      <c r="I28" s="73">
        <v>0</v>
      </c>
      <c r="J28" s="53">
        <v>103.8</v>
      </c>
    </row>
    <row r="29" spans="1:10" x14ac:dyDescent="0.25">
      <c r="B29" s="548"/>
      <c r="C29" s="267" t="s">
        <v>50</v>
      </c>
      <c r="D29" s="73">
        <v>53</v>
      </c>
      <c r="E29" s="74">
        <v>0</v>
      </c>
      <c r="F29" s="74">
        <v>31.5</v>
      </c>
      <c r="G29" s="74">
        <v>21.5</v>
      </c>
      <c r="H29" s="74">
        <v>0</v>
      </c>
      <c r="I29" s="73">
        <v>0</v>
      </c>
      <c r="J29" s="53">
        <v>53</v>
      </c>
    </row>
    <row r="30" spans="1:10" x14ac:dyDescent="0.25">
      <c r="B30" s="548"/>
      <c r="C30" s="75" t="s">
        <v>19</v>
      </c>
      <c r="D30" s="76">
        <v>1552.2</v>
      </c>
      <c r="E30" s="77">
        <v>125.7</v>
      </c>
      <c r="F30" s="77">
        <v>1234</v>
      </c>
      <c r="G30" s="77">
        <v>260.10000000000002</v>
      </c>
      <c r="H30" s="77">
        <v>124</v>
      </c>
      <c r="I30" s="76">
        <v>59.8</v>
      </c>
      <c r="J30" s="214">
        <v>1677.9</v>
      </c>
    </row>
    <row r="31" spans="1:10" s="10" customFormat="1" ht="15.75" thickBot="1" x14ac:dyDescent="0.3">
      <c r="B31" s="521"/>
      <c r="C31" s="262" t="s">
        <v>72</v>
      </c>
      <c r="D31" s="180">
        <v>2400.1</v>
      </c>
      <c r="E31" s="86">
        <v>2355.1999999999998</v>
      </c>
      <c r="F31" s="86">
        <v>3720.2000000000003</v>
      </c>
      <c r="G31" s="86">
        <v>837.30000000000007</v>
      </c>
      <c r="H31" s="86">
        <v>130.69999999999999</v>
      </c>
      <c r="I31" s="180">
        <v>67</v>
      </c>
      <c r="J31" s="215">
        <v>4755.3</v>
      </c>
    </row>
    <row r="32" spans="1:10" x14ac:dyDescent="0.25">
      <c r="B32" s="476" t="s">
        <v>76</v>
      </c>
      <c r="C32" s="267" t="s">
        <v>78</v>
      </c>
      <c r="D32" s="73">
        <v>4.9000000000000004</v>
      </c>
      <c r="E32" s="74">
        <v>0</v>
      </c>
      <c r="F32" s="74">
        <v>4.9000000000000004</v>
      </c>
      <c r="G32" s="74">
        <v>0</v>
      </c>
      <c r="H32" s="74">
        <v>0</v>
      </c>
      <c r="I32" s="73">
        <v>0</v>
      </c>
      <c r="J32" s="53">
        <v>4.9000000000000004</v>
      </c>
    </row>
    <row r="33" spans="1:10" x14ac:dyDescent="0.25">
      <c r="B33" s="566"/>
      <c r="C33" s="267" t="s">
        <v>156</v>
      </c>
      <c r="D33" s="73">
        <v>0</v>
      </c>
      <c r="E33" s="74">
        <v>0.8</v>
      </c>
      <c r="F33" s="74">
        <v>0.8</v>
      </c>
      <c r="G33" s="74">
        <v>0</v>
      </c>
      <c r="H33" s="74">
        <v>0</v>
      </c>
      <c r="I33" s="73">
        <v>0</v>
      </c>
      <c r="J33" s="53">
        <v>0.8</v>
      </c>
    </row>
    <row r="34" spans="1:10" x14ac:dyDescent="0.25">
      <c r="B34" s="548"/>
      <c r="C34" s="267" t="s">
        <v>20</v>
      </c>
      <c r="D34" s="73">
        <v>0.2</v>
      </c>
      <c r="E34" s="74">
        <v>0.1</v>
      </c>
      <c r="F34" s="74">
        <v>0.3</v>
      </c>
      <c r="G34" s="74">
        <v>0</v>
      </c>
      <c r="H34" s="74">
        <v>0</v>
      </c>
      <c r="I34" s="73">
        <v>0</v>
      </c>
      <c r="J34" s="53">
        <v>0.30000000000000004</v>
      </c>
    </row>
    <row r="35" spans="1:10" x14ac:dyDescent="0.25">
      <c r="B35" s="548"/>
      <c r="C35" s="267" t="s">
        <v>151</v>
      </c>
      <c r="D35" s="73">
        <v>0</v>
      </c>
      <c r="E35" s="74">
        <v>0</v>
      </c>
      <c r="F35" s="74">
        <v>0</v>
      </c>
      <c r="G35" s="74">
        <v>0</v>
      </c>
      <c r="H35" s="74">
        <v>0</v>
      </c>
      <c r="I35" s="73">
        <v>0</v>
      </c>
      <c r="J35" s="53">
        <v>0</v>
      </c>
    </row>
    <row r="36" spans="1:10" x14ac:dyDescent="0.25">
      <c r="B36" s="548"/>
      <c r="C36" s="32" t="s">
        <v>21</v>
      </c>
      <c r="D36" s="76">
        <v>37.700000000000003</v>
      </c>
      <c r="E36" s="77">
        <v>55.1</v>
      </c>
      <c r="F36" s="77">
        <v>83.5</v>
      </c>
      <c r="G36" s="77">
        <v>0.3</v>
      </c>
      <c r="H36" s="77">
        <v>8.9</v>
      </c>
      <c r="I36" s="76">
        <v>0</v>
      </c>
      <c r="J36" s="214">
        <v>92.800000000000011</v>
      </c>
    </row>
    <row r="37" spans="1:10" s="10" customFormat="1" ht="15.75" thickBot="1" x14ac:dyDescent="0.3">
      <c r="B37" s="521"/>
      <c r="C37" s="48" t="s">
        <v>72</v>
      </c>
      <c r="D37" s="180">
        <v>42.800000000000004</v>
      </c>
      <c r="E37" s="86">
        <v>56</v>
      </c>
      <c r="F37" s="86">
        <v>89.5</v>
      </c>
      <c r="G37" s="86">
        <v>0.3</v>
      </c>
      <c r="H37" s="86">
        <v>8.9</v>
      </c>
      <c r="I37" s="86">
        <v>0</v>
      </c>
      <c r="J37" s="215">
        <v>98.800000000000011</v>
      </c>
    </row>
    <row r="38" spans="1:10" x14ac:dyDescent="0.25">
      <c r="B38" s="476" t="s">
        <v>22</v>
      </c>
      <c r="C38" s="267" t="s">
        <v>23</v>
      </c>
      <c r="D38" s="73">
        <v>67.3</v>
      </c>
      <c r="E38" s="74">
        <v>325.39999999999998</v>
      </c>
      <c r="F38" s="74">
        <v>248.9</v>
      </c>
      <c r="G38" s="74">
        <v>20.6</v>
      </c>
      <c r="H38" s="74">
        <v>89.1</v>
      </c>
      <c r="I38" s="74">
        <v>34</v>
      </c>
      <c r="J38" s="53">
        <v>392.7</v>
      </c>
    </row>
    <row r="39" spans="1:10" x14ac:dyDescent="0.25">
      <c r="B39" s="548"/>
      <c r="C39" s="267" t="s">
        <v>24</v>
      </c>
      <c r="D39" s="73">
        <v>51.8</v>
      </c>
      <c r="E39" s="74">
        <v>2.2000000000000002</v>
      </c>
      <c r="F39" s="74">
        <v>21.6</v>
      </c>
      <c r="G39" s="74">
        <v>32.299999999999997</v>
      </c>
      <c r="H39" s="74">
        <v>0</v>
      </c>
      <c r="I39" s="74">
        <v>0</v>
      </c>
      <c r="J39" s="53">
        <v>54</v>
      </c>
    </row>
    <row r="40" spans="1:10" x14ac:dyDescent="0.25">
      <c r="B40" s="548"/>
      <c r="C40" s="119" t="s">
        <v>25</v>
      </c>
      <c r="D40" s="73">
        <v>280.2</v>
      </c>
      <c r="E40" s="74">
        <v>429.5</v>
      </c>
      <c r="F40" s="74">
        <v>625</v>
      </c>
      <c r="G40" s="74">
        <v>1.4</v>
      </c>
      <c r="H40" s="74">
        <v>81.3</v>
      </c>
      <c r="I40" s="74">
        <v>2</v>
      </c>
      <c r="J40" s="53">
        <v>709.7</v>
      </c>
    </row>
    <row r="41" spans="1:10" x14ac:dyDescent="0.25">
      <c r="B41" s="548"/>
      <c r="C41" s="32" t="s">
        <v>26</v>
      </c>
      <c r="D41" s="76">
        <v>579.9</v>
      </c>
      <c r="E41" s="77">
        <v>575.6</v>
      </c>
      <c r="F41" s="77">
        <v>999.8</v>
      </c>
      <c r="G41" s="77">
        <v>112.6</v>
      </c>
      <c r="H41" s="77">
        <v>24</v>
      </c>
      <c r="I41" s="77">
        <v>19.2</v>
      </c>
      <c r="J41" s="214">
        <v>1155.5</v>
      </c>
    </row>
    <row r="42" spans="1:10" s="10" customFormat="1" ht="15.75" thickBot="1" x14ac:dyDescent="0.3">
      <c r="B42" s="521"/>
      <c r="C42" s="117" t="s">
        <v>72</v>
      </c>
      <c r="D42" s="180">
        <v>979.19999999999993</v>
      </c>
      <c r="E42" s="86">
        <v>1332.6999999999998</v>
      </c>
      <c r="F42" s="86">
        <v>1895.3</v>
      </c>
      <c r="G42" s="86">
        <v>166.89999999999998</v>
      </c>
      <c r="H42" s="86">
        <v>194.39999999999998</v>
      </c>
      <c r="I42" s="86">
        <v>55.2</v>
      </c>
      <c r="J42" s="215">
        <v>2311.9</v>
      </c>
    </row>
    <row r="43" spans="1:10" x14ac:dyDescent="0.25">
      <c r="B43" s="476" t="s">
        <v>27</v>
      </c>
      <c r="C43" s="119" t="s">
        <v>28</v>
      </c>
      <c r="D43" s="73">
        <v>528.1</v>
      </c>
      <c r="E43" s="74">
        <v>42.5</v>
      </c>
      <c r="F43" s="74">
        <v>400</v>
      </c>
      <c r="G43" s="74">
        <v>159.1</v>
      </c>
      <c r="H43" s="74">
        <v>9.1</v>
      </c>
      <c r="I43" s="74">
        <v>2.4</v>
      </c>
      <c r="J43" s="53">
        <v>570.6</v>
      </c>
    </row>
    <row r="44" spans="1:10" x14ac:dyDescent="0.25">
      <c r="B44" s="548"/>
      <c r="C44" s="32" t="s">
        <v>79</v>
      </c>
      <c r="D44" s="76">
        <v>134.69999999999999</v>
      </c>
      <c r="E44" s="77">
        <v>340.5</v>
      </c>
      <c r="F44" s="77">
        <v>455.2</v>
      </c>
      <c r="G44" s="77">
        <v>19</v>
      </c>
      <c r="H44" s="77">
        <v>1</v>
      </c>
      <c r="I44" s="77">
        <v>0</v>
      </c>
      <c r="J44" s="214">
        <v>475.2</v>
      </c>
    </row>
    <row r="45" spans="1:10" s="10" customFormat="1" ht="15.75" thickBot="1" x14ac:dyDescent="0.3">
      <c r="B45" s="521"/>
      <c r="C45" s="117" t="s">
        <v>72</v>
      </c>
      <c r="D45" s="180">
        <v>662.8</v>
      </c>
      <c r="E45" s="86">
        <v>383</v>
      </c>
      <c r="F45" s="86">
        <v>855.2</v>
      </c>
      <c r="G45" s="86">
        <v>178.1</v>
      </c>
      <c r="H45" s="86">
        <v>10.1</v>
      </c>
      <c r="I45" s="86">
        <v>2.4</v>
      </c>
      <c r="J45" s="215">
        <v>1045.8</v>
      </c>
    </row>
    <row r="46" spans="1:10" x14ac:dyDescent="0.25">
      <c r="B46" s="476" t="s">
        <v>29</v>
      </c>
      <c r="C46" s="40" t="s">
        <v>30</v>
      </c>
      <c r="D46" s="181">
        <v>0.9</v>
      </c>
      <c r="E46" s="89">
        <v>0</v>
      </c>
      <c r="F46" s="89">
        <v>0.9</v>
      </c>
      <c r="G46" s="89">
        <v>0</v>
      </c>
      <c r="H46" s="89">
        <v>0</v>
      </c>
      <c r="I46" s="89">
        <v>0</v>
      </c>
      <c r="J46" s="218">
        <v>0.9</v>
      </c>
    </row>
    <row r="47" spans="1:10" s="10" customFormat="1" ht="15.75" thickBot="1" x14ac:dyDescent="0.3">
      <c r="B47" s="477"/>
      <c r="C47" s="117" t="s">
        <v>72</v>
      </c>
      <c r="D47" s="180">
        <v>0.9</v>
      </c>
      <c r="E47" s="86">
        <v>0</v>
      </c>
      <c r="F47" s="86">
        <v>0.9</v>
      </c>
      <c r="G47" s="86">
        <v>0</v>
      </c>
      <c r="H47" s="86">
        <v>0</v>
      </c>
      <c r="I47" s="86">
        <v>0</v>
      </c>
      <c r="J47" s="215">
        <v>0.9</v>
      </c>
    </row>
    <row r="48" spans="1:10" x14ac:dyDescent="0.25">
      <c r="A48" s="6"/>
      <c r="B48" s="497" t="s">
        <v>32</v>
      </c>
      <c r="C48" s="40" t="s">
        <v>32</v>
      </c>
      <c r="D48" s="181">
        <v>102.5</v>
      </c>
      <c r="E48" s="89">
        <v>98.5</v>
      </c>
      <c r="F48" s="89">
        <v>158.4</v>
      </c>
      <c r="G48" s="89">
        <v>19.899999999999999</v>
      </c>
      <c r="H48" s="89">
        <v>22.7</v>
      </c>
      <c r="I48" s="89">
        <v>0</v>
      </c>
      <c r="J48" s="218">
        <v>201</v>
      </c>
    </row>
    <row r="49" spans="1:10" s="10" customFormat="1" ht="15.75" thickBot="1" x14ac:dyDescent="0.3">
      <c r="A49" s="12"/>
      <c r="B49" s="543"/>
      <c r="C49" s="117" t="s">
        <v>72</v>
      </c>
      <c r="D49" s="180">
        <v>102.5</v>
      </c>
      <c r="E49" s="86">
        <v>98.5</v>
      </c>
      <c r="F49" s="86">
        <v>158.4</v>
      </c>
      <c r="G49" s="86">
        <v>19.899999999999999</v>
      </c>
      <c r="H49" s="86">
        <v>22.7</v>
      </c>
      <c r="I49" s="86">
        <v>0</v>
      </c>
      <c r="J49" s="215">
        <v>201</v>
      </c>
    </row>
    <row r="50" spans="1:10" x14ac:dyDescent="0.25">
      <c r="A50" s="6"/>
      <c r="B50" s="497" t="s">
        <v>33</v>
      </c>
      <c r="C50" s="40" t="s">
        <v>33</v>
      </c>
      <c r="D50" s="181">
        <v>270.3</v>
      </c>
      <c r="E50" s="89">
        <v>93.7</v>
      </c>
      <c r="F50" s="89">
        <v>176.4</v>
      </c>
      <c r="G50" s="89">
        <v>120</v>
      </c>
      <c r="H50" s="89">
        <v>67.5</v>
      </c>
      <c r="I50" s="89">
        <v>0</v>
      </c>
      <c r="J50" s="218">
        <v>364</v>
      </c>
    </row>
    <row r="51" spans="1:10" s="10" customFormat="1" ht="15.75" thickBot="1" x14ac:dyDescent="0.3">
      <c r="A51" s="12"/>
      <c r="B51" s="543"/>
      <c r="C51" s="117" t="s">
        <v>72</v>
      </c>
      <c r="D51" s="180">
        <v>270.3</v>
      </c>
      <c r="E51" s="86">
        <v>93.7</v>
      </c>
      <c r="F51" s="86">
        <v>176.4</v>
      </c>
      <c r="G51" s="86">
        <v>120</v>
      </c>
      <c r="H51" s="86">
        <v>67.5</v>
      </c>
      <c r="I51" s="86">
        <v>0</v>
      </c>
      <c r="J51" s="215">
        <v>364</v>
      </c>
    </row>
    <row r="52" spans="1:10" x14ac:dyDescent="0.25">
      <c r="A52" s="6"/>
      <c r="B52" s="497" t="s">
        <v>34</v>
      </c>
      <c r="C52" s="40" t="s">
        <v>34</v>
      </c>
      <c r="D52" s="181">
        <v>229.4</v>
      </c>
      <c r="E52" s="89">
        <v>334</v>
      </c>
      <c r="F52" s="89">
        <v>435.5</v>
      </c>
      <c r="G52" s="89">
        <v>23.1</v>
      </c>
      <c r="H52" s="89">
        <v>104.8</v>
      </c>
      <c r="I52" s="89">
        <v>0</v>
      </c>
      <c r="J52" s="218">
        <v>563.4</v>
      </c>
    </row>
    <row r="53" spans="1:10" s="10" customFormat="1" ht="15.75" thickBot="1" x14ac:dyDescent="0.3">
      <c r="A53" s="12"/>
      <c r="B53" s="543"/>
      <c r="C53" s="117" t="s">
        <v>72</v>
      </c>
      <c r="D53" s="180">
        <v>229.4</v>
      </c>
      <c r="E53" s="86">
        <v>334</v>
      </c>
      <c r="F53" s="86">
        <v>435.5</v>
      </c>
      <c r="G53" s="86">
        <v>23.1</v>
      </c>
      <c r="H53" s="86">
        <v>104.8</v>
      </c>
      <c r="I53" s="86">
        <v>0</v>
      </c>
      <c r="J53" s="215">
        <v>563.4</v>
      </c>
    </row>
    <row r="54" spans="1:10" x14ac:dyDescent="0.25">
      <c r="A54" s="6"/>
      <c r="B54" s="497" t="s">
        <v>77</v>
      </c>
      <c r="C54" s="40" t="s">
        <v>30</v>
      </c>
      <c r="D54" s="181">
        <v>38.9</v>
      </c>
      <c r="E54" s="89">
        <v>209</v>
      </c>
      <c r="F54" s="89">
        <v>38.9</v>
      </c>
      <c r="G54" s="89">
        <v>0</v>
      </c>
      <c r="H54" s="89">
        <v>209</v>
      </c>
      <c r="I54" s="89">
        <v>0</v>
      </c>
      <c r="J54" s="218">
        <v>247.9</v>
      </c>
    </row>
    <row r="55" spans="1:10" s="10" customFormat="1" ht="15.75" thickBot="1" x14ac:dyDescent="0.3">
      <c r="A55" s="12"/>
      <c r="B55" s="543"/>
      <c r="C55" s="48" t="s">
        <v>72</v>
      </c>
      <c r="D55" s="217">
        <v>38.9</v>
      </c>
      <c r="E55" s="82">
        <v>209</v>
      </c>
      <c r="F55" s="82">
        <v>38.9</v>
      </c>
      <c r="G55" s="82">
        <v>0</v>
      </c>
      <c r="H55" s="82">
        <v>209</v>
      </c>
      <c r="I55" s="82">
        <v>0</v>
      </c>
      <c r="J55" s="216">
        <v>247.9</v>
      </c>
    </row>
    <row r="56" spans="1:10" x14ac:dyDescent="0.25">
      <c r="A56" s="6"/>
      <c r="B56" s="497" t="s">
        <v>31</v>
      </c>
      <c r="C56" s="32" t="s">
        <v>31</v>
      </c>
      <c r="D56" s="76">
        <v>87.9</v>
      </c>
      <c r="E56" s="77">
        <v>96.8</v>
      </c>
      <c r="F56" s="77">
        <v>129</v>
      </c>
      <c r="G56" s="77">
        <v>52.7</v>
      </c>
      <c r="H56" s="77">
        <v>0</v>
      </c>
      <c r="I56" s="77">
        <v>3</v>
      </c>
      <c r="J56" s="58">
        <v>184.7</v>
      </c>
    </row>
    <row r="57" spans="1:10" s="10" customFormat="1" ht="15.75" thickBot="1" x14ac:dyDescent="0.3">
      <c r="A57" s="12"/>
      <c r="B57" s="543"/>
      <c r="C57" s="117" t="s">
        <v>72</v>
      </c>
      <c r="D57" s="180">
        <v>87.9</v>
      </c>
      <c r="E57" s="86">
        <v>96.8</v>
      </c>
      <c r="F57" s="86">
        <v>129</v>
      </c>
      <c r="G57" s="86">
        <v>52.7</v>
      </c>
      <c r="H57" s="86">
        <v>0</v>
      </c>
      <c r="I57" s="86">
        <v>3</v>
      </c>
      <c r="J57" s="215">
        <v>184.7</v>
      </c>
    </row>
    <row r="58" spans="1:10" x14ac:dyDescent="0.25">
      <c r="A58" s="6"/>
      <c r="B58" s="497" t="s">
        <v>87</v>
      </c>
      <c r="C58" s="28" t="s">
        <v>14</v>
      </c>
      <c r="D58" s="73">
        <v>239.5</v>
      </c>
      <c r="E58" s="74">
        <v>52.2</v>
      </c>
      <c r="F58" s="74">
        <v>216.4</v>
      </c>
      <c r="G58" s="74">
        <v>66.400000000000006</v>
      </c>
      <c r="H58" s="74">
        <v>9</v>
      </c>
      <c r="I58" s="74">
        <v>0</v>
      </c>
      <c r="J58" s="53">
        <v>291.7</v>
      </c>
    </row>
    <row r="59" spans="1:10" x14ac:dyDescent="0.25">
      <c r="A59" s="6"/>
      <c r="B59" s="542"/>
      <c r="C59" s="119" t="s">
        <v>85</v>
      </c>
      <c r="D59" s="73">
        <v>134.19999999999999</v>
      </c>
      <c r="E59" s="74">
        <v>0</v>
      </c>
      <c r="F59" s="74">
        <v>80.3</v>
      </c>
      <c r="G59" s="74">
        <v>54</v>
      </c>
      <c r="H59" s="74">
        <v>0</v>
      </c>
      <c r="I59" s="74">
        <v>0</v>
      </c>
      <c r="J59" s="53">
        <v>134.19999999999999</v>
      </c>
    </row>
    <row r="60" spans="1:10" x14ac:dyDescent="0.25">
      <c r="A60" s="6"/>
      <c r="B60" s="542"/>
      <c r="C60" s="32" t="s">
        <v>15</v>
      </c>
      <c r="D60" s="76">
        <v>441.9</v>
      </c>
      <c r="E60" s="77">
        <v>334.4</v>
      </c>
      <c r="F60" s="77">
        <v>526.9</v>
      </c>
      <c r="G60" s="77">
        <v>91.9</v>
      </c>
      <c r="H60" s="77">
        <v>157.5</v>
      </c>
      <c r="I60" s="77">
        <v>0</v>
      </c>
      <c r="J60" s="214">
        <v>776.3</v>
      </c>
    </row>
    <row r="61" spans="1:10" s="10" customFormat="1" ht="15.75" thickBot="1" x14ac:dyDescent="0.3">
      <c r="A61" s="12"/>
      <c r="B61" s="543"/>
      <c r="C61" s="117" t="s">
        <v>72</v>
      </c>
      <c r="D61" s="180">
        <v>815.59999999999991</v>
      </c>
      <c r="E61" s="86">
        <v>386.59999999999997</v>
      </c>
      <c r="F61" s="86">
        <v>823.59999999999991</v>
      </c>
      <c r="G61" s="86">
        <v>212.3</v>
      </c>
      <c r="H61" s="86">
        <v>166.5</v>
      </c>
      <c r="I61" s="86">
        <v>0</v>
      </c>
      <c r="J61" s="215">
        <v>1202.1999999999998</v>
      </c>
    </row>
    <row r="62" spans="1:10" ht="15.75" thickBot="1" x14ac:dyDescent="0.3">
      <c r="A62" s="6"/>
      <c r="B62" s="568" t="s">
        <v>48</v>
      </c>
      <c r="C62" s="569"/>
      <c r="D62" s="222">
        <v>20772.900000000001</v>
      </c>
      <c r="E62" s="223">
        <v>17881.899999999998</v>
      </c>
      <c r="F62" s="223">
        <v>28015.000000000007</v>
      </c>
      <c r="G62" s="223">
        <v>8060</v>
      </c>
      <c r="H62" s="223">
        <v>1948.4</v>
      </c>
      <c r="I62" s="223">
        <v>631.4</v>
      </c>
      <c r="J62" s="222">
        <v>38654.799999999996</v>
      </c>
    </row>
    <row r="63" spans="1:10" ht="15.75" thickBot="1" x14ac:dyDescent="0.3">
      <c r="A63" s="6"/>
      <c r="B63" s="570" t="s">
        <v>88</v>
      </c>
      <c r="C63" s="571"/>
      <c r="D63" s="224"/>
      <c r="E63" s="224"/>
      <c r="F63" s="225">
        <v>53732.9</v>
      </c>
      <c r="G63" s="225">
        <v>19720.5</v>
      </c>
      <c r="H63" s="225">
        <v>17524.7</v>
      </c>
      <c r="I63" s="225">
        <v>10539.9</v>
      </c>
      <c r="J63" s="226">
        <v>101517.99999999999</v>
      </c>
    </row>
    <row r="64" spans="1:10" ht="15.75" thickBot="1" x14ac:dyDescent="0.3">
      <c r="A64" s="6"/>
      <c r="B64" s="570" t="s">
        <v>68</v>
      </c>
      <c r="C64" s="571"/>
      <c r="D64" s="227"/>
      <c r="E64" s="228"/>
      <c r="F64" s="229">
        <v>2890.9</v>
      </c>
      <c r="G64" s="229">
        <v>5162.3</v>
      </c>
      <c r="H64" s="229">
        <v>245.6</v>
      </c>
      <c r="I64" s="229">
        <v>44.3</v>
      </c>
      <c r="J64" s="230">
        <v>8343.1</v>
      </c>
    </row>
    <row r="65" spans="2:10" ht="15.75" thickBot="1" x14ac:dyDescent="0.3">
      <c r="B65" s="572" t="s">
        <v>35</v>
      </c>
      <c r="C65" s="569"/>
      <c r="D65" s="51"/>
      <c r="E65" s="51"/>
      <c r="F65" s="61">
        <v>84638.8</v>
      </c>
      <c r="G65" s="61">
        <v>32942.800000000003</v>
      </c>
      <c r="H65" s="61">
        <v>19718.7</v>
      </c>
      <c r="I65" s="61">
        <v>11215.599999999999</v>
      </c>
      <c r="J65" s="220">
        <v>148515.9</v>
      </c>
    </row>
    <row r="66" spans="2:10" x14ac:dyDescent="0.25">
      <c r="B66" s="62"/>
      <c r="C66" s="62"/>
      <c r="D66" s="63"/>
      <c r="E66" s="63"/>
      <c r="F66" s="63"/>
      <c r="G66" s="63"/>
      <c r="H66" s="63"/>
      <c r="I66" s="63"/>
      <c r="J66" s="63"/>
    </row>
    <row r="67" spans="2:10" x14ac:dyDescent="0.25">
      <c r="B67" s="573" t="s">
        <v>89</v>
      </c>
      <c r="C67" s="573"/>
      <c r="D67" s="573"/>
      <c r="E67" s="573"/>
      <c r="F67" s="573"/>
      <c r="G67" s="573"/>
      <c r="H67" s="573"/>
      <c r="I67" s="573"/>
      <c r="J67" s="573"/>
    </row>
    <row r="68" spans="2:10" x14ac:dyDescent="0.25">
      <c r="B68" s="567" t="s">
        <v>86</v>
      </c>
      <c r="C68" s="567"/>
      <c r="D68" s="567"/>
      <c r="E68" s="567"/>
      <c r="F68" s="567"/>
      <c r="G68" s="567"/>
      <c r="H68" s="567"/>
      <c r="I68" s="567"/>
      <c r="J68" s="567"/>
    </row>
    <row r="69" spans="2:10" ht="15.75" x14ac:dyDescent="0.25">
      <c r="B69" s="488" t="s">
        <v>121</v>
      </c>
      <c r="C69" s="488"/>
      <c r="D69" s="488"/>
      <c r="E69" s="488"/>
      <c r="F69" s="488"/>
      <c r="G69" s="488"/>
      <c r="H69" s="488"/>
      <c r="I69" s="488"/>
      <c r="J69" s="488"/>
    </row>
    <row r="70" spans="2:10" x14ac:dyDescent="0.25">
      <c r="B70" s="1"/>
      <c r="C70" s="1"/>
      <c r="D70" s="1"/>
      <c r="E70" s="1"/>
      <c r="F70" s="1"/>
      <c r="G70" s="1"/>
      <c r="H70" s="1"/>
      <c r="I70" s="1"/>
      <c r="J70" s="1"/>
    </row>
  </sheetData>
  <mergeCells count="27">
    <mergeCell ref="B52:B53"/>
    <mergeCell ref="B54:B55"/>
    <mergeCell ref="B68:J68"/>
    <mergeCell ref="B69:J69"/>
    <mergeCell ref="B58:B61"/>
    <mergeCell ref="B62:C62"/>
    <mergeCell ref="B63:C63"/>
    <mergeCell ref="B64:C64"/>
    <mergeCell ref="B65:C65"/>
    <mergeCell ref="B67:J67"/>
    <mergeCell ref="B56:B57"/>
    <mergeCell ref="B43:B45"/>
    <mergeCell ref="B46:B47"/>
    <mergeCell ref="B48:B49"/>
    <mergeCell ref="B50:B51"/>
    <mergeCell ref="B8:B16"/>
    <mergeCell ref="B17:B20"/>
    <mergeCell ref="B21:B22"/>
    <mergeCell ref="B26:B31"/>
    <mergeCell ref="B32:B37"/>
    <mergeCell ref="B38:B42"/>
    <mergeCell ref="B23:B25"/>
    <mergeCell ref="B1:J3"/>
    <mergeCell ref="B5:J5"/>
    <mergeCell ref="B6:B7"/>
    <mergeCell ref="C6:C7"/>
    <mergeCell ref="D6:J6"/>
  </mergeCells>
  <pageMargins left="0.70866141732283472" right="0.70866141732283472" top="0.74803149606299213" bottom="0.74803149606299213" header="0.31496062992125984" footer="0.31496062992125984"/>
  <pageSetup paperSize="9" scale="60" orientation="portrait" r:id="rId1"/>
  <headerFooter>
    <oddHeader>&amp;L&amp;G&amp;RCAMPAÑA: 2024/2025. MES: SEPTIEMBRE
Fecha de emisión de datos: 07/05/2026</oddHead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1:R70"/>
  <sheetViews>
    <sheetView view="pageLayout" topLeftCell="B1" zoomScale="80" zoomScaleNormal="70" zoomScaleSheetLayoutView="100" zoomScalePageLayoutView="80" workbookViewId="0">
      <selection activeCell="E1" sqref="E1:R2"/>
    </sheetView>
  </sheetViews>
  <sheetFormatPr baseColWidth="10" defaultColWidth="11.42578125" defaultRowHeight="15" x14ac:dyDescent="0.25"/>
  <cols>
    <col min="4" max="4" width="10.140625" customWidth="1"/>
    <col min="5" max="5" width="27.140625" customWidth="1"/>
    <col min="6" max="6" width="21.85546875" bestFit="1" customWidth="1"/>
    <col min="7" max="7" width="11.85546875" bestFit="1" customWidth="1"/>
    <col min="8" max="8" width="14.28515625" bestFit="1" customWidth="1"/>
    <col min="9" max="9" width="13.7109375" bestFit="1" customWidth="1"/>
    <col min="10" max="11" width="11.5703125" bestFit="1" customWidth="1"/>
    <col min="17" max="17" width="11.42578125" style="2"/>
    <col min="18" max="18" width="15.7109375" bestFit="1" customWidth="1"/>
  </cols>
  <sheetData>
    <row r="1" spans="5:18" ht="14.25" customHeight="1" x14ac:dyDescent="0.25">
      <c r="E1" s="482" t="s">
        <v>144</v>
      </c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</row>
    <row r="2" spans="5:18" ht="11.25" customHeight="1" x14ac:dyDescent="0.25"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/>
    </row>
    <row r="3" spans="5:18" ht="21" customHeight="1" x14ac:dyDescent="0.25">
      <c r="E3" s="482" t="s">
        <v>145</v>
      </c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</row>
    <row r="4" spans="5:18" ht="8.25" customHeight="1" thickBot="1" x14ac:dyDescent="0.3"/>
    <row r="5" spans="5:18" ht="16.5" thickBot="1" x14ac:dyDescent="0.3">
      <c r="E5" s="561" t="s">
        <v>94</v>
      </c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  <c r="R5" s="563"/>
    </row>
    <row r="6" spans="5:18" ht="30.75" customHeight="1" thickBot="1" x14ac:dyDescent="0.3">
      <c r="E6" s="50" t="s">
        <v>54</v>
      </c>
      <c r="F6" s="268" t="s">
        <v>4</v>
      </c>
      <c r="G6" s="126" t="s">
        <v>39</v>
      </c>
      <c r="H6" s="268" t="s">
        <v>40</v>
      </c>
      <c r="I6" s="268" t="s">
        <v>41</v>
      </c>
      <c r="J6" s="268" t="s">
        <v>42</v>
      </c>
      <c r="K6" s="268" t="s">
        <v>43</v>
      </c>
      <c r="L6" s="268" t="s">
        <v>44</v>
      </c>
      <c r="M6" s="268" t="s">
        <v>45</v>
      </c>
      <c r="N6" s="268" t="s">
        <v>46</v>
      </c>
      <c r="O6" s="268" t="s">
        <v>55</v>
      </c>
      <c r="P6" s="263" t="s">
        <v>56</v>
      </c>
      <c r="Q6" s="268" t="s">
        <v>57</v>
      </c>
      <c r="R6" s="268" t="s">
        <v>58</v>
      </c>
    </row>
    <row r="7" spans="5:18" x14ac:dyDescent="0.25">
      <c r="E7" s="476" t="s">
        <v>74</v>
      </c>
      <c r="F7" s="28" t="s">
        <v>80</v>
      </c>
      <c r="G7" s="71">
        <v>81.400000000000006</v>
      </c>
      <c r="H7" s="46">
        <v>90.8</v>
      </c>
      <c r="I7" s="46">
        <v>219.6</v>
      </c>
      <c r="J7" s="46">
        <v>276.5</v>
      </c>
      <c r="K7" s="46">
        <v>329</v>
      </c>
      <c r="L7" s="46">
        <v>311.10000000000002</v>
      </c>
      <c r="M7" s="46">
        <v>268.5</v>
      </c>
      <c r="N7" s="46">
        <v>268.10000000000002</v>
      </c>
      <c r="O7" s="46">
        <v>217.9</v>
      </c>
      <c r="P7" s="46">
        <v>231.2</v>
      </c>
      <c r="Q7" s="129">
        <v>174.8</v>
      </c>
      <c r="R7" s="174">
        <v>101.7</v>
      </c>
    </row>
    <row r="8" spans="5:18" x14ac:dyDescent="0.25">
      <c r="E8" s="548"/>
      <c r="F8" s="119" t="s">
        <v>81</v>
      </c>
      <c r="G8" s="73">
        <v>142.9</v>
      </c>
      <c r="H8" s="37">
        <v>370.1</v>
      </c>
      <c r="I8" s="37">
        <v>377.3</v>
      </c>
      <c r="J8" s="37">
        <v>283</v>
      </c>
      <c r="K8" s="37">
        <v>289</v>
      </c>
      <c r="L8" s="37">
        <v>214.5</v>
      </c>
      <c r="M8" s="37">
        <v>173.4</v>
      </c>
      <c r="N8" s="37">
        <v>167.5</v>
      </c>
      <c r="O8" s="37">
        <v>166</v>
      </c>
      <c r="P8" s="37">
        <v>130.4</v>
      </c>
      <c r="Q8" s="129">
        <v>93.9</v>
      </c>
      <c r="R8" s="45">
        <v>84.5</v>
      </c>
    </row>
    <row r="9" spans="5:18" x14ac:dyDescent="0.25">
      <c r="E9" s="548"/>
      <c r="F9" s="119" t="s">
        <v>82</v>
      </c>
      <c r="G9" s="73">
        <v>3616.5</v>
      </c>
      <c r="H9" s="37">
        <v>4146.7</v>
      </c>
      <c r="I9" s="37">
        <v>5855</v>
      </c>
      <c r="J9" s="37">
        <v>8220</v>
      </c>
      <c r="K9" s="37">
        <v>10292.799999999999</v>
      </c>
      <c r="L9" s="37">
        <v>14208.8</v>
      </c>
      <c r="M9" s="37">
        <v>14150.5</v>
      </c>
      <c r="N9" s="37">
        <v>13014.8</v>
      </c>
      <c r="O9" s="37">
        <v>12793.5</v>
      </c>
      <c r="P9" s="37">
        <v>14844.8</v>
      </c>
      <c r="Q9" s="129">
        <v>10977.4</v>
      </c>
      <c r="R9" s="45">
        <v>10545</v>
      </c>
    </row>
    <row r="10" spans="5:18" x14ac:dyDescent="0.25">
      <c r="E10" s="548"/>
      <c r="F10" s="119" t="s">
        <v>6</v>
      </c>
      <c r="G10" s="73">
        <v>706.1</v>
      </c>
      <c r="H10" s="37">
        <v>1964.2</v>
      </c>
      <c r="I10" s="37">
        <v>6315.8</v>
      </c>
      <c r="J10" s="37">
        <v>8721.7999999999993</v>
      </c>
      <c r="K10" s="37">
        <v>9107</v>
      </c>
      <c r="L10" s="37">
        <v>7935.2</v>
      </c>
      <c r="M10" s="37">
        <v>6739.7</v>
      </c>
      <c r="N10" s="37">
        <v>5814.1</v>
      </c>
      <c r="O10" s="37">
        <v>4450.3</v>
      </c>
      <c r="P10" s="37">
        <v>3524.7</v>
      </c>
      <c r="Q10" s="129">
        <v>2461.4</v>
      </c>
      <c r="R10" s="45">
        <v>2266.6</v>
      </c>
    </row>
    <row r="11" spans="5:18" x14ac:dyDescent="0.25">
      <c r="E11" s="548"/>
      <c r="F11" s="119" t="s">
        <v>7</v>
      </c>
      <c r="G11" s="73">
        <v>229.6</v>
      </c>
      <c r="H11" s="37">
        <v>543.5</v>
      </c>
      <c r="I11" s="37">
        <v>517.70000000000005</v>
      </c>
      <c r="J11" s="37">
        <v>574.79999999999995</v>
      </c>
      <c r="K11" s="37">
        <v>533.5</v>
      </c>
      <c r="L11" s="37">
        <v>525.29999999999995</v>
      </c>
      <c r="M11" s="37">
        <v>459.3</v>
      </c>
      <c r="N11" s="37">
        <v>403.6</v>
      </c>
      <c r="O11" s="37">
        <v>352.5</v>
      </c>
      <c r="P11" s="37">
        <v>272.39999999999998</v>
      </c>
      <c r="Q11" s="129">
        <v>162</v>
      </c>
      <c r="R11" s="45">
        <v>137.1</v>
      </c>
    </row>
    <row r="12" spans="5:18" x14ac:dyDescent="0.25">
      <c r="E12" s="548"/>
      <c r="F12" s="119" t="s">
        <v>83</v>
      </c>
      <c r="G12" s="73">
        <v>5673.8</v>
      </c>
      <c r="H12" s="37">
        <v>6785.3</v>
      </c>
      <c r="I12" s="37">
        <v>9110.2999999999993</v>
      </c>
      <c r="J12" s="37">
        <v>11142.5</v>
      </c>
      <c r="K12" s="37">
        <v>13095.6</v>
      </c>
      <c r="L12" s="37">
        <v>11950.5</v>
      </c>
      <c r="M12" s="37">
        <v>12437.5</v>
      </c>
      <c r="N12" s="37">
        <v>13209.5</v>
      </c>
      <c r="O12" s="37">
        <v>13803.3</v>
      </c>
      <c r="P12" s="37">
        <v>13720.3</v>
      </c>
      <c r="Q12" s="129">
        <v>11612.8</v>
      </c>
      <c r="R12" s="45">
        <v>10048.299999999999</v>
      </c>
    </row>
    <row r="13" spans="5:18" x14ac:dyDescent="0.25">
      <c r="E13" s="548"/>
      <c r="F13" s="119" t="s">
        <v>84</v>
      </c>
      <c r="G13" s="73">
        <v>1389.1</v>
      </c>
      <c r="H13" s="37">
        <v>1222.0999999999999</v>
      </c>
      <c r="I13" s="37">
        <v>859</v>
      </c>
      <c r="J13" s="37">
        <v>1410.9</v>
      </c>
      <c r="K13" s="37">
        <v>1874.2</v>
      </c>
      <c r="L13" s="37">
        <v>1816.1</v>
      </c>
      <c r="M13" s="37">
        <v>1344.8</v>
      </c>
      <c r="N13" s="37">
        <v>1430.7</v>
      </c>
      <c r="O13" s="37">
        <v>1173.0999999999999</v>
      </c>
      <c r="P13" s="37">
        <v>1209.8</v>
      </c>
      <c r="Q13" s="129">
        <v>1342.2</v>
      </c>
      <c r="R13" s="45">
        <v>1675.6</v>
      </c>
    </row>
    <row r="14" spans="5:18" x14ac:dyDescent="0.25">
      <c r="E14" s="548"/>
      <c r="F14" s="32" t="s">
        <v>8</v>
      </c>
      <c r="G14" s="76">
        <v>1064.5</v>
      </c>
      <c r="H14" s="38">
        <v>1333.1</v>
      </c>
      <c r="I14" s="38">
        <v>1687.5</v>
      </c>
      <c r="J14" s="38">
        <v>2684</v>
      </c>
      <c r="K14" s="38">
        <v>2615.8000000000002</v>
      </c>
      <c r="L14" s="38">
        <v>3053.2</v>
      </c>
      <c r="M14" s="38">
        <v>2669.2</v>
      </c>
      <c r="N14" s="38">
        <v>2828.8</v>
      </c>
      <c r="O14" s="38">
        <v>2826.5</v>
      </c>
      <c r="P14" s="38">
        <v>2746.8</v>
      </c>
      <c r="Q14" s="130">
        <v>2405.6999999999998</v>
      </c>
      <c r="R14" s="44">
        <v>2173.3000000000002</v>
      </c>
    </row>
    <row r="15" spans="5:18" s="10" customFormat="1" ht="15.75" thickBot="1" x14ac:dyDescent="0.3">
      <c r="E15" s="521"/>
      <c r="F15" s="117" t="s">
        <v>72</v>
      </c>
      <c r="G15" s="180">
        <v>12903.900000000001</v>
      </c>
      <c r="H15" s="110">
        <v>16455.8</v>
      </c>
      <c r="I15" s="110">
        <v>24942.2</v>
      </c>
      <c r="J15" s="110">
        <v>33313.5</v>
      </c>
      <c r="K15" s="110">
        <v>38136.9</v>
      </c>
      <c r="L15" s="110">
        <v>40014.69999999999</v>
      </c>
      <c r="M15" s="110">
        <v>38242.899999999994</v>
      </c>
      <c r="N15" s="110">
        <v>37137.1</v>
      </c>
      <c r="O15" s="110">
        <v>35783.1</v>
      </c>
      <c r="P15" s="110">
        <v>36680.400000000001</v>
      </c>
      <c r="Q15" s="131">
        <v>29230.2</v>
      </c>
      <c r="R15" s="118">
        <v>27032.1</v>
      </c>
    </row>
    <row r="16" spans="5:18" x14ac:dyDescent="0.25">
      <c r="E16" s="476" t="s">
        <v>75</v>
      </c>
      <c r="F16" s="119" t="s">
        <v>10</v>
      </c>
      <c r="G16" s="73">
        <v>135.6</v>
      </c>
      <c r="H16" s="37">
        <v>267.10000000000002</v>
      </c>
      <c r="I16" s="37">
        <v>345.9</v>
      </c>
      <c r="J16" s="37">
        <v>396.9</v>
      </c>
      <c r="K16" s="37">
        <v>460</v>
      </c>
      <c r="L16" s="37">
        <v>415.6</v>
      </c>
      <c r="M16" s="37">
        <v>349.3</v>
      </c>
      <c r="N16" s="37">
        <v>318.60000000000002</v>
      </c>
      <c r="O16" s="37">
        <v>285.2</v>
      </c>
      <c r="P16" s="37">
        <v>277.10000000000002</v>
      </c>
      <c r="Q16" s="129">
        <v>235.8</v>
      </c>
      <c r="R16" s="45">
        <v>224.1</v>
      </c>
    </row>
    <row r="17" spans="4:18" x14ac:dyDescent="0.25">
      <c r="E17" s="548"/>
      <c r="F17" s="119" t="s">
        <v>11</v>
      </c>
      <c r="G17" s="73">
        <v>80</v>
      </c>
      <c r="H17" s="37">
        <v>78.3</v>
      </c>
      <c r="I17" s="37">
        <v>154.4</v>
      </c>
      <c r="J17" s="37">
        <v>213.3</v>
      </c>
      <c r="K17" s="37">
        <v>218.5</v>
      </c>
      <c r="L17" s="37">
        <v>186.8</v>
      </c>
      <c r="M17" s="37">
        <v>145.69999999999999</v>
      </c>
      <c r="N17" s="37">
        <v>149.69999999999999</v>
      </c>
      <c r="O17" s="37">
        <v>128.19999999999999</v>
      </c>
      <c r="P17" s="37">
        <v>105.3</v>
      </c>
      <c r="Q17" s="129">
        <v>78.099999999999994</v>
      </c>
      <c r="R17" s="45">
        <v>69.2</v>
      </c>
    </row>
    <row r="18" spans="4:18" x14ac:dyDescent="0.25">
      <c r="E18" s="548"/>
      <c r="F18" s="32" t="s">
        <v>12</v>
      </c>
      <c r="G18" s="76">
        <v>172.7</v>
      </c>
      <c r="H18" s="38">
        <v>306.7</v>
      </c>
      <c r="I18" s="38">
        <v>454.6</v>
      </c>
      <c r="J18" s="38">
        <v>624.79999999999995</v>
      </c>
      <c r="K18" s="38">
        <v>531.29999999999995</v>
      </c>
      <c r="L18" s="38">
        <v>499</v>
      </c>
      <c r="M18" s="38">
        <v>490</v>
      </c>
      <c r="N18" s="38">
        <v>487.4</v>
      </c>
      <c r="O18" s="38">
        <v>453</v>
      </c>
      <c r="P18" s="38">
        <v>437.3</v>
      </c>
      <c r="Q18" s="130">
        <v>278.8</v>
      </c>
      <c r="R18" s="44">
        <v>205.8</v>
      </c>
    </row>
    <row r="19" spans="4:18" s="10" customFormat="1" ht="15.75" thickBot="1" x14ac:dyDescent="0.3">
      <c r="E19" s="521"/>
      <c r="F19" s="117" t="s">
        <v>72</v>
      </c>
      <c r="G19" s="180">
        <v>388.29999999999995</v>
      </c>
      <c r="H19" s="110">
        <v>652.1</v>
      </c>
      <c r="I19" s="110">
        <v>954.9</v>
      </c>
      <c r="J19" s="110">
        <v>1235</v>
      </c>
      <c r="K19" s="110">
        <v>1209.8</v>
      </c>
      <c r="L19" s="110">
        <v>1101.4000000000001</v>
      </c>
      <c r="M19" s="110">
        <v>985</v>
      </c>
      <c r="N19" s="110">
        <v>955.7</v>
      </c>
      <c r="O19" s="110">
        <v>866.4</v>
      </c>
      <c r="P19" s="110">
        <v>819.7</v>
      </c>
      <c r="Q19" s="131">
        <v>592.70000000000005</v>
      </c>
      <c r="R19" s="118">
        <v>499.1</v>
      </c>
    </row>
    <row r="20" spans="4:18" x14ac:dyDescent="0.25">
      <c r="E20" s="476" t="s">
        <v>13</v>
      </c>
      <c r="F20" s="40" t="s">
        <v>13</v>
      </c>
      <c r="G20" s="181">
        <v>176.8</v>
      </c>
      <c r="H20" s="42">
        <v>193.1</v>
      </c>
      <c r="I20" s="42">
        <v>195.2</v>
      </c>
      <c r="J20" s="42">
        <v>210.7</v>
      </c>
      <c r="K20" s="42">
        <v>285.39999999999998</v>
      </c>
      <c r="L20" s="42">
        <v>259.5</v>
      </c>
      <c r="M20" s="42">
        <v>193.4</v>
      </c>
      <c r="N20" s="42">
        <v>243.3</v>
      </c>
      <c r="O20" s="42">
        <v>223.3</v>
      </c>
      <c r="P20" s="42">
        <v>246</v>
      </c>
      <c r="Q20" s="132">
        <v>185.4</v>
      </c>
      <c r="R20" s="47">
        <v>146.30000000000001</v>
      </c>
    </row>
    <row r="21" spans="4:18" s="10" customFormat="1" ht="15.75" thickBot="1" x14ac:dyDescent="0.3">
      <c r="E21" s="521"/>
      <c r="F21" s="117" t="s">
        <v>72</v>
      </c>
      <c r="G21" s="180">
        <v>176.8</v>
      </c>
      <c r="H21" s="110">
        <v>193.1</v>
      </c>
      <c r="I21" s="110">
        <v>195.2</v>
      </c>
      <c r="J21" s="110">
        <v>210.7</v>
      </c>
      <c r="K21" s="110">
        <v>285.39999999999998</v>
      </c>
      <c r="L21" s="110">
        <v>259.5</v>
      </c>
      <c r="M21" s="110">
        <v>193.4</v>
      </c>
      <c r="N21" s="110">
        <v>243.3</v>
      </c>
      <c r="O21" s="110">
        <v>223.3</v>
      </c>
      <c r="P21" s="110">
        <v>246</v>
      </c>
      <c r="Q21" s="131">
        <v>185.4</v>
      </c>
      <c r="R21" s="118">
        <v>146.30000000000001</v>
      </c>
    </row>
    <row r="22" spans="4:18" s="10" customFormat="1" x14ac:dyDescent="0.25">
      <c r="E22" s="476" t="s">
        <v>153</v>
      </c>
      <c r="F22" s="119" t="s">
        <v>154</v>
      </c>
      <c r="G22" s="73">
        <v>0</v>
      </c>
      <c r="H22" s="37">
        <v>0</v>
      </c>
      <c r="I22" s="37">
        <v>0</v>
      </c>
      <c r="J22" s="129">
        <v>0</v>
      </c>
      <c r="K22" s="37">
        <v>0</v>
      </c>
      <c r="L22" s="37">
        <v>0</v>
      </c>
      <c r="M22" s="37">
        <v>0</v>
      </c>
      <c r="N22" s="29">
        <v>0</v>
      </c>
      <c r="O22" s="29">
        <v>0</v>
      </c>
      <c r="P22" s="29">
        <v>0</v>
      </c>
      <c r="Q22" s="129">
        <v>0.5</v>
      </c>
      <c r="R22" s="45">
        <v>1</v>
      </c>
    </row>
    <row r="23" spans="4:18" s="10" customFormat="1" x14ac:dyDescent="0.25">
      <c r="E23" s="548"/>
      <c r="F23" s="32" t="s">
        <v>155</v>
      </c>
      <c r="G23" s="76">
        <v>3.6</v>
      </c>
      <c r="H23" s="38">
        <v>2.8</v>
      </c>
      <c r="I23" s="38">
        <v>2</v>
      </c>
      <c r="J23" s="130">
        <v>1.5</v>
      </c>
      <c r="K23" s="38">
        <v>1.3</v>
      </c>
      <c r="L23" s="38">
        <v>0.7</v>
      </c>
      <c r="M23" s="38">
        <v>0.7</v>
      </c>
      <c r="N23" s="33">
        <v>0.6</v>
      </c>
      <c r="O23" s="33">
        <v>0.5</v>
      </c>
      <c r="P23" s="33">
        <v>0.5</v>
      </c>
      <c r="Q23" s="130">
        <v>0.4</v>
      </c>
      <c r="R23" s="44">
        <v>0.4</v>
      </c>
    </row>
    <row r="24" spans="4:18" s="10" customFormat="1" ht="15.75" thickBot="1" x14ac:dyDescent="0.3">
      <c r="E24" s="521"/>
      <c r="F24" s="117" t="s">
        <v>72</v>
      </c>
      <c r="G24" s="180">
        <v>3.6</v>
      </c>
      <c r="H24" s="110">
        <v>2.8</v>
      </c>
      <c r="I24" s="110">
        <v>2</v>
      </c>
      <c r="J24" s="110">
        <v>1.5</v>
      </c>
      <c r="K24" s="110">
        <v>1.3</v>
      </c>
      <c r="L24" s="110">
        <v>0.7</v>
      </c>
      <c r="M24" s="110">
        <v>0.7</v>
      </c>
      <c r="N24" s="110">
        <v>0.6</v>
      </c>
      <c r="O24" s="110">
        <v>0.5</v>
      </c>
      <c r="P24" s="110">
        <v>0.5</v>
      </c>
      <c r="Q24" s="131">
        <v>0.9</v>
      </c>
      <c r="R24" s="118">
        <v>1.4</v>
      </c>
    </row>
    <row r="25" spans="4:18" x14ac:dyDescent="0.25">
      <c r="D25" s="6"/>
      <c r="E25" s="497" t="s">
        <v>73</v>
      </c>
      <c r="F25" s="119" t="s">
        <v>16</v>
      </c>
      <c r="G25" s="73">
        <v>142.6</v>
      </c>
      <c r="H25" s="37">
        <v>162.6</v>
      </c>
      <c r="I25" s="37">
        <v>246.4</v>
      </c>
      <c r="J25" s="37">
        <v>485.5</v>
      </c>
      <c r="K25" s="37">
        <v>515.4</v>
      </c>
      <c r="L25" s="37">
        <v>429.1</v>
      </c>
      <c r="M25" s="37">
        <v>313.89999999999998</v>
      </c>
      <c r="N25" s="37">
        <v>377.9</v>
      </c>
      <c r="O25" s="37">
        <v>335.6</v>
      </c>
      <c r="P25" s="37">
        <v>314.10000000000002</v>
      </c>
      <c r="Q25" s="129">
        <v>277.2</v>
      </c>
      <c r="R25" s="45">
        <v>251</v>
      </c>
    </row>
    <row r="26" spans="4:18" x14ac:dyDescent="0.25">
      <c r="D26" s="6"/>
      <c r="E26" s="498"/>
      <c r="F26" s="119" t="s">
        <v>17</v>
      </c>
      <c r="G26" s="73">
        <v>1067.4000000000001</v>
      </c>
      <c r="H26" s="37">
        <v>1104.2</v>
      </c>
      <c r="I26" s="37">
        <v>1892.1</v>
      </c>
      <c r="J26" s="37">
        <v>2401.6</v>
      </c>
      <c r="K26" s="37">
        <v>3186.3</v>
      </c>
      <c r="L26" s="37">
        <v>3233.9</v>
      </c>
      <c r="M26" s="37">
        <v>2804.2</v>
      </c>
      <c r="N26" s="37">
        <v>3346</v>
      </c>
      <c r="O26" s="37">
        <v>3518.5</v>
      </c>
      <c r="P26" s="37">
        <v>3213.1</v>
      </c>
      <c r="Q26" s="129">
        <v>2889.4</v>
      </c>
      <c r="R26" s="45">
        <v>2669.6</v>
      </c>
    </row>
    <row r="27" spans="4:18" x14ac:dyDescent="0.25">
      <c r="D27" s="6"/>
      <c r="E27" s="498"/>
      <c r="F27" s="119" t="s">
        <v>18</v>
      </c>
      <c r="G27" s="73">
        <v>74.5</v>
      </c>
      <c r="H27" s="37">
        <v>74</v>
      </c>
      <c r="I27" s="37">
        <v>89.1</v>
      </c>
      <c r="J27" s="37">
        <v>211.4</v>
      </c>
      <c r="K27" s="37">
        <v>274.89999999999998</v>
      </c>
      <c r="L27" s="37">
        <v>266.8</v>
      </c>
      <c r="M27" s="37">
        <v>208.6</v>
      </c>
      <c r="N27" s="37">
        <v>189</v>
      </c>
      <c r="O27" s="37">
        <v>169.6</v>
      </c>
      <c r="P27" s="37">
        <v>175.7</v>
      </c>
      <c r="Q27" s="129">
        <v>127.9</v>
      </c>
      <c r="R27" s="45">
        <v>103.8</v>
      </c>
    </row>
    <row r="28" spans="4:18" x14ac:dyDescent="0.25">
      <c r="D28" s="6"/>
      <c r="E28" s="498"/>
      <c r="F28" s="119" t="s">
        <v>50</v>
      </c>
      <c r="G28" s="73">
        <v>19.8</v>
      </c>
      <c r="H28" s="37">
        <v>19.7</v>
      </c>
      <c r="I28" s="37">
        <v>60.9</v>
      </c>
      <c r="J28" s="37">
        <v>68.8</v>
      </c>
      <c r="K28" s="37">
        <v>96.3</v>
      </c>
      <c r="L28" s="37">
        <v>75.099999999999994</v>
      </c>
      <c r="M28" s="37">
        <v>59.4</v>
      </c>
      <c r="N28" s="37">
        <v>41.7</v>
      </c>
      <c r="O28" s="37">
        <v>60.2</v>
      </c>
      <c r="P28" s="37">
        <v>67.400000000000006</v>
      </c>
      <c r="Q28" s="129">
        <v>39.6</v>
      </c>
      <c r="R28" s="45">
        <v>53</v>
      </c>
    </row>
    <row r="29" spans="4:18" x14ac:dyDescent="0.25">
      <c r="D29" s="6"/>
      <c r="E29" s="498"/>
      <c r="F29" s="32" t="s">
        <v>19</v>
      </c>
      <c r="G29" s="76">
        <v>990.7</v>
      </c>
      <c r="H29" s="38">
        <v>1200</v>
      </c>
      <c r="I29" s="38">
        <v>1729.6</v>
      </c>
      <c r="J29" s="38">
        <v>2499.9</v>
      </c>
      <c r="K29" s="38">
        <v>3275.9</v>
      </c>
      <c r="L29" s="38">
        <v>3680.2</v>
      </c>
      <c r="M29" s="38">
        <v>2935.1</v>
      </c>
      <c r="N29" s="38">
        <v>2575.1999999999998</v>
      </c>
      <c r="O29" s="38">
        <v>2495</v>
      </c>
      <c r="P29" s="38">
        <v>1995.5</v>
      </c>
      <c r="Q29" s="130">
        <v>1834.1</v>
      </c>
      <c r="R29" s="44">
        <v>1677.9</v>
      </c>
    </row>
    <row r="30" spans="4:18" s="10" customFormat="1" ht="15.75" thickBot="1" x14ac:dyDescent="0.3">
      <c r="D30" s="12"/>
      <c r="E30" s="499"/>
      <c r="F30" s="117" t="s">
        <v>72</v>
      </c>
      <c r="G30" s="180">
        <v>2295</v>
      </c>
      <c r="H30" s="110">
        <v>2560.5</v>
      </c>
      <c r="I30" s="110">
        <v>4018.1</v>
      </c>
      <c r="J30" s="110">
        <v>5667.2000000000007</v>
      </c>
      <c r="K30" s="110">
        <v>7348.8000000000011</v>
      </c>
      <c r="L30" s="110">
        <v>7685.1</v>
      </c>
      <c r="M30" s="110">
        <v>6321.2</v>
      </c>
      <c r="N30" s="110">
        <v>6529.7999999999993</v>
      </c>
      <c r="O30" s="110">
        <v>6578.9</v>
      </c>
      <c r="P30" s="110">
        <v>5765.7999999999993</v>
      </c>
      <c r="Q30" s="131">
        <v>5168.2</v>
      </c>
      <c r="R30" s="118">
        <v>4755.3</v>
      </c>
    </row>
    <row r="31" spans="4:18" x14ac:dyDescent="0.25">
      <c r="D31" s="6"/>
      <c r="E31" s="497" t="s">
        <v>76</v>
      </c>
      <c r="F31" s="119" t="s">
        <v>78</v>
      </c>
      <c r="G31" s="73">
        <v>0.5</v>
      </c>
      <c r="H31" s="37">
        <v>3.6</v>
      </c>
      <c r="I31" s="37">
        <v>54.4</v>
      </c>
      <c r="J31" s="37">
        <v>70.599999999999994</v>
      </c>
      <c r="K31" s="37">
        <v>22.9</v>
      </c>
      <c r="L31" s="37">
        <v>22.6</v>
      </c>
      <c r="M31" s="37">
        <v>17.8</v>
      </c>
      <c r="N31" s="37">
        <v>13.6</v>
      </c>
      <c r="O31" s="37">
        <v>16.399999999999999</v>
      </c>
      <c r="P31" s="37">
        <v>13.2</v>
      </c>
      <c r="Q31" s="129">
        <v>8.4</v>
      </c>
      <c r="R31" s="45">
        <v>4.9000000000000004</v>
      </c>
    </row>
    <row r="32" spans="4:18" x14ac:dyDescent="0.25">
      <c r="D32" s="6"/>
      <c r="E32" s="542"/>
      <c r="F32" s="119" t="s">
        <v>156</v>
      </c>
      <c r="G32" s="73">
        <v>0</v>
      </c>
      <c r="H32" s="37">
        <v>0</v>
      </c>
      <c r="I32" s="37">
        <v>0</v>
      </c>
      <c r="J32" s="37">
        <v>1.8</v>
      </c>
      <c r="K32" s="37">
        <v>1.8</v>
      </c>
      <c r="L32" s="37">
        <v>1.8</v>
      </c>
      <c r="M32" s="37">
        <v>1.6</v>
      </c>
      <c r="N32" s="37">
        <v>1.6</v>
      </c>
      <c r="O32" s="37">
        <v>1.4</v>
      </c>
      <c r="P32" s="37">
        <v>1.4</v>
      </c>
      <c r="Q32" s="129">
        <v>1.2</v>
      </c>
      <c r="R32" s="45">
        <v>0.8</v>
      </c>
    </row>
    <row r="33" spans="4:18" x14ac:dyDescent="0.25">
      <c r="D33" s="6"/>
      <c r="E33" s="498"/>
      <c r="F33" s="119" t="s">
        <v>20</v>
      </c>
      <c r="G33" s="73">
        <v>1</v>
      </c>
      <c r="H33" s="37">
        <v>4.7</v>
      </c>
      <c r="I33" s="37">
        <v>31.5</v>
      </c>
      <c r="J33" s="37">
        <v>96.4</v>
      </c>
      <c r="K33" s="37">
        <v>31.3</v>
      </c>
      <c r="L33" s="37">
        <v>31.1</v>
      </c>
      <c r="M33" s="37">
        <v>31.2</v>
      </c>
      <c r="N33" s="37">
        <v>31</v>
      </c>
      <c r="O33" s="37">
        <v>1.8</v>
      </c>
      <c r="P33" s="37">
        <v>1.6</v>
      </c>
      <c r="Q33" s="129">
        <v>0.9</v>
      </c>
      <c r="R33" s="45">
        <v>0.3</v>
      </c>
    </row>
    <row r="34" spans="4:18" x14ac:dyDescent="0.25">
      <c r="D34" s="6"/>
      <c r="E34" s="498"/>
      <c r="F34" s="119" t="s">
        <v>151</v>
      </c>
      <c r="G34" s="73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129">
        <v>0</v>
      </c>
      <c r="R34" s="45">
        <v>0</v>
      </c>
    </row>
    <row r="35" spans="4:18" x14ac:dyDescent="0.25">
      <c r="D35" s="6"/>
      <c r="E35" s="498"/>
      <c r="F35" s="32" t="s">
        <v>21</v>
      </c>
      <c r="G35" s="76">
        <v>65.900000000000006</v>
      </c>
      <c r="H35" s="38">
        <v>59.9</v>
      </c>
      <c r="I35" s="38">
        <v>82.2</v>
      </c>
      <c r="J35" s="38">
        <v>89.7</v>
      </c>
      <c r="K35" s="38">
        <v>77.400000000000006</v>
      </c>
      <c r="L35" s="38">
        <v>76.8</v>
      </c>
      <c r="M35" s="38">
        <v>76.900000000000006</v>
      </c>
      <c r="N35" s="38">
        <v>70.7</v>
      </c>
      <c r="O35" s="38">
        <v>70.3</v>
      </c>
      <c r="P35" s="38">
        <v>92.2</v>
      </c>
      <c r="Q35" s="130">
        <v>89.9</v>
      </c>
      <c r="R35" s="44">
        <v>92.8</v>
      </c>
    </row>
    <row r="36" spans="4:18" s="10" customFormat="1" ht="15.75" thickBot="1" x14ac:dyDescent="0.3">
      <c r="D36" s="12"/>
      <c r="E36" s="499"/>
      <c r="F36" s="117" t="s">
        <v>72</v>
      </c>
      <c r="G36" s="217">
        <v>67.400000000000006</v>
      </c>
      <c r="H36" s="110">
        <v>68.2</v>
      </c>
      <c r="I36" s="110">
        <v>168.10000000000002</v>
      </c>
      <c r="J36" s="110">
        <v>258.5</v>
      </c>
      <c r="K36" s="112">
        <v>133.4</v>
      </c>
      <c r="L36" s="110">
        <v>132.30000000000001</v>
      </c>
      <c r="M36" s="112">
        <v>127.5</v>
      </c>
      <c r="N36" s="112">
        <v>116.9</v>
      </c>
      <c r="O36" s="110">
        <v>89.899999999999991</v>
      </c>
      <c r="P36" s="110">
        <v>108.4</v>
      </c>
      <c r="Q36" s="176">
        <v>100.4</v>
      </c>
      <c r="R36" s="36">
        <v>98.8</v>
      </c>
    </row>
    <row r="37" spans="4:18" x14ac:dyDescent="0.25">
      <c r="D37" s="6"/>
      <c r="E37" s="497" t="s">
        <v>22</v>
      </c>
      <c r="F37" s="70" t="s">
        <v>23</v>
      </c>
      <c r="G37" s="73">
        <v>261.3</v>
      </c>
      <c r="H37" s="46">
        <v>236.6</v>
      </c>
      <c r="I37" s="46">
        <v>276.2</v>
      </c>
      <c r="J37" s="127">
        <v>330.4</v>
      </c>
      <c r="K37" s="37">
        <v>369.1</v>
      </c>
      <c r="L37" s="46">
        <v>391.5</v>
      </c>
      <c r="M37" s="37">
        <v>371.7</v>
      </c>
      <c r="N37" s="29">
        <v>405.2</v>
      </c>
      <c r="O37" s="52">
        <v>438.9</v>
      </c>
      <c r="P37" s="52">
        <v>364.3</v>
      </c>
      <c r="Q37" s="128">
        <v>400.1</v>
      </c>
      <c r="R37" s="45">
        <v>392.7</v>
      </c>
    </row>
    <row r="38" spans="4:18" x14ac:dyDescent="0.25">
      <c r="D38" s="6"/>
      <c r="E38" s="498"/>
      <c r="F38" s="267" t="s">
        <v>24</v>
      </c>
      <c r="G38" s="73">
        <v>26.4</v>
      </c>
      <c r="H38" s="37">
        <v>109.4</v>
      </c>
      <c r="I38" s="37">
        <v>139</v>
      </c>
      <c r="J38" s="129">
        <v>111.5</v>
      </c>
      <c r="K38" s="37">
        <v>140.4</v>
      </c>
      <c r="L38" s="37">
        <v>132.1</v>
      </c>
      <c r="M38" s="37">
        <v>109.4</v>
      </c>
      <c r="N38" s="29">
        <v>93.5</v>
      </c>
      <c r="O38" s="29">
        <v>81.3</v>
      </c>
      <c r="P38" s="29">
        <v>65.7</v>
      </c>
      <c r="Q38" s="129">
        <v>75.7</v>
      </c>
      <c r="R38" s="45">
        <v>54</v>
      </c>
    </row>
    <row r="39" spans="4:18" x14ac:dyDescent="0.25">
      <c r="D39" s="6"/>
      <c r="E39" s="498"/>
      <c r="F39" s="267" t="s">
        <v>25</v>
      </c>
      <c r="G39" s="73">
        <v>340.8</v>
      </c>
      <c r="H39" s="37">
        <v>881.3</v>
      </c>
      <c r="I39" s="37">
        <v>1121.2</v>
      </c>
      <c r="J39" s="129">
        <v>1300.0999999999999</v>
      </c>
      <c r="K39" s="37">
        <v>1423.7</v>
      </c>
      <c r="L39" s="37">
        <v>1452</v>
      </c>
      <c r="M39" s="37">
        <v>1356.4</v>
      </c>
      <c r="N39" s="29">
        <v>1306</v>
      </c>
      <c r="O39" s="29">
        <v>1175.3</v>
      </c>
      <c r="P39" s="29">
        <v>1043.7</v>
      </c>
      <c r="Q39" s="129">
        <v>845.9</v>
      </c>
      <c r="R39" s="45">
        <v>709.7</v>
      </c>
    </row>
    <row r="40" spans="4:18" x14ac:dyDescent="0.25">
      <c r="D40" s="6"/>
      <c r="E40" s="498"/>
      <c r="F40" s="75" t="s">
        <v>26</v>
      </c>
      <c r="G40" s="76">
        <v>1107.2</v>
      </c>
      <c r="H40" s="38">
        <v>1904.6</v>
      </c>
      <c r="I40" s="38">
        <v>2656.9</v>
      </c>
      <c r="J40" s="130">
        <v>3166.9</v>
      </c>
      <c r="K40" s="38">
        <v>3388.1</v>
      </c>
      <c r="L40" s="38">
        <v>3102.2</v>
      </c>
      <c r="M40" s="38">
        <v>2696.5</v>
      </c>
      <c r="N40" s="33">
        <v>2430.5</v>
      </c>
      <c r="O40" s="33">
        <v>2234.4</v>
      </c>
      <c r="P40" s="33">
        <v>1919.6</v>
      </c>
      <c r="Q40" s="130">
        <v>1498.3</v>
      </c>
      <c r="R40" s="44">
        <v>1155.5</v>
      </c>
    </row>
    <row r="41" spans="4:18" s="10" customFormat="1" ht="15.75" thickBot="1" x14ac:dyDescent="0.3">
      <c r="D41" s="12"/>
      <c r="E41" s="499"/>
      <c r="F41" s="262" t="s">
        <v>72</v>
      </c>
      <c r="G41" s="180">
        <v>1735.7</v>
      </c>
      <c r="H41" s="110">
        <v>3131.8999999999996</v>
      </c>
      <c r="I41" s="110">
        <v>4193.3</v>
      </c>
      <c r="J41" s="131">
        <v>4908.8999999999996</v>
      </c>
      <c r="K41" s="110">
        <v>5321.3</v>
      </c>
      <c r="L41" s="110">
        <v>5077.7999999999993</v>
      </c>
      <c r="M41" s="110">
        <v>4534</v>
      </c>
      <c r="N41" s="35">
        <v>4235.2</v>
      </c>
      <c r="O41" s="35">
        <v>3929.9</v>
      </c>
      <c r="P41" s="35">
        <v>3393.3</v>
      </c>
      <c r="Q41" s="131">
        <v>2820</v>
      </c>
      <c r="R41" s="118">
        <v>2311.9</v>
      </c>
    </row>
    <row r="42" spans="4:18" x14ac:dyDescent="0.25">
      <c r="D42" s="6"/>
      <c r="E42" s="497" t="s">
        <v>27</v>
      </c>
      <c r="F42" s="267" t="s">
        <v>28</v>
      </c>
      <c r="G42" s="73">
        <v>284.10000000000002</v>
      </c>
      <c r="H42" s="37">
        <v>442.2</v>
      </c>
      <c r="I42" s="37">
        <v>771.4</v>
      </c>
      <c r="J42" s="129">
        <v>951.1</v>
      </c>
      <c r="K42" s="37">
        <v>982.6</v>
      </c>
      <c r="L42" s="37">
        <v>972.1</v>
      </c>
      <c r="M42" s="37">
        <v>846.4</v>
      </c>
      <c r="N42" s="29">
        <v>743.2</v>
      </c>
      <c r="O42" s="29">
        <v>717.2</v>
      </c>
      <c r="P42" s="29">
        <v>675.2</v>
      </c>
      <c r="Q42" s="129">
        <v>588.1</v>
      </c>
      <c r="R42" s="45">
        <v>570.6</v>
      </c>
    </row>
    <row r="43" spans="4:18" x14ac:dyDescent="0.25">
      <c r="D43" s="6"/>
      <c r="E43" s="498"/>
      <c r="F43" s="75" t="s">
        <v>79</v>
      </c>
      <c r="G43" s="76">
        <v>380.2</v>
      </c>
      <c r="H43" s="38">
        <v>416</v>
      </c>
      <c r="I43" s="38">
        <v>415.7</v>
      </c>
      <c r="J43" s="130">
        <v>461.6</v>
      </c>
      <c r="K43" s="38">
        <v>523.70000000000005</v>
      </c>
      <c r="L43" s="38">
        <v>517.79999999999995</v>
      </c>
      <c r="M43" s="38">
        <v>435.9</v>
      </c>
      <c r="N43" s="33">
        <v>408.7</v>
      </c>
      <c r="O43" s="33">
        <v>435.4</v>
      </c>
      <c r="P43" s="33">
        <v>368.6</v>
      </c>
      <c r="Q43" s="130">
        <v>440.1</v>
      </c>
      <c r="R43" s="44">
        <v>475.2</v>
      </c>
    </row>
    <row r="44" spans="4:18" s="10" customFormat="1" ht="15.75" thickBot="1" x14ac:dyDescent="0.3">
      <c r="D44" s="12"/>
      <c r="E44" s="499"/>
      <c r="F44" s="262" t="s">
        <v>72</v>
      </c>
      <c r="G44" s="180">
        <v>664.3</v>
      </c>
      <c r="H44" s="110">
        <v>858.2</v>
      </c>
      <c r="I44" s="110">
        <v>1187.0999999999999</v>
      </c>
      <c r="J44" s="131">
        <v>1412.7</v>
      </c>
      <c r="K44" s="110">
        <v>1506.3000000000002</v>
      </c>
      <c r="L44" s="110">
        <v>1489.9</v>
      </c>
      <c r="M44" s="110">
        <v>1282.3</v>
      </c>
      <c r="N44" s="35">
        <v>1151.9000000000001</v>
      </c>
      <c r="O44" s="35">
        <v>1152.5999999999999</v>
      </c>
      <c r="P44" s="35">
        <v>1043.8000000000002</v>
      </c>
      <c r="Q44" s="131">
        <v>1028.2</v>
      </c>
      <c r="R44" s="118">
        <v>1045.8</v>
      </c>
    </row>
    <row r="45" spans="4:18" x14ac:dyDescent="0.25">
      <c r="D45" s="6"/>
      <c r="E45" s="497" t="s">
        <v>29</v>
      </c>
      <c r="F45" s="87" t="s">
        <v>30</v>
      </c>
      <c r="G45" s="73">
        <v>1</v>
      </c>
      <c r="H45" s="42">
        <v>1</v>
      </c>
      <c r="I45" s="42">
        <v>0.9</v>
      </c>
      <c r="J45" s="132">
        <v>0.9</v>
      </c>
      <c r="K45" s="42">
        <v>0.9</v>
      </c>
      <c r="L45" s="42">
        <v>0.9</v>
      </c>
      <c r="M45" s="42">
        <v>0.9</v>
      </c>
      <c r="N45" s="41">
        <v>0.9</v>
      </c>
      <c r="O45" s="41">
        <v>0.9</v>
      </c>
      <c r="P45" s="41">
        <v>0.9</v>
      </c>
      <c r="Q45" s="132">
        <v>0.9</v>
      </c>
      <c r="R45" s="47">
        <v>0.9</v>
      </c>
    </row>
    <row r="46" spans="4:18" s="10" customFormat="1" ht="15.75" thickBot="1" x14ac:dyDescent="0.3">
      <c r="D46" s="12"/>
      <c r="E46" s="543"/>
      <c r="F46" s="262" t="s">
        <v>72</v>
      </c>
      <c r="G46" s="231">
        <v>1</v>
      </c>
      <c r="H46" s="110">
        <v>1</v>
      </c>
      <c r="I46" s="110">
        <v>0.9</v>
      </c>
      <c r="J46" s="131">
        <v>0.9</v>
      </c>
      <c r="K46" s="110">
        <v>0.9</v>
      </c>
      <c r="L46" s="110">
        <v>0.9</v>
      </c>
      <c r="M46" s="110">
        <v>0.9</v>
      </c>
      <c r="N46" s="35">
        <v>0.9</v>
      </c>
      <c r="O46" s="35">
        <v>0.9</v>
      </c>
      <c r="P46" s="35">
        <v>0.9</v>
      </c>
      <c r="Q46" s="131">
        <v>0.9</v>
      </c>
      <c r="R46" s="118">
        <v>0.9</v>
      </c>
    </row>
    <row r="47" spans="4:18" x14ac:dyDescent="0.25">
      <c r="D47" s="6"/>
      <c r="E47" s="497" t="s">
        <v>32</v>
      </c>
      <c r="F47" s="87" t="s">
        <v>32</v>
      </c>
      <c r="G47" s="181">
        <v>147.80000000000001</v>
      </c>
      <c r="H47" s="42">
        <v>148.30000000000001</v>
      </c>
      <c r="I47" s="42">
        <v>201.4</v>
      </c>
      <c r="J47" s="132">
        <v>267.60000000000002</v>
      </c>
      <c r="K47" s="42">
        <v>268.39999999999998</v>
      </c>
      <c r="L47" s="42">
        <v>303.5</v>
      </c>
      <c r="M47" s="42">
        <v>278.2</v>
      </c>
      <c r="N47" s="41">
        <v>278.60000000000002</v>
      </c>
      <c r="O47" s="41">
        <v>218.5</v>
      </c>
      <c r="P47" s="41">
        <v>201.6</v>
      </c>
      <c r="Q47" s="132">
        <v>249.1</v>
      </c>
      <c r="R47" s="47">
        <v>201</v>
      </c>
    </row>
    <row r="48" spans="4:18" s="10" customFormat="1" ht="15.75" thickBot="1" x14ac:dyDescent="0.3">
      <c r="D48" s="12"/>
      <c r="E48" s="543"/>
      <c r="F48" s="262" t="s">
        <v>72</v>
      </c>
      <c r="G48" s="180">
        <v>147.80000000000001</v>
      </c>
      <c r="H48" s="110">
        <v>148.30000000000001</v>
      </c>
      <c r="I48" s="110">
        <v>201.4</v>
      </c>
      <c r="J48" s="131">
        <v>267.60000000000002</v>
      </c>
      <c r="K48" s="110">
        <v>268.39999999999998</v>
      </c>
      <c r="L48" s="110">
        <v>303.5</v>
      </c>
      <c r="M48" s="110">
        <v>278.2</v>
      </c>
      <c r="N48" s="35">
        <v>278.60000000000002</v>
      </c>
      <c r="O48" s="35">
        <v>218.5</v>
      </c>
      <c r="P48" s="35">
        <v>201.6</v>
      </c>
      <c r="Q48" s="131">
        <v>249.1</v>
      </c>
      <c r="R48" s="118">
        <v>201</v>
      </c>
    </row>
    <row r="49" spans="4:18" x14ac:dyDescent="0.25">
      <c r="D49" s="6"/>
      <c r="E49" s="497" t="s">
        <v>33</v>
      </c>
      <c r="F49" s="87" t="s">
        <v>33</v>
      </c>
      <c r="G49" s="181">
        <v>267.89999999999998</v>
      </c>
      <c r="H49" s="42">
        <v>326</v>
      </c>
      <c r="I49" s="42">
        <v>428.7</v>
      </c>
      <c r="J49" s="132">
        <v>482.1</v>
      </c>
      <c r="K49" s="42">
        <v>602.6</v>
      </c>
      <c r="L49" s="42">
        <v>529.5</v>
      </c>
      <c r="M49" s="42">
        <v>508.8</v>
      </c>
      <c r="N49" s="41">
        <v>451.8</v>
      </c>
      <c r="O49" s="41">
        <v>436.5</v>
      </c>
      <c r="P49" s="41">
        <v>426.4</v>
      </c>
      <c r="Q49" s="132">
        <v>388.8</v>
      </c>
      <c r="R49" s="47">
        <v>364</v>
      </c>
    </row>
    <row r="50" spans="4:18" s="10" customFormat="1" ht="15.75" thickBot="1" x14ac:dyDescent="0.3">
      <c r="D50" s="12"/>
      <c r="E50" s="543"/>
      <c r="F50" s="262" t="s">
        <v>72</v>
      </c>
      <c r="G50" s="180">
        <v>267.89999999999998</v>
      </c>
      <c r="H50" s="110">
        <v>326</v>
      </c>
      <c r="I50" s="110">
        <v>428.7</v>
      </c>
      <c r="J50" s="131">
        <v>482.1</v>
      </c>
      <c r="K50" s="110">
        <v>602.6</v>
      </c>
      <c r="L50" s="110">
        <v>529.5</v>
      </c>
      <c r="M50" s="110">
        <v>508.8</v>
      </c>
      <c r="N50" s="35">
        <v>451.8</v>
      </c>
      <c r="O50" s="35">
        <v>436.5</v>
      </c>
      <c r="P50" s="35">
        <v>426.4</v>
      </c>
      <c r="Q50" s="131">
        <v>388.8</v>
      </c>
      <c r="R50" s="118">
        <v>364</v>
      </c>
    </row>
    <row r="51" spans="4:18" x14ac:dyDescent="0.25">
      <c r="D51" s="6"/>
      <c r="E51" s="497" t="s">
        <v>34</v>
      </c>
      <c r="F51" s="87" t="s">
        <v>34</v>
      </c>
      <c r="G51" s="181">
        <v>172.3</v>
      </c>
      <c r="H51" s="42">
        <v>166.5</v>
      </c>
      <c r="I51" s="42">
        <v>297.8</v>
      </c>
      <c r="J51" s="132">
        <v>454.5</v>
      </c>
      <c r="K51" s="42">
        <v>434.9</v>
      </c>
      <c r="L51" s="42">
        <v>490.6</v>
      </c>
      <c r="M51" s="42">
        <v>518.29999999999995</v>
      </c>
      <c r="N51" s="41">
        <v>438.7</v>
      </c>
      <c r="O51" s="41">
        <v>468</v>
      </c>
      <c r="P51" s="41">
        <v>561.1</v>
      </c>
      <c r="Q51" s="132">
        <v>454.5</v>
      </c>
      <c r="R51" s="47">
        <v>563.4</v>
      </c>
    </row>
    <row r="52" spans="4:18" s="10" customFormat="1" ht="15.75" thickBot="1" x14ac:dyDescent="0.3">
      <c r="D52" s="12"/>
      <c r="E52" s="543"/>
      <c r="F52" s="262" t="s">
        <v>72</v>
      </c>
      <c r="G52" s="180">
        <v>172.3</v>
      </c>
      <c r="H52" s="110">
        <v>166.5</v>
      </c>
      <c r="I52" s="110">
        <v>297.8</v>
      </c>
      <c r="J52" s="131">
        <v>454.5</v>
      </c>
      <c r="K52" s="110">
        <v>434.9</v>
      </c>
      <c r="L52" s="110">
        <v>490.6</v>
      </c>
      <c r="M52" s="110">
        <v>518.29999999999995</v>
      </c>
      <c r="N52" s="35">
        <v>438.7</v>
      </c>
      <c r="O52" s="35">
        <v>468</v>
      </c>
      <c r="P52" s="35">
        <v>561.1</v>
      </c>
      <c r="Q52" s="131">
        <v>454.5</v>
      </c>
      <c r="R52" s="118">
        <v>563.4</v>
      </c>
    </row>
    <row r="53" spans="4:18" x14ac:dyDescent="0.25">
      <c r="D53" s="6"/>
      <c r="E53" s="497" t="s">
        <v>77</v>
      </c>
      <c r="F53" s="87" t="s">
        <v>30</v>
      </c>
      <c r="G53" s="181">
        <v>251.7</v>
      </c>
      <c r="H53" s="42">
        <v>269.60000000000002</v>
      </c>
      <c r="I53" s="42">
        <v>221.7</v>
      </c>
      <c r="J53" s="132">
        <v>275.8</v>
      </c>
      <c r="K53" s="42">
        <v>337.6</v>
      </c>
      <c r="L53" s="42">
        <v>323.8</v>
      </c>
      <c r="M53" s="42">
        <v>306.5</v>
      </c>
      <c r="N53" s="41">
        <v>334.8</v>
      </c>
      <c r="O53" s="41">
        <v>247.8</v>
      </c>
      <c r="P53" s="41">
        <v>329.9</v>
      </c>
      <c r="Q53" s="132">
        <v>232.1</v>
      </c>
      <c r="R53" s="47">
        <v>247.9</v>
      </c>
    </row>
    <row r="54" spans="4:18" s="10" customFormat="1" ht="15.75" thickBot="1" x14ac:dyDescent="0.3">
      <c r="D54" s="12"/>
      <c r="E54" s="543"/>
      <c r="F54" s="114" t="s">
        <v>72</v>
      </c>
      <c r="G54" s="180">
        <v>251.7</v>
      </c>
      <c r="H54" s="110">
        <v>269.60000000000002</v>
      </c>
      <c r="I54" s="110">
        <v>221.7</v>
      </c>
      <c r="J54" s="131">
        <v>275.8</v>
      </c>
      <c r="K54" s="110">
        <v>337.6</v>
      </c>
      <c r="L54" s="110">
        <v>323.8</v>
      </c>
      <c r="M54" s="110">
        <v>306.5</v>
      </c>
      <c r="N54" s="112">
        <v>334.8</v>
      </c>
      <c r="O54" s="35">
        <v>247.8</v>
      </c>
      <c r="P54" s="35">
        <v>329.9</v>
      </c>
      <c r="Q54" s="131">
        <v>232.1</v>
      </c>
      <c r="R54" s="118">
        <v>247.9</v>
      </c>
    </row>
    <row r="55" spans="4:18" x14ac:dyDescent="0.25">
      <c r="D55" s="6"/>
      <c r="E55" s="497" t="s">
        <v>31</v>
      </c>
      <c r="F55" s="75" t="s">
        <v>31</v>
      </c>
      <c r="G55" s="181">
        <v>137</v>
      </c>
      <c r="H55" s="42">
        <v>110.1</v>
      </c>
      <c r="I55" s="42">
        <v>207</v>
      </c>
      <c r="J55" s="134">
        <v>204.5</v>
      </c>
      <c r="K55" s="42">
        <v>249.9</v>
      </c>
      <c r="L55" s="42">
        <v>279.7</v>
      </c>
      <c r="M55" s="42">
        <v>200.5</v>
      </c>
      <c r="N55" s="42">
        <v>179.7</v>
      </c>
      <c r="O55" s="42">
        <v>194.8</v>
      </c>
      <c r="P55" s="42">
        <v>304.7</v>
      </c>
      <c r="Q55" s="132">
        <v>228.1</v>
      </c>
      <c r="R55" s="47">
        <v>184.7</v>
      </c>
    </row>
    <row r="56" spans="4:18" s="10" customFormat="1" ht="15.75" thickBot="1" x14ac:dyDescent="0.3">
      <c r="D56" s="12"/>
      <c r="E56" s="543"/>
      <c r="F56" s="114" t="s">
        <v>72</v>
      </c>
      <c r="G56" s="180">
        <v>137</v>
      </c>
      <c r="H56" s="110">
        <v>110.1</v>
      </c>
      <c r="I56" s="110">
        <v>207</v>
      </c>
      <c r="J56" s="112">
        <v>204.5</v>
      </c>
      <c r="K56" s="112">
        <v>249.9</v>
      </c>
      <c r="L56" s="112">
        <v>279.7</v>
      </c>
      <c r="M56" s="110">
        <v>200.5</v>
      </c>
      <c r="N56" s="110">
        <v>179.7</v>
      </c>
      <c r="O56" s="110">
        <v>194.8</v>
      </c>
      <c r="P56" s="110">
        <v>304.7</v>
      </c>
      <c r="Q56" s="131">
        <v>228.1</v>
      </c>
      <c r="R56" s="118">
        <v>184.7</v>
      </c>
    </row>
    <row r="57" spans="4:18" x14ac:dyDescent="0.25">
      <c r="D57" s="6"/>
      <c r="E57" s="497" t="s">
        <v>87</v>
      </c>
      <c r="F57" s="267" t="s">
        <v>14</v>
      </c>
      <c r="G57" s="73">
        <v>147.30000000000001</v>
      </c>
      <c r="H57" s="37">
        <v>263.10000000000002</v>
      </c>
      <c r="I57" s="37">
        <v>347</v>
      </c>
      <c r="J57" s="37">
        <v>532.79999999999995</v>
      </c>
      <c r="K57" s="37">
        <v>633.70000000000005</v>
      </c>
      <c r="L57" s="37">
        <v>694.5</v>
      </c>
      <c r="M57" s="37">
        <v>559.9</v>
      </c>
      <c r="N57" s="37">
        <v>518</v>
      </c>
      <c r="O57" s="37">
        <v>487.3</v>
      </c>
      <c r="P57" s="37">
        <v>461.2</v>
      </c>
      <c r="Q57" s="129">
        <v>370</v>
      </c>
      <c r="R57" s="45">
        <v>291.7</v>
      </c>
    </row>
    <row r="58" spans="4:18" x14ac:dyDescent="0.25">
      <c r="D58" s="6"/>
      <c r="E58" s="542"/>
      <c r="F58" s="267" t="s">
        <v>85</v>
      </c>
      <c r="G58" s="73">
        <v>90.8</v>
      </c>
      <c r="H58" s="37">
        <v>174</v>
      </c>
      <c r="I58" s="37">
        <v>104</v>
      </c>
      <c r="J58" s="37">
        <v>171.3</v>
      </c>
      <c r="K58" s="37">
        <v>289.2</v>
      </c>
      <c r="L58" s="37">
        <v>235</v>
      </c>
      <c r="M58" s="37">
        <v>221.3</v>
      </c>
      <c r="N58" s="37">
        <v>197.6</v>
      </c>
      <c r="O58" s="37">
        <v>207.6</v>
      </c>
      <c r="P58" s="37">
        <v>204.3</v>
      </c>
      <c r="Q58" s="129">
        <v>159</v>
      </c>
      <c r="R58" s="45">
        <v>134.19999999999999</v>
      </c>
    </row>
    <row r="59" spans="4:18" x14ac:dyDescent="0.25">
      <c r="D59" s="6"/>
      <c r="E59" s="542"/>
      <c r="F59" s="75" t="s">
        <v>15</v>
      </c>
      <c r="G59" s="76">
        <v>611.70000000000005</v>
      </c>
      <c r="H59" s="38">
        <v>640.9</v>
      </c>
      <c r="I59" s="38">
        <v>770.5</v>
      </c>
      <c r="J59" s="38">
        <v>932.3</v>
      </c>
      <c r="K59" s="38">
        <v>1208.7</v>
      </c>
      <c r="L59" s="38">
        <v>1107.9000000000001</v>
      </c>
      <c r="M59" s="38">
        <v>882.5</v>
      </c>
      <c r="N59" s="38">
        <v>907.9</v>
      </c>
      <c r="O59" s="38">
        <v>905.8</v>
      </c>
      <c r="P59" s="38">
        <v>818.8</v>
      </c>
      <c r="Q59" s="130">
        <v>620.9</v>
      </c>
      <c r="R59" s="44">
        <v>776.3</v>
      </c>
    </row>
    <row r="60" spans="4:18" s="10" customFormat="1" ht="15.75" thickBot="1" x14ac:dyDescent="0.3">
      <c r="D60" s="12"/>
      <c r="E60" s="543"/>
      <c r="F60" s="262" t="s">
        <v>72</v>
      </c>
      <c r="G60" s="232">
        <v>849.80000000000007</v>
      </c>
      <c r="H60" s="110">
        <v>1078</v>
      </c>
      <c r="I60" s="110">
        <v>1221.5</v>
      </c>
      <c r="J60" s="110">
        <v>1636.3999999999999</v>
      </c>
      <c r="K60" s="110">
        <v>2131.6000000000004</v>
      </c>
      <c r="L60" s="110">
        <v>2037.4</v>
      </c>
      <c r="M60" s="110">
        <v>1663.7</v>
      </c>
      <c r="N60" s="110">
        <v>1623.5</v>
      </c>
      <c r="O60" s="110">
        <v>1600.6999999999998</v>
      </c>
      <c r="P60" s="110">
        <v>1484.3</v>
      </c>
      <c r="Q60" s="131">
        <v>1149.9000000000001</v>
      </c>
      <c r="R60" s="118">
        <v>1202.1999999999998</v>
      </c>
    </row>
    <row r="61" spans="4:18" ht="15.75" thickBot="1" x14ac:dyDescent="0.3">
      <c r="D61" s="6"/>
      <c r="E61" s="576" t="s">
        <v>48</v>
      </c>
      <c r="F61" s="577"/>
      <c r="G61" s="93">
        <v>20062.5</v>
      </c>
      <c r="H61" s="125">
        <v>26022.099999999991</v>
      </c>
      <c r="I61" s="125">
        <v>38239.9</v>
      </c>
      <c r="J61" s="125">
        <v>50329.799999999996</v>
      </c>
      <c r="K61" s="125">
        <v>57969.10000000002</v>
      </c>
      <c r="L61" s="125">
        <v>59726.799999999988</v>
      </c>
      <c r="M61" s="125">
        <v>55163.899999999994</v>
      </c>
      <c r="N61" s="125">
        <v>53678.5</v>
      </c>
      <c r="O61" s="125">
        <v>51791.80000000001</v>
      </c>
      <c r="P61" s="125">
        <v>51366.8</v>
      </c>
      <c r="Q61" s="125">
        <v>41829.4</v>
      </c>
      <c r="R61" s="120">
        <v>38654.799999999996</v>
      </c>
    </row>
    <row r="62" spans="4:18" ht="15.75" thickBot="1" x14ac:dyDescent="0.3">
      <c r="D62" s="6"/>
      <c r="E62" s="570" t="s">
        <v>88</v>
      </c>
      <c r="F62" s="571"/>
      <c r="G62" s="229">
        <v>62025</v>
      </c>
      <c r="H62" s="124">
        <v>63732.9</v>
      </c>
      <c r="I62" s="124">
        <v>89156</v>
      </c>
      <c r="J62" s="124">
        <v>110844.5</v>
      </c>
      <c r="K62" s="124">
        <v>125449.8</v>
      </c>
      <c r="L62" s="124">
        <v>137385.9</v>
      </c>
      <c r="M62" s="124">
        <v>139218.6</v>
      </c>
      <c r="N62" s="124">
        <v>136155.6</v>
      </c>
      <c r="O62" s="124">
        <v>135704.79999999999</v>
      </c>
      <c r="P62" s="124">
        <v>128672.9</v>
      </c>
      <c r="Q62" s="124">
        <v>115713.3</v>
      </c>
      <c r="R62" s="254">
        <v>101518</v>
      </c>
    </row>
    <row r="63" spans="4:18" ht="15.75" thickBot="1" x14ac:dyDescent="0.3">
      <c r="D63" s="6"/>
      <c r="E63" s="570" t="s">
        <v>68</v>
      </c>
      <c r="F63" s="571"/>
      <c r="G63" s="225">
        <v>4040.6</v>
      </c>
      <c r="H63" s="122">
        <v>4562.8</v>
      </c>
      <c r="I63" s="122">
        <v>8759.7999999999993</v>
      </c>
      <c r="J63" s="122">
        <v>14472.3</v>
      </c>
      <c r="K63" s="122">
        <v>16878.7</v>
      </c>
      <c r="L63" s="122">
        <v>14440.5</v>
      </c>
      <c r="M63" s="122">
        <v>12555.2</v>
      </c>
      <c r="N63" s="122">
        <v>10640.2</v>
      </c>
      <c r="O63" s="122">
        <v>9244.5</v>
      </c>
      <c r="P63" s="122">
        <v>9238.2000000000007</v>
      </c>
      <c r="Q63" s="122">
        <v>8573.7000000000007</v>
      </c>
      <c r="R63" s="123">
        <v>8343.1</v>
      </c>
    </row>
    <row r="64" spans="4:18" ht="15.75" thickBot="1" x14ac:dyDescent="0.3">
      <c r="D64" s="6"/>
      <c r="E64" s="568" t="s">
        <v>35</v>
      </c>
      <c r="F64" s="569"/>
      <c r="G64" s="61">
        <v>86128.1</v>
      </c>
      <c r="H64" s="125">
        <v>94317.8</v>
      </c>
      <c r="I64" s="125">
        <v>136155.69999999998</v>
      </c>
      <c r="J64" s="125">
        <v>175646.59999999998</v>
      </c>
      <c r="K64" s="125">
        <v>200297.60000000003</v>
      </c>
      <c r="L64" s="125">
        <v>211553.19999999998</v>
      </c>
      <c r="M64" s="125">
        <v>206937.7</v>
      </c>
      <c r="N64" s="125">
        <v>200474.30000000002</v>
      </c>
      <c r="O64" s="125">
        <v>196741.1</v>
      </c>
      <c r="P64" s="125">
        <v>189277.90000000002</v>
      </c>
      <c r="Q64" s="125">
        <v>166116.40000000002</v>
      </c>
      <c r="R64" s="220">
        <v>148515.9</v>
      </c>
    </row>
    <row r="65" spans="4:18" ht="15.75" thickBot="1" x14ac:dyDescent="0.3">
      <c r="D65" s="6"/>
      <c r="E65" s="574" t="s">
        <v>91</v>
      </c>
      <c r="F65" s="575"/>
      <c r="G65" s="233">
        <v>1885</v>
      </c>
      <c r="H65" s="137">
        <v>1881</v>
      </c>
      <c r="I65" s="137">
        <v>1880</v>
      </c>
      <c r="J65" s="137">
        <v>1877</v>
      </c>
      <c r="K65" s="137">
        <v>1872</v>
      </c>
      <c r="L65" s="137">
        <v>1869</v>
      </c>
      <c r="M65" s="137">
        <v>1867</v>
      </c>
      <c r="N65" s="137">
        <v>1864</v>
      </c>
      <c r="O65" s="137">
        <v>1861</v>
      </c>
      <c r="P65" s="137">
        <v>1858</v>
      </c>
      <c r="Q65" s="137">
        <v>1858</v>
      </c>
      <c r="R65" s="178">
        <v>1850</v>
      </c>
    </row>
    <row r="66" spans="4:18" ht="9.75" customHeight="1" x14ac:dyDescent="0.25"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7"/>
      <c r="R66" s="49"/>
    </row>
    <row r="67" spans="4:18" x14ac:dyDescent="0.25">
      <c r="E67" s="546" t="s">
        <v>92</v>
      </c>
      <c r="F67" s="546"/>
      <c r="G67" s="546"/>
      <c r="H67" s="546"/>
      <c r="I67" s="546"/>
      <c r="J67" s="546"/>
      <c r="K67" s="546"/>
      <c r="L67" s="546"/>
      <c r="M67" s="546"/>
      <c r="N67" s="546"/>
      <c r="O67" s="546"/>
      <c r="P67" s="546"/>
      <c r="Q67" s="546"/>
      <c r="R67" s="546"/>
    </row>
    <row r="68" spans="4:18" x14ac:dyDescent="0.25">
      <c r="E68" s="546" t="s">
        <v>147</v>
      </c>
      <c r="F68" s="546"/>
      <c r="G68" s="546"/>
      <c r="H68" s="546"/>
      <c r="I68" s="546"/>
      <c r="J68" s="546"/>
      <c r="K68" s="546"/>
      <c r="L68" s="546"/>
      <c r="M68" s="546"/>
      <c r="N68" s="546"/>
      <c r="O68" s="546"/>
      <c r="P68" s="546"/>
      <c r="Q68" s="546"/>
      <c r="R68" s="546"/>
    </row>
    <row r="69" spans="4:18" ht="15.75" x14ac:dyDescent="0.25">
      <c r="E69" s="276" t="s">
        <v>86</v>
      </c>
      <c r="F69" s="276"/>
      <c r="G69" s="276"/>
      <c r="H69" s="276"/>
      <c r="I69" s="276"/>
      <c r="J69" s="276"/>
      <c r="K69" s="276"/>
      <c r="L69" s="276"/>
      <c r="M69" s="276"/>
      <c r="N69" s="276"/>
      <c r="O69" s="276"/>
      <c r="P69" s="276"/>
      <c r="Q69" s="276"/>
      <c r="R69" s="261" t="s">
        <v>121</v>
      </c>
    </row>
    <row r="70" spans="4:18" ht="15.75" x14ac:dyDescent="0.25"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261"/>
    </row>
  </sheetData>
  <mergeCells count="25">
    <mergeCell ref="E65:F65"/>
    <mergeCell ref="E67:R67"/>
    <mergeCell ref="E68:R68"/>
    <mergeCell ref="E61:F61"/>
    <mergeCell ref="E47:E48"/>
    <mergeCell ref="E49:E50"/>
    <mergeCell ref="E51:E52"/>
    <mergeCell ref="E53:E54"/>
    <mergeCell ref="E55:E56"/>
    <mergeCell ref="E57:E60"/>
    <mergeCell ref="E62:F62"/>
    <mergeCell ref="E63:F63"/>
    <mergeCell ref="E64:F64"/>
    <mergeCell ref="E45:E46"/>
    <mergeCell ref="E22:E24"/>
    <mergeCell ref="E1:R2"/>
    <mergeCell ref="E3:R3"/>
    <mergeCell ref="E5:R5"/>
    <mergeCell ref="E7:E15"/>
    <mergeCell ref="E16:E19"/>
    <mergeCell ref="E20:E21"/>
    <mergeCell ref="E25:E30"/>
    <mergeCell ref="E31:E36"/>
    <mergeCell ref="E37:E41"/>
    <mergeCell ref="E42:E44"/>
  </mergeCells>
  <pageMargins left="0.70866141732283472" right="0.70866141732283472" top="0.6428571428571429" bottom="0.74803149606299213" header="0.31496062992125984" footer="0.31496062992125984"/>
  <pageSetup paperSize="9" scale="48" orientation="landscape" r:id="rId1"/>
  <headerFooter>
    <oddHeader>&amp;L&amp;G&amp;RCAMPAÑA: 2024/2025. MES: SEPTIEMBRE
Fecha de emisión de datos: 07/05/2026</oddHead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1:R69"/>
  <sheetViews>
    <sheetView view="pageLayout" zoomScale="68" zoomScaleNormal="80" zoomScaleSheetLayoutView="70" zoomScalePageLayoutView="68" workbookViewId="0">
      <selection activeCell="F6" sqref="E5:R6"/>
    </sheetView>
  </sheetViews>
  <sheetFormatPr baseColWidth="10" defaultColWidth="11.42578125" defaultRowHeight="15" x14ac:dyDescent="0.25"/>
  <cols>
    <col min="1" max="1" width="8.42578125" customWidth="1"/>
    <col min="2" max="2" width="10.5703125" customWidth="1"/>
    <col min="5" max="5" width="29" bestFit="1" customWidth="1"/>
    <col min="6" max="6" width="23.7109375" customWidth="1"/>
    <col min="7" max="7" width="11.85546875" bestFit="1" customWidth="1"/>
    <col min="8" max="8" width="14.28515625" bestFit="1" customWidth="1"/>
    <col min="9" max="9" width="13.7109375" bestFit="1" customWidth="1"/>
    <col min="17" max="17" width="11.42578125" style="2"/>
    <col min="18" max="18" width="12.42578125" style="2" customWidth="1"/>
    <col min="19" max="19" width="10.85546875" customWidth="1"/>
  </cols>
  <sheetData>
    <row r="1" spans="4:18" ht="15" customHeight="1" x14ac:dyDescent="0.25">
      <c r="E1" s="482" t="s">
        <v>142</v>
      </c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</row>
    <row r="2" spans="4:18" ht="15" customHeight="1" x14ac:dyDescent="0.25"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/>
    </row>
    <row r="3" spans="4:18" ht="26.25" customHeight="1" x14ac:dyDescent="0.25">
      <c r="E3" s="482" t="s">
        <v>143</v>
      </c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</row>
    <row r="4" spans="4:18" ht="8.25" customHeight="1" thickBot="1" x14ac:dyDescent="0.3"/>
    <row r="5" spans="4:18" ht="16.5" thickBot="1" x14ac:dyDescent="0.3">
      <c r="E5" s="561" t="s">
        <v>95</v>
      </c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  <c r="R5" s="563"/>
    </row>
    <row r="6" spans="4:18" ht="31.5" customHeight="1" thickBot="1" x14ac:dyDescent="0.3">
      <c r="E6" s="138" t="s">
        <v>54</v>
      </c>
      <c r="F6" s="51" t="s">
        <v>4</v>
      </c>
      <c r="G6" s="268" t="s">
        <v>39</v>
      </c>
      <c r="H6" s="268" t="s">
        <v>40</v>
      </c>
      <c r="I6" s="268" t="s">
        <v>41</v>
      </c>
      <c r="J6" s="268" t="s">
        <v>42</v>
      </c>
      <c r="K6" s="268" t="s">
        <v>43</v>
      </c>
      <c r="L6" s="268" t="s">
        <v>44</v>
      </c>
      <c r="M6" s="268" t="s">
        <v>45</v>
      </c>
      <c r="N6" s="268" t="s">
        <v>46</v>
      </c>
      <c r="O6" s="268" t="s">
        <v>55</v>
      </c>
      <c r="P6" s="263" t="s">
        <v>56</v>
      </c>
      <c r="Q6" s="268" t="s">
        <v>57</v>
      </c>
      <c r="R6" s="268" t="s">
        <v>58</v>
      </c>
    </row>
    <row r="7" spans="4:18" x14ac:dyDescent="0.25">
      <c r="D7" s="6"/>
      <c r="E7" s="497" t="s">
        <v>74</v>
      </c>
      <c r="F7" s="28" t="s">
        <v>80</v>
      </c>
      <c r="G7" s="52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v>0</v>
      </c>
      <c r="O7" s="46">
        <v>0</v>
      </c>
      <c r="P7" s="46">
        <v>0</v>
      </c>
      <c r="Q7" s="37">
        <v>0</v>
      </c>
      <c r="R7" s="30">
        <v>0</v>
      </c>
    </row>
    <row r="8" spans="4:18" x14ac:dyDescent="0.25">
      <c r="D8" s="6"/>
      <c r="E8" s="498"/>
      <c r="F8" s="119" t="s">
        <v>81</v>
      </c>
      <c r="G8" s="29">
        <v>2.4</v>
      </c>
      <c r="H8" s="37">
        <v>2.2000000000000002</v>
      </c>
      <c r="I8" s="37">
        <v>2.1</v>
      </c>
      <c r="J8" s="37">
        <v>3.1</v>
      </c>
      <c r="K8" s="37">
        <v>2.8</v>
      </c>
      <c r="L8" s="37">
        <v>2.4</v>
      </c>
      <c r="M8" s="37">
        <v>1.5</v>
      </c>
      <c r="N8" s="37">
        <v>4.4000000000000004</v>
      </c>
      <c r="O8" s="37">
        <v>3</v>
      </c>
      <c r="P8" s="37">
        <v>1.5</v>
      </c>
      <c r="Q8" s="37">
        <v>2.5</v>
      </c>
      <c r="R8" s="31">
        <v>5.8</v>
      </c>
    </row>
    <row r="9" spans="4:18" x14ac:dyDescent="0.25">
      <c r="D9" s="6"/>
      <c r="E9" s="498"/>
      <c r="F9" s="119" t="s">
        <v>82</v>
      </c>
      <c r="G9" s="29">
        <v>667.7</v>
      </c>
      <c r="H9" s="37">
        <v>1176.5999999999999</v>
      </c>
      <c r="I9" s="37">
        <v>588.1</v>
      </c>
      <c r="J9" s="37">
        <v>704.8</v>
      </c>
      <c r="K9" s="37">
        <v>693.3</v>
      </c>
      <c r="L9" s="37">
        <v>617.1</v>
      </c>
      <c r="M9" s="37">
        <v>597.6</v>
      </c>
      <c r="N9" s="37">
        <v>492.6</v>
      </c>
      <c r="O9" s="37">
        <v>706.6</v>
      </c>
      <c r="P9" s="37">
        <v>607.70000000000005</v>
      </c>
      <c r="Q9" s="37">
        <v>578.79999999999995</v>
      </c>
      <c r="R9" s="31">
        <v>716.1</v>
      </c>
    </row>
    <row r="10" spans="4:18" x14ac:dyDescent="0.25">
      <c r="D10" s="6"/>
      <c r="E10" s="498"/>
      <c r="F10" s="119" t="s">
        <v>6</v>
      </c>
      <c r="G10" s="29">
        <v>19.7</v>
      </c>
      <c r="H10" s="37">
        <v>23.3</v>
      </c>
      <c r="I10" s="37">
        <v>31.9</v>
      </c>
      <c r="J10" s="37">
        <v>34.700000000000003</v>
      </c>
      <c r="K10" s="37">
        <v>31.2</v>
      </c>
      <c r="L10" s="37">
        <v>95.3</v>
      </c>
      <c r="M10" s="37">
        <v>111.5</v>
      </c>
      <c r="N10" s="37">
        <v>42.7</v>
      </c>
      <c r="O10" s="37">
        <v>61</v>
      </c>
      <c r="P10" s="37">
        <v>62.9</v>
      </c>
      <c r="Q10" s="37">
        <v>40</v>
      </c>
      <c r="R10" s="31">
        <v>52.2</v>
      </c>
    </row>
    <row r="11" spans="4:18" x14ac:dyDescent="0.25">
      <c r="D11" s="6"/>
      <c r="E11" s="498"/>
      <c r="F11" s="119" t="s">
        <v>7</v>
      </c>
      <c r="G11" s="29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1">
        <v>0</v>
      </c>
    </row>
    <row r="12" spans="4:18" x14ac:dyDescent="0.25">
      <c r="D12" s="6"/>
      <c r="E12" s="498"/>
      <c r="F12" s="119" t="s">
        <v>83</v>
      </c>
      <c r="G12" s="29">
        <v>164.3</v>
      </c>
      <c r="H12" s="37">
        <v>156.9</v>
      </c>
      <c r="I12" s="37">
        <v>215.7</v>
      </c>
      <c r="J12" s="37">
        <v>209.2</v>
      </c>
      <c r="K12" s="37">
        <v>193.5</v>
      </c>
      <c r="L12" s="37">
        <v>393.1</v>
      </c>
      <c r="M12" s="37">
        <v>336.1</v>
      </c>
      <c r="N12" s="37">
        <v>369.8</v>
      </c>
      <c r="O12" s="37">
        <v>283.3</v>
      </c>
      <c r="P12" s="37">
        <v>402.9</v>
      </c>
      <c r="Q12" s="37">
        <v>432.8</v>
      </c>
      <c r="R12" s="31">
        <v>413.5</v>
      </c>
    </row>
    <row r="13" spans="4:18" x14ac:dyDescent="0.25">
      <c r="D13" s="6"/>
      <c r="E13" s="498"/>
      <c r="F13" s="119" t="s">
        <v>84</v>
      </c>
      <c r="G13" s="29">
        <v>379.4</v>
      </c>
      <c r="H13" s="37">
        <v>358.4</v>
      </c>
      <c r="I13" s="37">
        <v>352.8</v>
      </c>
      <c r="J13" s="37">
        <v>352.3</v>
      </c>
      <c r="K13" s="37">
        <v>376</v>
      </c>
      <c r="L13" s="37">
        <v>511.7</v>
      </c>
      <c r="M13" s="37">
        <v>429.9</v>
      </c>
      <c r="N13" s="37">
        <v>516.9</v>
      </c>
      <c r="O13" s="37">
        <v>495.4</v>
      </c>
      <c r="P13" s="37">
        <v>381.2</v>
      </c>
      <c r="Q13" s="37">
        <v>334.4</v>
      </c>
      <c r="R13" s="31">
        <v>407.1</v>
      </c>
    </row>
    <row r="14" spans="4:18" x14ac:dyDescent="0.25">
      <c r="D14" s="6"/>
      <c r="E14" s="498"/>
      <c r="F14" s="32" t="s">
        <v>8</v>
      </c>
      <c r="G14" s="33">
        <v>321</v>
      </c>
      <c r="H14" s="38">
        <v>216</v>
      </c>
      <c r="I14" s="38">
        <v>475.6</v>
      </c>
      <c r="J14" s="38">
        <v>347.2</v>
      </c>
      <c r="K14" s="38">
        <v>217.8</v>
      </c>
      <c r="L14" s="38">
        <v>380.7</v>
      </c>
      <c r="M14" s="38">
        <v>305.5</v>
      </c>
      <c r="N14" s="38">
        <v>297.89999999999998</v>
      </c>
      <c r="O14" s="38">
        <v>277.8</v>
      </c>
      <c r="P14" s="38">
        <v>329.6</v>
      </c>
      <c r="Q14" s="38">
        <v>295</v>
      </c>
      <c r="R14" s="34">
        <v>280.39999999999998</v>
      </c>
    </row>
    <row r="15" spans="4:18" s="10" customFormat="1" ht="15.75" thickBot="1" x14ac:dyDescent="0.3">
      <c r="D15" s="12"/>
      <c r="E15" s="499"/>
      <c r="F15" s="117" t="s">
        <v>72</v>
      </c>
      <c r="G15" s="35">
        <v>1554.5</v>
      </c>
      <c r="H15" s="110">
        <v>1933.4</v>
      </c>
      <c r="I15" s="110">
        <v>1666.1999999999998</v>
      </c>
      <c r="J15" s="110">
        <v>1651.3</v>
      </c>
      <c r="K15" s="110">
        <v>1514.6</v>
      </c>
      <c r="L15" s="110">
        <v>2000.3000000000002</v>
      </c>
      <c r="M15" s="110">
        <v>1782.1</v>
      </c>
      <c r="N15" s="110">
        <v>1724.3000000000002</v>
      </c>
      <c r="O15" s="110">
        <v>1827.1000000000001</v>
      </c>
      <c r="P15" s="110">
        <v>1785.8000000000002</v>
      </c>
      <c r="Q15" s="110">
        <v>1683.5</v>
      </c>
      <c r="R15" s="39">
        <v>1875.1</v>
      </c>
    </row>
    <row r="16" spans="4:18" x14ac:dyDescent="0.25">
      <c r="D16" s="6"/>
      <c r="E16" s="497" t="s">
        <v>75</v>
      </c>
      <c r="F16" s="119" t="s">
        <v>10</v>
      </c>
      <c r="G16" s="29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1">
        <v>0</v>
      </c>
    </row>
    <row r="17" spans="4:18" x14ac:dyDescent="0.25">
      <c r="E17" s="548"/>
      <c r="F17" s="119" t="s">
        <v>11</v>
      </c>
      <c r="G17" s="29">
        <v>0.5</v>
      </c>
      <c r="H17" s="37">
        <v>0.4</v>
      </c>
      <c r="I17" s="37">
        <v>0.1</v>
      </c>
      <c r="J17" s="37">
        <v>0.7</v>
      </c>
      <c r="K17" s="37">
        <v>0.4</v>
      </c>
      <c r="L17" s="37">
        <v>0.3</v>
      </c>
      <c r="M17" s="37">
        <v>1</v>
      </c>
      <c r="N17" s="37">
        <v>0.8</v>
      </c>
      <c r="O17" s="37">
        <v>0.6</v>
      </c>
      <c r="P17" s="37">
        <v>0.4</v>
      </c>
      <c r="Q17" s="37">
        <v>1</v>
      </c>
      <c r="R17" s="31">
        <v>0.9</v>
      </c>
    </row>
    <row r="18" spans="4:18" x14ac:dyDescent="0.25">
      <c r="E18" s="548"/>
      <c r="F18" s="32" t="s">
        <v>12</v>
      </c>
      <c r="G18" s="33">
        <v>5.0999999999999996</v>
      </c>
      <c r="H18" s="38">
        <v>6.8</v>
      </c>
      <c r="I18" s="38">
        <v>23.5</v>
      </c>
      <c r="J18" s="38">
        <v>16.8</v>
      </c>
      <c r="K18" s="38">
        <v>9.9</v>
      </c>
      <c r="L18" s="38">
        <v>27.5</v>
      </c>
      <c r="M18" s="38">
        <v>18.600000000000001</v>
      </c>
      <c r="N18" s="38">
        <v>9.6</v>
      </c>
      <c r="O18" s="38">
        <v>28.6</v>
      </c>
      <c r="P18" s="38">
        <v>19</v>
      </c>
      <c r="Q18" s="38">
        <v>15.3</v>
      </c>
      <c r="R18" s="34">
        <v>7.6</v>
      </c>
    </row>
    <row r="19" spans="4:18" s="10" customFormat="1" ht="15.75" thickBot="1" x14ac:dyDescent="0.3">
      <c r="E19" s="521"/>
      <c r="F19" s="117" t="s">
        <v>72</v>
      </c>
      <c r="G19" s="35">
        <v>5.6</v>
      </c>
      <c r="H19" s="110">
        <v>7.2</v>
      </c>
      <c r="I19" s="110">
        <v>23.6</v>
      </c>
      <c r="J19" s="110">
        <v>17.5</v>
      </c>
      <c r="K19" s="110">
        <v>10.3</v>
      </c>
      <c r="L19" s="110">
        <v>27.8</v>
      </c>
      <c r="M19" s="110">
        <v>19.600000000000001</v>
      </c>
      <c r="N19" s="110">
        <v>10.4</v>
      </c>
      <c r="O19" s="110">
        <v>29.200000000000003</v>
      </c>
      <c r="P19" s="110">
        <v>19.399999999999999</v>
      </c>
      <c r="Q19" s="110">
        <v>16.3</v>
      </c>
      <c r="R19" s="39">
        <v>8.5</v>
      </c>
    </row>
    <row r="20" spans="4:18" x14ac:dyDescent="0.25">
      <c r="E20" s="476" t="s">
        <v>13</v>
      </c>
      <c r="F20" s="40" t="s">
        <v>13</v>
      </c>
      <c r="G20" s="41">
        <v>34.4</v>
      </c>
      <c r="H20" s="42">
        <v>44</v>
      </c>
      <c r="I20" s="42">
        <v>30</v>
      </c>
      <c r="J20" s="42">
        <v>40.799999999999997</v>
      </c>
      <c r="K20" s="42">
        <v>25.8</v>
      </c>
      <c r="L20" s="42">
        <v>55.1</v>
      </c>
      <c r="M20" s="42">
        <v>27.8</v>
      </c>
      <c r="N20" s="42">
        <v>52.9</v>
      </c>
      <c r="O20" s="42">
        <v>27.6</v>
      </c>
      <c r="P20" s="42">
        <v>23.7</v>
      </c>
      <c r="Q20" s="42">
        <v>48.7</v>
      </c>
      <c r="R20" s="43">
        <v>21.6</v>
      </c>
    </row>
    <row r="21" spans="4:18" s="10" customFormat="1" ht="15.75" thickBot="1" x14ac:dyDescent="0.3">
      <c r="E21" s="521"/>
      <c r="F21" s="117" t="s">
        <v>72</v>
      </c>
      <c r="G21" s="35">
        <v>34.4</v>
      </c>
      <c r="H21" s="110">
        <v>44</v>
      </c>
      <c r="I21" s="110">
        <v>30</v>
      </c>
      <c r="J21" s="110">
        <v>40.799999999999997</v>
      </c>
      <c r="K21" s="110">
        <v>25.8</v>
      </c>
      <c r="L21" s="110">
        <v>55.1</v>
      </c>
      <c r="M21" s="110">
        <v>27.8</v>
      </c>
      <c r="N21" s="110">
        <v>52.9</v>
      </c>
      <c r="O21" s="110">
        <v>27.6</v>
      </c>
      <c r="P21" s="110">
        <v>23.7</v>
      </c>
      <c r="Q21" s="110">
        <v>48.7</v>
      </c>
      <c r="R21" s="39">
        <v>21.6</v>
      </c>
    </row>
    <row r="22" spans="4:18" s="10" customFormat="1" x14ac:dyDescent="0.25">
      <c r="E22" s="476" t="s">
        <v>153</v>
      </c>
      <c r="F22" s="267" t="s">
        <v>154</v>
      </c>
      <c r="G22" s="29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1">
        <v>0</v>
      </c>
    </row>
    <row r="23" spans="4:18" s="10" customFormat="1" x14ac:dyDescent="0.25">
      <c r="E23" s="548"/>
      <c r="F23" s="75" t="s">
        <v>155</v>
      </c>
      <c r="G23" s="29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1">
        <v>0</v>
      </c>
    </row>
    <row r="24" spans="4:18" s="10" customFormat="1" ht="15.75" thickBot="1" x14ac:dyDescent="0.3">
      <c r="E24" s="521"/>
      <c r="F24" s="48" t="s">
        <v>72</v>
      </c>
      <c r="G24" s="113">
        <v>0</v>
      </c>
      <c r="H24" s="112">
        <v>0</v>
      </c>
      <c r="I24" s="112">
        <v>0</v>
      </c>
      <c r="J24" s="112">
        <v>0</v>
      </c>
      <c r="K24" s="112">
        <v>0</v>
      </c>
      <c r="L24" s="112">
        <v>0</v>
      </c>
      <c r="M24" s="112">
        <v>0</v>
      </c>
      <c r="N24" s="112">
        <v>0</v>
      </c>
      <c r="O24" s="112">
        <v>0</v>
      </c>
      <c r="P24" s="112">
        <v>0</v>
      </c>
      <c r="Q24" s="112">
        <v>0</v>
      </c>
      <c r="R24" s="279">
        <v>0</v>
      </c>
    </row>
    <row r="25" spans="4:18" x14ac:dyDescent="0.25">
      <c r="D25" s="6"/>
      <c r="E25" s="497" t="s">
        <v>73</v>
      </c>
      <c r="F25" s="119" t="s">
        <v>16</v>
      </c>
      <c r="G25" s="29">
        <v>4.5</v>
      </c>
      <c r="H25" s="37">
        <v>3.4</v>
      </c>
      <c r="I25" s="37">
        <v>0.9</v>
      </c>
      <c r="J25" s="37">
        <v>25.4</v>
      </c>
      <c r="K25" s="37">
        <v>23</v>
      </c>
      <c r="L25" s="37">
        <v>19.399999999999999</v>
      </c>
      <c r="M25" s="37">
        <v>15.5</v>
      </c>
      <c r="N25" s="37">
        <v>11.8</v>
      </c>
      <c r="O25" s="37">
        <v>5.4</v>
      </c>
      <c r="P25" s="37">
        <v>2.1</v>
      </c>
      <c r="Q25" s="37">
        <v>24.6</v>
      </c>
      <c r="R25" s="31">
        <v>19.7</v>
      </c>
    </row>
    <row r="26" spans="4:18" x14ac:dyDescent="0.25">
      <c r="D26" s="6"/>
      <c r="E26" s="498"/>
      <c r="F26" s="119" t="s">
        <v>17</v>
      </c>
      <c r="G26" s="29">
        <v>36.1</v>
      </c>
      <c r="H26" s="37">
        <v>76.900000000000006</v>
      </c>
      <c r="I26" s="37">
        <v>125.2</v>
      </c>
      <c r="J26" s="37">
        <v>275.39999999999998</v>
      </c>
      <c r="K26" s="37">
        <v>310.2</v>
      </c>
      <c r="L26" s="37">
        <v>391</v>
      </c>
      <c r="M26" s="37">
        <v>370.4</v>
      </c>
      <c r="N26" s="37">
        <v>398.2</v>
      </c>
      <c r="O26" s="37">
        <v>397.3</v>
      </c>
      <c r="P26" s="37">
        <v>432.5</v>
      </c>
      <c r="Q26" s="37">
        <v>457.2</v>
      </c>
      <c r="R26" s="31">
        <v>477.4</v>
      </c>
    </row>
    <row r="27" spans="4:18" x14ac:dyDescent="0.25">
      <c r="D27" s="6"/>
      <c r="E27" s="498"/>
      <c r="F27" s="119" t="s">
        <v>18</v>
      </c>
      <c r="G27" s="29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1">
        <v>0</v>
      </c>
    </row>
    <row r="28" spans="4:18" x14ac:dyDescent="0.25">
      <c r="D28" s="6"/>
      <c r="E28" s="498"/>
      <c r="F28" s="119" t="s">
        <v>50</v>
      </c>
      <c r="G28" s="29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1">
        <v>0</v>
      </c>
    </row>
    <row r="29" spans="4:18" x14ac:dyDescent="0.25">
      <c r="D29" s="6"/>
      <c r="E29" s="498"/>
      <c r="F29" s="32" t="s">
        <v>19</v>
      </c>
      <c r="G29" s="33">
        <v>158.1</v>
      </c>
      <c r="H29" s="38">
        <v>168.1</v>
      </c>
      <c r="I29" s="38">
        <v>181.8</v>
      </c>
      <c r="J29" s="38">
        <v>208.1</v>
      </c>
      <c r="K29" s="38">
        <v>256.7</v>
      </c>
      <c r="L29" s="38">
        <v>195.3</v>
      </c>
      <c r="M29" s="38">
        <v>171.8</v>
      </c>
      <c r="N29" s="38">
        <v>186.4</v>
      </c>
      <c r="O29" s="38">
        <v>234.7</v>
      </c>
      <c r="P29" s="38">
        <v>267.7</v>
      </c>
      <c r="Q29" s="38">
        <v>218.9</v>
      </c>
      <c r="R29" s="34">
        <v>251</v>
      </c>
    </row>
    <row r="30" spans="4:18" s="10" customFormat="1" ht="15.75" thickBot="1" x14ac:dyDescent="0.3">
      <c r="D30" s="12"/>
      <c r="E30" s="499"/>
      <c r="F30" s="117" t="s">
        <v>72</v>
      </c>
      <c r="G30" s="133">
        <v>198.7</v>
      </c>
      <c r="H30" s="110">
        <v>248.4</v>
      </c>
      <c r="I30" s="110">
        <v>307.90000000000003</v>
      </c>
      <c r="J30" s="110">
        <v>508.9</v>
      </c>
      <c r="K30" s="110">
        <v>589.9</v>
      </c>
      <c r="L30" s="110">
        <v>605.70000000000005</v>
      </c>
      <c r="M30" s="110">
        <v>557.70000000000005</v>
      </c>
      <c r="N30" s="110">
        <v>596.4</v>
      </c>
      <c r="O30" s="110">
        <v>637.4</v>
      </c>
      <c r="P30" s="110">
        <v>702.3</v>
      </c>
      <c r="Q30" s="110">
        <v>700.7</v>
      </c>
      <c r="R30" s="39">
        <v>748.09999999999991</v>
      </c>
    </row>
    <row r="31" spans="4:18" x14ac:dyDescent="0.25">
      <c r="D31" s="6"/>
      <c r="E31" s="497" t="s">
        <v>76</v>
      </c>
      <c r="F31" s="70" t="s">
        <v>78</v>
      </c>
      <c r="G31" s="29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1">
        <v>0</v>
      </c>
    </row>
    <row r="32" spans="4:18" x14ac:dyDescent="0.25">
      <c r="D32" s="6"/>
      <c r="E32" s="542"/>
      <c r="F32" s="267" t="s">
        <v>156</v>
      </c>
      <c r="G32" s="29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1">
        <v>0</v>
      </c>
    </row>
    <row r="33" spans="4:18" x14ac:dyDescent="0.25">
      <c r="D33" s="6"/>
      <c r="E33" s="498"/>
      <c r="F33" s="267" t="s">
        <v>20</v>
      </c>
      <c r="G33" s="29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1">
        <v>0</v>
      </c>
    </row>
    <row r="34" spans="4:18" x14ac:dyDescent="0.25">
      <c r="D34" s="6"/>
      <c r="E34" s="498"/>
      <c r="F34" s="267" t="s">
        <v>151</v>
      </c>
      <c r="G34" s="29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1">
        <v>0</v>
      </c>
    </row>
    <row r="35" spans="4:18" x14ac:dyDescent="0.25">
      <c r="D35" s="6"/>
      <c r="E35" s="498"/>
      <c r="F35" s="75" t="s">
        <v>21</v>
      </c>
      <c r="G35" s="33">
        <v>15.7</v>
      </c>
      <c r="H35" s="38">
        <v>33.6</v>
      </c>
      <c r="I35" s="38">
        <v>47.8</v>
      </c>
      <c r="J35" s="38">
        <v>34.5</v>
      </c>
      <c r="K35" s="38">
        <v>19.399999999999999</v>
      </c>
      <c r="L35" s="38">
        <v>10.6</v>
      </c>
      <c r="M35" s="38">
        <v>20.7</v>
      </c>
      <c r="N35" s="38">
        <v>11</v>
      </c>
      <c r="O35" s="38">
        <v>2.4</v>
      </c>
      <c r="P35" s="38">
        <v>4.7</v>
      </c>
      <c r="Q35" s="38">
        <v>15</v>
      </c>
      <c r="R35" s="34">
        <v>18.7</v>
      </c>
    </row>
    <row r="36" spans="4:18" s="10" customFormat="1" ht="15.75" thickBot="1" x14ac:dyDescent="0.3">
      <c r="D36" s="12"/>
      <c r="E36" s="499"/>
      <c r="F36" s="262" t="s">
        <v>72</v>
      </c>
      <c r="G36" s="113">
        <v>15.7</v>
      </c>
      <c r="H36" s="110">
        <v>33.6</v>
      </c>
      <c r="I36" s="110">
        <v>47.8</v>
      </c>
      <c r="J36" s="110">
        <v>34.5</v>
      </c>
      <c r="K36" s="112">
        <v>19.399999999999999</v>
      </c>
      <c r="L36" s="110">
        <v>10.6</v>
      </c>
      <c r="M36" s="112">
        <v>20.7</v>
      </c>
      <c r="N36" s="112">
        <v>11</v>
      </c>
      <c r="O36" s="110">
        <v>2.4</v>
      </c>
      <c r="P36" s="110">
        <v>4.7</v>
      </c>
      <c r="Q36" s="112">
        <v>15</v>
      </c>
      <c r="R36" s="39">
        <v>18.7</v>
      </c>
    </row>
    <row r="37" spans="4:18" x14ac:dyDescent="0.25">
      <c r="D37" s="6"/>
      <c r="E37" s="497" t="s">
        <v>22</v>
      </c>
      <c r="F37" s="267" t="s">
        <v>23</v>
      </c>
      <c r="G37" s="29">
        <v>116.8</v>
      </c>
      <c r="H37" s="46">
        <v>113.3</v>
      </c>
      <c r="I37" s="46">
        <v>118.9</v>
      </c>
      <c r="J37" s="127">
        <v>112.6</v>
      </c>
      <c r="K37" s="37">
        <v>133.80000000000001</v>
      </c>
      <c r="L37" s="46">
        <v>159.30000000000001</v>
      </c>
      <c r="M37" s="37">
        <v>164.4</v>
      </c>
      <c r="N37" s="29">
        <v>143.9</v>
      </c>
      <c r="O37" s="52">
        <v>162</v>
      </c>
      <c r="P37" s="52">
        <v>171.5</v>
      </c>
      <c r="Q37" s="128">
        <v>181.3</v>
      </c>
      <c r="R37" s="174">
        <v>188.3</v>
      </c>
    </row>
    <row r="38" spans="4:18" x14ac:dyDescent="0.25">
      <c r="D38" s="6"/>
      <c r="E38" s="498"/>
      <c r="F38" s="267" t="s">
        <v>24</v>
      </c>
      <c r="G38" s="29">
        <v>0</v>
      </c>
      <c r="H38" s="37">
        <v>0</v>
      </c>
      <c r="I38" s="37">
        <v>0</v>
      </c>
      <c r="J38" s="129">
        <v>0</v>
      </c>
      <c r="K38" s="37">
        <v>0</v>
      </c>
      <c r="L38" s="37">
        <v>0</v>
      </c>
      <c r="M38" s="37">
        <v>0</v>
      </c>
      <c r="N38" s="29">
        <v>0</v>
      </c>
      <c r="O38" s="29">
        <v>0</v>
      </c>
      <c r="P38" s="29">
        <v>0</v>
      </c>
      <c r="Q38" s="37">
        <v>0</v>
      </c>
      <c r="R38" s="31">
        <v>0</v>
      </c>
    </row>
    <row r="39" spans="4:18" x14ac:dyDescent="0.25">
      <c r="D39" s="6"/>
      <c r="E39" s="498"/>
      <c r="F39" s="267" t="s">
        <v>25</v>
      </c>
      <c r="G39" s="29">
        <v>18.8</v>
      </c>
      <c r="H39" s="37">
        <v>10.9</v>
      </c>
      <c r="I39" s="37">
        <v>7</v>
      </c>
      <c r="J39" s="129">
        <v>31.6</v>
      </c>
      <c r="K39" s="37">
        <v>35.6</v>
      </c>
      <c r="L39" s="37">
        <v>25.1</v>
      </c>
      <c r="M39" s="37">
        <v>41.1</v>
      </c>
      <c r="N39" s="29">
        <v>20.2</v>
      </c>
      <c r="O39" s="29">
        <v>14.6</v>
      </c>
      <c r="P39" s="29">
        <v>23.3</v>
      </c>
      <c r="Q39" s="37">
        <v>22</v>
      </c>
      <c r="R39" s="31">
        <v>20.399999999999999</v>
      </c>
    </row>
    <row r="40" spans="4:18" x14ac:dyDescent="0.25">
      <c r="D40" s="6"/>
      <c r="E40" s="498"/>
      <c r="F40" s="75" t="s">
        <v>26</v>
      </c>
      <c r="G40" s="33">
        <v>129.4</v>
      </c>
      <c r="H40" s="38">
        <v>144.69999999999999</v>
      </c>
      <c r="I40" s="38">
        <v>113.6</v>
      </c>
      <c r="J40" s="130">
        <v>116.4</v>
      </c>
      <c r="K40" s="38">
        <v>155.30000000000001</v>
      </c>
      <c r="L40" s="38">
        <v>124.2</v>
      </c>
      <c r="M40" s="38">
        <v>152.69999999999999</v>
      </c>
      <c r="N40" s="33">
        <v>148.30000000000001</v>
      </c>
      <c r="O40" s="33">
        <v>120.6</v>
      </c>
      <c r="P40" s="33">
        <v>115.4</v>
      </c>
      <c r="Q40" s="38">
        <v>93.8</v>
      </c>
      <c r="R40" s="34">
        <v>83.5</v>
      </c>
    </row>
    <row r="41" spans="4:18" s="10" customFormat="1" ht="15.75" thickBot="1" x14ac:dyDescent="0.3">
      <c r="D41" s="12"/>
      <c r="E41" s="499"/>
      <c r="F41" s="262" t="s">
        <v>72</v>
      </c>
      <c r="G41" s="35">
        <v>265</v>
      </c>
      <c r="H41" s="110">
        <v>268.89999999999998</v>
      </c>
      <c r="I41" s="110">
        <v>239.5</v>
      </c>
      <c r="J41" s="131">
        <v>260.60000000000002</v>
      </c>
      <c r="K41" s="110">
        <v>324.70000000000005</v>
      </c>
      <c r="L41" s="110">
        <v>308.60000000000002</v>
      </c>
      <c r="M41" s="110">
        <v>358.2</v>
      </c>
      <c r="N41" s="35">
        <v>312.39999999999998</v>
      </c>
      <c r="O41" s="35">
        <v>297.2</v>
      </c>
      <c r="P41" s="35">
        <v>310.20000000000005</v>
      </c>
      <c r="Q41" s="110">
        <v>297.10000000000002</v>
      </c>
      <c r="R41" s="39">
        <v>292.20000000000005</v>
      </c>
    </row>
    <row r="42" spans="4:18" x14ac:dyDescent="0.25">
      <c r="D42" s="6"/>
      <c r="E42" s="497" t="s">
        <v>27</v>
      </c>
      <c r="F42" s="267" t="s">
        <v>28</v>
      </c>
      <c r="G42" s="29">
        <v>89.3</v>
      </c>
      <c r="H42" s="37">
        <v>208.6</v>
      </c>
      <c r="I42" s="37">
        <v>106.1</v>
      </c>
      <c r="J42" s="129">
        <v>438.6</v>
      </c>
      <c r="K42" s="37">
        <v>535.9</v>
      </c>
      <c r="L42" s="37">
        <v>527.5</v>
      </c>
      <c r="M42" s="37">
        <v>256</v>
      </c>
      <c r="N42" s="29">
        <v>189.4</v>
      </c>
      <c r="O42" s="29">
        <v>110.5</v>
      </c>
      <c r="P42" s="29">
        <v>156.9</v>
      </c>
      <c r="Q42" s="37">
        <v>165</v>
      </c>
      <c r="R42" s="31">
        <v>138.30000000000001</v>
      </c>
    </row>
    <row r="43" spans="4:18" x14ac:dyDescent="0.25">
      <c r="D43" s="6"/>
      <c r="E43" s="498"/>
      <c r="F43" s="75" t="s">
        <v>79</v>
      </c>
      <c r="G43" s="33">
        <v>29</v>
      </c>
      <c r="H43" s="38">
        <v>20.100000000000001</v>
      </c>
      <c r="I43" s="38">
        <v>16.7</v>
      </c>
      <c r="J43" s="130">
        <v>8.9</v>
      </c>
      <c r="K43" s="38">
        <v>31.8</v>
      </c>
      <c r="L43" s="38">
        <v>22.3</v>
      </c>
      <c r="M43" s="38">
        <v>20.100000000000001</v>
      </c>
      <c r="N43" s="33">
        <v>10.7</v>
      </c>
      <c r="O43" s="33">
        <v>29.1</v>
      </c>
      <c r="P43" s="33">
        <v>24.9</v>
      </c>
      <c r="Q43" s="38">
        <v>20</v>
      </c>
      <c r="R43" s="34">
        <v>14.6</v>
      </c>
    </row>
    <row r="44" spans="4:18" s="10" customFormat="1" ht="15.75" thickBot="1" x14ac:dyDescent="0.3">
      <c r="D44" s="12"/>
      <c r="E44" s="499"/>
      <c r="F44" s="262" t="s">
        <v>72</v>
      </c>
      <c r="G44" s="35">
        <v>118.3</v>
      </c>
      <c r="H44" s="110">
        <v>228.7</v>
      </c>
      <c r="I44" s="110">
        <v>122.8</v>
      </c>
      <c r="J44" s="131">
        <v>447.5</v>
      </c>
      <c r="K44" s="110">
        <v>567.69999999999993</v>
      </c>
      <c r="L44" s="110">
        <v>549.79999999999995</v>
      </c>
      <c r="M44" s="110">
        <v>276.10000000000002</v>
      </c>
      <c r="N44" s="35">
        <v>200.1</v>
      </c>
      <c r="O44" s="35">
        <v>139.6</v>
      </c>
      <c r="P44" s="35">
        <v>181.8</v>
      </c>
      <c r="Q44" s="110">
        <v>185</v>
      </c>
      <c r="R44" s="39">
        <v>152.9</v>
      </c>
    </row>
    <row r="45" spans="4:18" x14ac:dyDescent="0.25">
      <c r="D45" s="6"/>
      <c r="E45" s="497" t="s">
        <v>29</v>
      </c>
      <c r="F45" s="87" t="s">
        <v>30</v>
      </c>
      <c r="G45" s="139">
        <v>0</v>
      </c>
      <c r="H45" s="42">
        <v>0</v>
      </c>
      <c r="I45" s="42">
        <v>0</v>
      </c>
      <c r="J45" s="132">
        <v>0</v>
      </c>
      <c r="K45" s="42">
        <v>0</v>
      </c>
      <c r="L45" s="42">
        <v>0</v>
      </c>
      <c r="M45" s="42">
        <v>0</v>
      </c>
      <c r="N45" s="42">
        <v>0</v>
      </c>
      <c r="O45" s="41">
        <v>0</v>
      </c>
      <c r="P45" s="41">
        <v>0</v>
      </c>
      <c r="Q45" s="42">
        <v>0</v>
      </c>
      <c r="R45" s="43">
        <v>0</v>
      </c>
    </row>
    <row r="46" spans="4:18" s="10" customFormat="1" ht="15.75" thickBot="1" x14ac:dyDescent="0.3">
      <c r="D46" s="12"/>
      <c r="E46" s="543"/>
      <c r="F46" s="262" t="s">
        <v>72</v>
      </c>
      <c r="G46" s="35">
        <v>0</v>
      </c>
      <c r="H46" s="110">
        <v>0</v>
      </c>
      <c r="I46" s="110">
        <v>0</v>
      </c>
      <c r="J46" s="131">
        <v>0</v>
      </c>
      <c r="K46" s="110">
        <v>0</v>
      </c>
      <c r="L46" s="110">
        <v>0</v>
      </c>
      <c r="M46" s="110">
        <v>0</v>
      </c>
      <c r="N46" s="35">
        <v>0</v>
      </c>
      <c r="O46" s="35">
        <v>0</v>
      </c>
      <c r="P46" s="35">
        <v>0</v>
      </c>
      <c r="Q46" s="110">
        <v>0</v>
      </c>
      <c r="R46" s="39">
        <v>0</v>
      </c>
    </row>
    <row r="47" spans="4:18" x14ac:dyDescent="0.25">
      <c r="D47" s="6"/>
      <c r="E47" s="497" t="s">
        <v>32</v>
      </c>
      <c r="F47" s="87" t="s">
        <v>32</v>
      </c>
      <c r="G47" s="41">
        <v>42.3</v>
      </c>
      <c r="H47" s="42">
        <v>43.5</v>
      </c>
      <c r="I47" s="42">
        <v>44</v>
      </c>
      <c r="J47" s="132">
        <v>37.200000000000003</v>
      </c>
      <c r="K47" s="42">
        <v>43.6</v>
      </c>
      <c r="L47" s="42">
        <v>20</v>
      </c>
      <c r="M47" s="42">
        <v>17.399999999999999</v>
      </c>
      <c r="N47" s="41">
        <v>35.200000000000003</v>
      </c>
      <c r="O47" s="41">
        <v>52.2</v>
      </c>
      <c r="P47" s="41">
        <v>52.6</v>
      </c>
      <c r="Q47" s="42">
        <v>39.9</v>
      </c>
      <c r="R47" s="43">
        <v>50.2</v>
      </c>
    </row>
    <row r="48" spans="4:18" s="10" customFormat="1" ht="15.75" thickBot="1" x14ac:dyDescent="0.3">
      <c r="D48" s="12"/>
      <c r="E48" s="543"/>
      <c r="F48" s="262" t="s">
        <v>72</v>
      </c>
      <c r="G48" s="35">
        <v>42.3</v>
      </c>
      <c r="H48" s="110">
        <v>43.5</v>
      </c>
      <c r="I48" s="110">
        <v>44</v>
      </c>
      <c r="J48" s="131">
        <v>37.200000000000003</v>
      </c>
      <c r="K48" s="110">
        <v>43.6</v>
      </c>
      <c r="L48" s="110">
        <v>20</v>
      </c>
      <c r="M48" s="110">
        <v>17.399999999999999</v>
      </c>
      <c r="N48" s="35">
        <v>35.200000000000003</v>
      </c>
      <c r="O48" s="35">
        <v>52.2</v>
      </c>
      <c r="P48" s="35">
        <v>52.6</v>
      </c>
      <c r="Q48" s="110">
        <v>39.9</v>
      </c>
      <c r="R48" s="39">
        <v>50.2</v>
      </c>
    </row>
    <row r="49" spans="4:18" x14ac:dyDescent="0.25">
      <c r="D49" s="6"/>
      <c r="E49" s="497" t="s">
        <v>33</v>
      </c>
      <c r="F49" s="87" t="s">
        <v>33</v>
      </c>
      <c r="G49" s="41">
        <v>56.6</v>
      </c>
      <c r="H49" s="42">
        <v>15.3</v>
      </c>
      <c r="I49" s="42">
        <v>73.7</v>
      </c>
      <c r="J49" s="132">
        <v>49.5</v>
      </c>
      <c r="K49" s="42">
        <v>50.4</v>
      </c>
      <c r="L49" s="42">
        <v>45.1</v>
      </c>
      <c r="M49" s="42">
        <v>32.200000000000003</v>
      </c>
      <c r="N49" s="41">
        <v>32</v>
      </c>
      <c r="O49" s="41">
        <v>31.5</v>
      </c>
      <c r="P49" s="41">
        <v>27</v>
      </c>
      <c r="Q49" s="42">
        <v>36.200000000000003</v>
      </c>
      <c r="R49" s="43">
        <v>54.2</v>
      </c>
    </row>
    <row r="50" spans="4:18" s="10" customFormat="1" ht="15.75" thickBot="1" x14ac:dyDescent="0.3">
      <c r="D50" s="12"/>
      <c r="E50" s="543"/>
      <c r="F50" s="262" t="s">
        <v>72</v>
      </c>
      <c r="G50" s="35">
        <v>56.6</v>
      </c>
      <c r="H50" s="110">
        <v>15.3</v>
      </c>
      <c r="I50" s="110">
        <v>73.7</v>
      </c>
      <c r="J50" s="131">
        <v>49.5</v>
      </c>
      <c r="K50" s="110">
        <v>50.4</v>
      </c>
      <c r="L50" s="110">
        <v>45.1</v>
      </c>
      <c r="M50" s="110">
        <v>32.200000000000003</v>
      </c>
      <c r="N50" s="35">
        <v>32</v>
      </c>
      <c r="O50" s="35">
        <v>31.5</v>
      </c>
      <c r="P50" s="35">
        <v>27</v>
      </c>
      <c r="Q50" s="110">
        <v>36.200000000000003</v>
      </c>
      <c r="R50" s="39">
        <v>54.2</v>
      </c>
    </row>
    <row r="51" spans="4:18" x14ac:dyDescent="0.25">
      <c r="D51" s="6"/>
      <c r="E51" s="497" t="s">
        <v>34</v>
      </c>
      <c r="F51" s="40" t="s">
        <v>34</v>
      </c>
      <c r="G51" s="41">
        <v>16.5</v>
      </c>
      <c r="H51" s="42">
        <v>7.1</v>
      </c>
      <c r="I51" s="42">
        <v>16.2</v>
      </c>
      <c r="J51" s="132">
        <v>13</v>
      </c>
      <c r="K51" s="42">
        <v>7.6</v>
      </c>
      <c r="L51" s="42">
        <v>24.2</v>
      </c>
      <c r="M51" s="42">
        <v>20.7</v>
      </c>
      <c r="N51" s="41">
        <v>31.3</v>
      </c>
      <c r="O51" s="41">
        <v>7.1</v>
      </c>
      <c r="P51" s="41">
        <v>22.8</v>
      </c>
      <c r="Q51" s="42">
        <v>21.9</v>
      </c>
      <c r="R51" s="43">
        <v>77.7</v>
      </c>
    </row>
    <row r="52" spans="4:18" s="10" customFormat="1" ht="15.75" thickBot="1" x14ac:dyDescent="0.3">
      <c r="D52" s="12"/>
      <c r="E52" s="543"/>
      <c r="F52" s="117" t="s">
        <v>72</v>
      </c>
      <c r="G52" s="35">
        <v>16.5</v>
      </c>
      <c r="H52" s="110">
        <v>7.1</v>
      </c>
      <c r="I52" s="110">
        <v>16.2</v>
      </c>
      <c r="J52" s="131">
        <v>13</v>
      </c>
      <c r="K52" s="110">
        <v>7.6</v>
      </c>
      <c r="L52" s="110">
        <v>24.2</v>
      </c>
      <c r="M52" s="110">
        <v>20.7</v>
      </c>
      <c r="N52" s="35">
        <v>31.3</v>
      </c>
      <c r="O52" s="35">
        <v>7.1</v>
      </c>
      <c r="P52" s="35">
        <v>22.8</v>
      </c>
      <c r="Q52" s="110">
        <v>21.9</v>
      </c>
      <c r="R52" s="39">
        <v>77.7</v>
      </c>
    </row>
    <row r="53" spans="4:18" x14ac:dyDescent="0.25">
      <c r="D53" s="6"/>
      <c r="E53" s="497" t="s">
        <v>77</v>
      </c>
      <c r="F53" s="40" t="s">
        <v>30</v>
      </c>
      <c r="G53" s="41">
        <v>0</v>
      </c>
      <c r="H53" s="42">
        <v>0</v>
      </c>
      <c r="I53" s="42">
        <v>0</v>
      </c>
      <c r="J53" s="132">
        <v>0</v>
      </c>
      <c r="K53" s="42">
        <v>0</v>
      </c>
      <c r="L53" s="42">
        <v>0</v>
      </c>
      <c r="M53" s="42">
        <v>0</v>
      </c>
      <c r="N53" s="41">
        <v>0</v>
      </c>
      <c r="O53" s="41">
        <v>0</v>
      </c>
      <c r="P53" s="41">
        <v>0</v>
      </c>
      <c r="Q53" s="42">
        <v>0</v>
      </c>
      <c r="R53" s="43">
        <v>0</v>
      </c>
    </row>
    <row r="54" spans="4:18" s="10" customFormat="1" ht="15.75" thickBot="1" x14ac:dyDescent="0.3">
      <c r="D54" s="12"/>
      <c r="E54" s="543"/>
      <c r="F54" s="48" t="s">
        <v>72</v>
      </c>
      <c r="G54" s="35">
        <v>0</v>
      </c>
      <c r="H54" s="110">
        <v>0</v>
      </c>
      <c r="I54" s="110">
        <v>0</v>
      </c>
      <c r="J54" s="131">
        <v>0</v>
      </c>
      <c r="K54" s="110">
        <v>0</v>
      </c>
      <c r="L54" s="110">
        <v>0</v>
      </c>
      <c r="M54" s="110">
        <v>0</v>
      </c>
      <c r="N54" s="112">
        <v>0</v>
      </c>
      <c r="O54" s="35">
        <v>0</v>
      </c>
      <c r="P54" s="35">
        <v>0</v>
      </c>
      <c r="Q54" s="110">
        <v>0</v>
      </c>
      <c r="R54" s="39">
        <v>0</v>
      </c>
    </row>
    <row r="55" spans="4:18" x14ac:dyDescent="0.25">
      <c r="D55" s="6"/>
      <c r="E55" s="497" t="s">
        <v>31</v>
      </c>
      <c r="F55" s="32" t="s">
        <v>31</v>
      </c>
      <c r="G55" s="41">
        <v>22.7</v>
      </c>
      <c r="H55" s="42">
        <v>19.7</v>
      </c>
      <c r="I55" s="42">
        <v>17.7</v>
      </c>
      <c r="J55" s="134">
        <v>15.7</v>
      </c>
      <c r="K55" s="42">
        <v>17.5</v>
      </c>
      <c r="L55" s="42">
        <v>11.2</v>
      </c>
      <c r="M55" s="42">
        <v>9.1999999999999993</v>
      </c>
      <c r="N55" s="42">
        <v>9.1999999999999993</v>
      </c>
      <c r="O55" s="42">
        <v>9.1999999999999993</v>
      </c>
      <c r="P55" s="42">
        <v>8.4</v>
      </c>
      <c r="Q55" s="42">
        <v>8.4</v>
      </c>
      <c r="R55" s="43">
        <v>8.4</v>
      </c>
    </row>
    <row r="56" spans="4:18" s="10" customFormat="1" ht="15.75" thickBot="1" x14ac:dyDescent="0.3">
      <c r="D56" s="12"/>
      <c r="E56" s="543"/>
      <c r="F56" s="117" t="s">
        <v>72</v>
      </c>
      <c r="G56" s="35">
        <v>22.7</v>
      </c>
      <c r="H56" s="110">
        <v>19.7</v>
      </c>
      <c r="I56" s="110">
        <v>17.7</v>
      </c>
      <c r="J56" s="112">
        <v>15.7</v>
      </c>
      <c r="K56" s="112">
        <v>17.5</v>
      </c>
      <c r="L56" s="112">
        <v>11.2</v>
      </c>
      <c r="M56" s="110">
        <v>9.1999999999999993</v>
      </c>
      <c r="N56" s="110">
        <v>9.1999999999999993</v>
      </c>
      <c r="O56" s="110">
        <v>9.1999999999999993</v>
      </c>
      <c r="P56" s="110">
        <v>8.4</v>
      </c>
      <c r="Q56" s="110">
        <v>8.4</v>
      </c>
      <c r="R56" s="39">
        <v>8.4</v>
      </c>
    </row>
    <row r="57" spans="4:18" x14ac:dyDescent="0.25">
      <c r="D57" s="6"/>
      <c r="E57" s="497" t="s">
        <v>87</v>
      </c>
      <c r="F57" s="119" t="s">
        <v>14</v>
      </c>
      <c r="G57" s="29">
        <v>40.1</v>
      </c>
      <c r="H57" s="37">
        <v>26.4</v>
      </c>
      <c r="I57" s="37">
        <v>11.2</v>
      </c>
      <c r="J57" s="37">
        <v>35.700000000000003</v>
      </c>
      <c r="K57" s="37">
        <v>77.8</v>
      </c>
      <c r="L57" s="37">
        <v>58.9</v>
      </c>
      <c r="M57" s="37">
        <v>45.6</v>
      </c>
      <c r="N57" s="37">
        <v>38</v>
      </c>
      <c r="O57" s="37">
        <v>65.3</v>
      </c>
      <c r="P57" s="37">
        <v>87.9</v>
      </c>
      <c r="Q57" s="37">
        <v>47.5</v>
      </c>
      <c r="R57" s="31">
        <v>58.2</v>
      </c>
    </row>
    <row r="58" spans="4:18" x14ac:dyDescent="0.25">
      <c r="D58" s="6"/>
      <c r="E58" s="542"/>
      <c r="F58" s="119" t="s">
        <v>85</v>
      </c>
      <c r="G58" s="29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37">
        <v>0</v>
      </c>
      <c r="P58" s="37">
        <v>0</v>
      </c>
      <c r="Q58" s="37">
        <v>0</v>
      </c>
      <c r="R58" s="31">
        <v>0</v>
      </c>
    </row>
    <row r="59" spans="4:18" x14ac:dyDescent="0.25">
      <c r="D59" s="6"/>
      <c r="E59" s="542"/>
      <c r="F59" s="32" t="s">
        <v>15</v>
      </c>
      <c r="G59" s="33">
        <v>506.6</v>
      </c>
      <c r="H59" s="38">
        <v>367.9</v>
      </c>
      <c r="I59" s="38">
        <v>243.7</v>
      </c>
      <c r="J59" s="38">
        <v>256.5</v>
      </c>
      <c r="K59" s="38">
        <v>252.5</v>
      </c>
      <c r="L59" s="38">
        <v>221.4</v>
      </c>
      <c r="M59" s="38">
        <v>311.89999999999998</v>
      </c>
      <c r="N59" s="38">
        <v>312.10000000000002</v>
      </c>
      <c r="O59" s="38">
        <v>282.39999999999998</v>
      </c>
      <c r="P59" s="38">
        <v>362.7</v>
      </c>
      <c r="Q59" s="38">
        <v>176.9</v>
      </c>
      <c r="R59" s="34">
        <v>254.7</v>
      </c>
    </row>
    <row r="60" spans="4:18" s="10" customFormat="1" ht="15.75" thickBot="1" x14ac:dyDescent="0.3">
      <c r="D60" s="12"/>
      <c r="E60" s="543"/>
      <c r="F60" s="117" t="s">
        <v>72</v>
      </c>
      <c r="G60" s="135">
        <v>546.70000000000005</v>
      </c>
      <c r="H60" s="110">
        <v>394.29999999999995</v>
      </c>
      <c r="I60" s="110">
        <v>254.89999999999998</v>
      </c>
      <c r="J60" s="110">
        <v>292.2</v>
      </c>
      <c r="K60" s="110">
        <v>330.3</v>
      </c>
      <c r="L60" s="110">
        <v>280.3</v>
      </c>
      <c r="M60" s="110">
        <v>357.5</v>
      </c>
      <c r="N60" s="110">
        <v>350.1</v>
      </c>
      <c r="O60" s="110">
        <v>347.7</v>
      </c>
      <c r="P60" s="110">
        <v>450.6</v>
      </c>
      <c r="Q60" s="110">
        <v>224.4</v>
      </c>
      <c r="R60" s="177">
        <v>312.89999999999998</v>
      </c>
    </row>
    <row r="61" spans="4:18" ht="15.75" thickBot="1" x14ac:dyDescent="0.3">
      <c r="D61" s="6"/>
      <c r="E61" s="576" t="s">
        <v>48</v>
      </c>
      <c r="F61" s="577"/>
      <c r="G61" s="136">
        <v>2877</v>
      </c>
      <c r="H61" s="125">
        <v>3244.0999999999995</v>
      </c>
      <c r="I61" s="125">
        <v>2844.2999999999997</v>
      </c>
      <c r="J61" s="125">
        <v>3368.6999999999994</v>
      </c>
      <c r="K61" s="125">
        <v>3501.7999999999997</v>
      </c>
      <c r="L61" s="125">
        <v>3938.7000000000003</v>
      </c>
      <c r="M61" s="125">
        <v>3479.1999999999989</v>
      </c>
      <c r="N61" s="125">
        <v>3365.3</v>
      </c>
      <c r="O61" s="125">
        <v>3408.1999999999994</v>
      </c>
      <c r="P61" s="125">
        <v>3589.3000000000006</v>
      </c>
      <c r="Q61" s="125">
        <v>3277.1</v>
      </c>
      <c r="R61" s="120">
        <v>3620.4999999999995</v>
      </c>
    </row>
    <row r="62" spans="4:18" ht="15.75" thickBot="1" x14ac:dyDescent="0.3">
      <c r="D62" s="6"/>
      <c r="E62" s="578" t="s">
        <v>88</v>
      </c>
      <c r="F62" s="579"/>
      <c r="G62" s="124">
        <v>22926.5</v>
      </c>
      <c r="H62" s="124">
        <v>23277.599999999999</v>
      </c>
      <c r="I62" s="124">
        <v>23325.7</v>
      </c>
      <c r="J62" s="124">
        <v>27817.5</v>
      </c>
      <c r="K62" s="124">
        <v>32428.3</v>
      </c>
      <c r="L62" s="124">
        <v>34472.300000000003</v>
      </c>
      <c r="M62" s="124">
        <v>33888.6</v>
      </c>
      <c r="N62" s="124">
        <v>38186.6</v>
      </c>
      <c r="O62" s="124">
        <v>37270</v>
      </c>
      <c r="P62" s="124">
        <v>35834.199999999997</v>
      </c>
      <c r="Q62" s="124">
        <v>32209.200000000001</v>
      </c>
      <c r="R62" s="123">
        <v>29789.1</v>
      </c>
    </row>
    <row r="63" spans="4:18" ht="15.75" thickBot="1" x14ac:dyDescent="0.3">
      <c r="D63" s="6"/>
      <c r="E63" s="578" t="s">
        <v>68</v>
      </c>
      <c r="F63" s="579"/>
      <c r="G63" s="122">
        <v>998.7</v>
      </c>
      <c r="H63" s="122">
        <v>1686.8</v>
      </c>
      <c r="I63" s="122">
        <v>2672.4</v>
      </c>
      <c r="J63" s="122">
        <v>3249.7</v>
      </c>
      <c r="K63" s="122">
        <v>3256.2</v>
      </c>
      <c r="L63" s="122">
        <v>4133.1000000000004</v>
      </c>
      <c r="M63" s="122">
        <v>3919.9</v>
      </c>
      <c r="N63" s="122">
        <v>4858.3</v>
      </c>
      <c r="O63" s="122">
        <v>4465.6000000000004</v>
      </c>
      <c r="P63" s="122">
        <v>4025.5</v>
      </c>
      <c r="Q63" s="122">
        <v>3979.3</v>
      </c>
      <c r="R63" s="123">
        <v>3654.4</v>
      </c>
    </row>
    <row r="64" spans="4:18" ht="15.75" thickBot="1" x14ac:dyDescent="0.3">
      <c r="D64" s="6"/>
      <c r="E64" s="576" t="s">
        <v>35</v>
      </c>
      <c r="F64" s="577"/>
      <c r="G64" s="125">
        <v>26802.2</v>
      </c>
      <c r="H64" s="125">
        <v>28208.499999999996</v>
      </c>
      <c r="I64" s="125">
        <v>28842.400000000001</v>
      </c>
      <c r="J64" s="125">
        <v>34435.9</v>
      </c>
      <c r="K64" s="125">
        <v>39186.299999999996</v>
      </c>
      <c r="L64" s="125">
        <v>42544.1</v>
      </c>
      <c r="M64" s="125">
        <v>41287.699999999997</v>
      </c>
      <c r="N64" s="125">
        <v>46410.200000000004</v>
      </c>
      <c r="O64" s="125">
        <v>45143.799999999996</v>
      </c>
      <c r="P64" s="125">
        <v>43449</v>
      </c>
      <c r="Q64" s="125">
        <v>39465.600000000006</v>
      </c>
      <c r="R64" s="120">
        <v>37064</v>
      </c>
    </row>
    <row r="65" spans="5:18" ht="15.75" thickBot="1" x14ac:dyDescent="0.3">
      <c r="E65" s="580" t="s">
        <v>91</v>
      </c>
      <c r="F65" s="581"/>
      <c r="G65" s="137">
        <v>1896</v>
      </c>
      <c r="H65" s="137">
        <v>1892</v>
      </c>
      <c r="I65" s="137">
        <v>1891</v>
      </c>
      <c r="J65" s="137">
        <v>1888</v>
      </c>
      <c r="K65" s="137">
        <v>1883</v>
      </c>
      <c r="L65" s="137">
        <v>1880</v>
      </c>
      <c r="M65" s="137">
        <v>1878</v>
      </c>
      <c r="N65" s="137">
        <v>1875</v>
      </c>
      <c r="O65" s="137">
        <v>1872</v>
      </c>
      <c r="P65" s="137">
        <v>1869</v>
      </c>
      <c r="Q65" s="137">
        <v>1869</v>
      </c>
      <c r="R65" s="178">
        <v>1861</v>
      </c>
    </row>
    <row r="66" spans="5:18" ht="5.25" customHeight="1" x14ac:dyDescent="0.25"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7"/>
      <c r="R66" s="7"/>
    </row>
    <row r="67" spans="5:18" x14ac:dyDescent="0.25">
      <c r="E67" s="546" t="s">
        <v>92</v>
      </c>
      <c r="F67" s="546"/>
      <c r="G67" s="546"/>
      <c r="H67" s="546"/>
      <c r="I67" s="546"/>
      <c r="J67" s="546"/>
      <c r="K67" s="546"/>
      <c r="L67" s="546"/>
      <c r="M67" s="546"/>
      <c r="N67" s="546"/>
      <c r="O67" s="546"/>
      <c r="P67" s="546"/>
      <c r="Q67" s="546"/>
      <c r="R67" s="546"/>
    </row>
    <row r="68" spans="5:18" x14ac:dyDescent="0.25">
      <c r="E68" s="546" t="s">
        <v>93</v>
      </c>
      <c r="F68" s="546"/>
      <c r="G68" s="546"/>
      <c r="H68" s="546"/>
      <c r="I68" s="546"/>
      <c r="J68" s="546"/>
      <c r="K68" s="546"/>
      <c r="L68" s="546"/>
      <c r="M68" s="546"/>
      <c r="N68" s="546"/>
      <c r="O68" s="546"/>
      <c r="P68" s="546"/>
      <c r="Q68" s="546"/>
      <c r="R68" s="546"/>
    </row>
    <row r="69" spans="5:18" ht="14.25" customHeight="1" x14ac:dyDescent="0.25">
      <c r="E69" s="276" t="s">
        <v>86</v>
      </c>
      <c r="F69" s="276"/>
      <c r="G69" s="276"/>
      <c r="H69" s="276"/>
      <c r="I69" s="276"/>
      <c r="J69" s="276"/>
      <c r="K69" s="276"/>
      <c r="L69" s="276"/>
      <c r="M69" s="276"/>
      <c r="N69" s="276"/>
      <c r="O69" s="276"/>
      <c r="P69" s="276"/>
      <c r="Q69" s="276"/>
      <c r="R69" s="261" t="s">
        <v>121</v>
      </c>
    </row>
  </sheetData>
  <mergeCells count="25">
    <mergeCell ref="E68:R68"/>
    <mergeCell ref="E61:F61"/>
    <mergeCell ref="E62:F62"/>
    <mergeCell ref="E63:F63"/>
    <mergeCell ref="E64:F64"/>
    <mergeCell ref="E65:F65"/>
    <mergeCell ref="E67:R67"/>
    <mergeCell ref="E57:E60"/>
    <mergeCell ref="E22:E24"/>
    <mergeCell ref="E25:E30"/>
    <mergeCell ref="E31:E36"/>
    <mergeCell ref="E37:E41"/>
    <mergeCell ref="E42:E44"/>
    <mergeCell ref="E45:E46"/>
    <mergeCell ref="E47:E48"/>
    <mergeCell ref="E49:E50"/>
    <mergeCell ref="E51:E52"/>
    <mergeCell ref="E53:E54"/>
    <mergeCell ref="E55:E56"/>
    <mergeCell ref="E20:E21"/>
    <mergeCell ref="E1:R2"/>
    <mergeCell ref="E3:R3"/>
    <mergeCell ref="E5:R5"/>
    <mergeCell ref="E7:E15"/>
    <mergeCell ref="E16:E19"/>
  </mergeCells>
  <pageMargins left="0.70866141732283472" right="0.70866141732283472" top="0.67500000000000004" bottom="0.72222222222222221" header="0.31496062992125984" footer="0.31496062992125984"/>
  <pageSetup paperSize="9" scale="48" orientation="landscape" r:id="rId1"/>
  <headerFooter>
    <oddHeader>&amp;L&amp;G&amp;RCAMPAÑA: 2024/2025. MES: SEPTIEMBRE
Fecha de emisión de datos: 07/05/2026</oddHead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67"/>
  <sheetViews>
    <sheetView view="pageLayout" topLeftCell="A53" zoomScale="106" zoomScaleNormal="100" zoomScaleSheetLayoutView="85" zoomScalePageLayoutView="106" workbookViewId="0">
      <selection activeCell="B1" sqref="B1:H1"/>
    </sheetView>
  </sheetViews>
  <sheetFormatPr baseColWidth="10" defaultColWidth="11.42578125" defaultRowHeight="15" x14ac:dyDescent="0.25"/>
  <cols>
    <col min="1" max="1" width="8.140625" customWidth="1"/>
    <col min="2" max="2" width="7.42578125" customWidth="1"/>
    <col min="3" max="3" width="24.85546875" customWidth="1"/>
    <col min="4" max="4" width="23.5703125" bestFit="1" customWidth="1"/>
    <col min="5" max="5" width="17.140625" bestFit="1" customWidth="1"/>
    <col min="6" max="6" width="15.85546875" bestFit="1" customWidth="1"/>
    <col min="7" max="7" width="10.5703125" customWidth="1"/>
    <col min="8" max="8" width="6.140625" customWidth="1"/>
    <col min="9" max="9" width="1.5703125" customWidth="1"/>
  </cols>
  <sheetData>
    <row r="1" spans="2:8" ht="28.5" customHeight="1" x14ac:dyDescent="0.25">
      <c r="B1" s="482" t="s">
        <v>140</v>
      </c>
      <c r="C1" s="482"/>
      <c r="D1" s="482"/>
      <c r="E1" s="482"/>
      <c r="F1" s="482"/>
      <c r="G1" s="482"/>
      <c r="H1" s="482"/>
    </row>
    <row r="2" spans="2:8" ht="11.25" customHeight="1" x14ac:dyDescent="0.25">
      <c r="B2" s="482" t="s">
        <v>141</v>
      </c>
      <c r="C2" s="482"/>
      <c r="D2" s="482"/>
      <c r="E2" s="482"/>
      <c r="F2" s="482"/>
      <c r="G2" s="482"/>
      <c r="H2" s="482"/>
    </row>
    <row r="3" spans="2:8" ht="12.75" customHeight="1" x14ac:dyDescent="0.25">
      <c r="B3" s="482"/>
      <c r="C3" s="482"/>
      <c r="D3" s="482"/>
      <c r="E3" s="482"/>
      <c r="F3" s="482"/>
      <c r="G3" s="482"/>
      <c r="H3" s="482"/>
    </row>
    <row r="4" spans="2:8" ht="7.5" customHeight="1" thickBot="1" x14ac:dyDescent="0.3"/>
    <row r="5" spans="2:8" ht="15.75" thickBot="1" x14ac:dyDescent="0.3">
      <c r="B5" s="6"/>
      <c r="C5" s="582" t="s">
        <v>54</v>
      </c>
      <c r="D5" s="584" t="s">
        <v>4</v>
      </c>
      <c r="E5" s="586" t="s">
        <v>61</v>
      </c>
      <c r="F5" s="587"/>
      <c r="G5" s="588"/>
    </row>
    <row r="6" spans="2:8" ht="15.75" thickBot="1" x14ac:dyDescent="0.3">
      <c r="B6" s="6"/>
      <c r="C6" s="583"/>
      <c r="D6" s="585"/>
      <c r="E6" s="140" t="s">
        <v>62</v>
      </c>
      <c r="F6" s="141" t="s">
        <v>63</v>
      </c>
      <c r="G6" s="142" t="s">
        <v>48</v>
      </c>
    </row>
    <row r="7" spans="2:8" x14ac:dyDescent="0.25">
      <c r="B7" s="6"/>
      <c r="C7" s="589" t="s">
        <v>74</v>
      </c>
      <c r="D7" s="97" t="s">
        <v>80</v>
      </c>
      <c r="E7" s="143">
        <v>28</v>
      </c>
      <c r="F7" s="144">
        <v>2</v>
      </c>
      <c r="G7" s="145">
        <v>30</v>
      </c>
    </row>
    <row r="8" spans="2:8" x14ac:dyDescent="0.25">
      <c r="B8" s="6"/>
      <c r="C8" s="590"/>
      <c r="D8" s="98" t="s">
        <v>81</v>
      </c>
      <c r="E8" s="146">
        <v>20</v>
      </c>
      <c r="F8" s="147">
        <v>4</v>
      </c>
      <c r="G8" s="148">
        <v>24</v>
      </c>
    </row>
    <row r="9" spans="2:8" x14ac:dyDescent="0.25">
      <c r="B9" s="6"/>
      <c r="C9" s="590"/>
      <c r="D9" s="98" t="s">
        <v>82</v>
      </c>
      <c r="E9" s="146">
        <v>134</v>
      </c>
      <c r="F9" s="147">
        <v>23</v>
      </c>
      <c r="G9" s="148">
        <v>157</v>
      </c>
    </row>
    <row r="10" spans="2:8" x14ac:dyDescent="0.25">
      <c r="B10" s="6"/>
      <c r="C10" s="590"/>
      <c r="D10" s="98" t="s">
        <v>6</v>
      </c>
      <c r="E10" s="146">
        <v>75</v>
      </c>
      <c r="F10" s="147">
        <v>6</v>
      </c>
      <c r="G10" s="148">
        <v>81</v>
      </c>
    </row>
    <row r="11" spans="2:8" x14ac:dyDescent="0.25">
      <c r="B11" s="6"/>
      <c r="C11" s="590"/>
      <c r="D11" s="98" t="s">
        <v>7</v>
      </c>
      <c r="E11" s="146">
        <v>19</v>
      </c>
      <c r="F11" s="257" t="s">
        <v>148</v>
      </c>
      <c r="G11" s="148">
        <v>19</v>
      </c>
    </row>
    <row r="12" spans="2:8" x14ac:dyDescent="0.25">
      <c r="B12" s="6"/>
      <c r="C12" s="590"/>
      <c r="D12" s="98" t="s">
        <v>83</v>
      </c>
      <c r="E12" s="146">
        <v>232</v>
      </c>
      <c r="F12" s="147">
        <v>32</v>
      </c>
      <c r="G12" s="148">
        <v>264</v>
      </c>
    </row>
    <row r="13" spans="2:8" x14ac:dyDescent="0.25">
      <c r="B13" s="6"/>
      <c r="C13" s="590"/>
      <c r="D13" s="98" t="s">
        <v>84</v>
      </c>
      <c r="E13" s="146">
        <v>60</v>
      </c>
      <c r="F13" s="147">
        <v>16</v>
      </c>
      <c r="G13" s="148">
        <v>76</v>
      </c>
    </row>
    <row r="14" spans="2:8" x14ac:dyDescent="0.25">
      <c r="B14" s="6"/>
      <c r="C14" s="590"/>
      <c r="D14" s="99" t="s">
        <v>8</v>
      </c>
      <c r="E14" s="149">
        <v>57</v>
      </c>
      <c r="F14" s="150">
        <v>21</v>
      </c>
      <c r="G14" s="151">
        <v>78</v>
      </c>
    </row>
    <row r="15" spans="2:8" ht="15.75" thickBot="1" x14ac:dyDescent="0.3">
      <c r="B15" s="6"/>
      <c r="C15" s="591"/>
      <c r="D15" s="100" t="s">
        <v>72</v>
      </c>
      <c r="E15" s="101">
        <v>625</v>
      </c>
      <c r="F15" s="152">
        <v>104</v>
      </c>
      <c r="G15" s="153">
        <v>729</v>
      </c>
    </row>
    <row r="16" spans="2:8" x14ac:dyDescent="0.25">
      <c r="C16" s="593" t="s">
        <v>75</v>
      </c>
      <c r="D16" s="98" t="s">
        <v>10</v>
      </c>
      <c r="E16" s="146">
        <v>27</v>
      </c>
      <c r="F16" s="147">
        <v>2</v>
      </c>
      <c r="G16" s="148">
        <v>29</v>
      </c>
    </row>
    <row r="17" spans="2:7" x14ac:dyDescent="0.25">
      <c r="C17" s="594"/>
      <c r="D17" s="98" t="s">
        <v>11</v>
      </c>
      <c r="E17" s="146">
        <v>27</v>
      </c>
      <c r="F17" s="257" t="s">
        <v>148</v>
      </c>
      <c r="G17" s="148">
        <v>27</v>
      </c>
    </row>
    <row r="18" spans="2:7" x14ac:dyDescent="0.25">
      <c r="C18" s="594"/>
      <c r="D18" s="99" t="s">
        <v>12</v>
      </c>
      <c r="E18" s="149">
        <v>40</v>
      </c>
      <c r="F18" s="150">
        <v>6</v>
      </c>
      <c r="G18" s="151">
        <v>46</v>
      </c>
    </row>
    <row r="19" spans="2:7" ht="15.75" thickBot="1" x14ac:dyDescent="0.3">
      <c r="C19" s="595"/>
      <c r="D19" s="100" t="s">
        <v>72</v>
      </c>
      <c r="E19" s="101">
        <v>94</v>
      </c>
      <c r="F19" s="152">
        <v>8</v>
      </c>
      <c r="G19" s="153">
        <v>102</v>
      </c>
    </row>
    <row r="20" spans="2:7" x14ac:dyDescent="0.25">
      <c r="C20" s="593" t="s">
        <v>13</v>
      </c>
      <c r="D20" s="102" t="s">
        <v>13</v>
      </c>
      <c r="E20" s="154">
        <v>23</v>
      </c>
      <c r="F20" s="155">
        <v>11</v>
      </c>
      <c r="G20" s="148">
        <v>34</v>
      </c>
    </row>
    <row r="21" spans="2:7" ht="15.75" thickBot="1" x14ac:dyDescent="0.3">
      <c r="C21" s="595"/>
      <c r="D21" s="100" t="s">
        <v>72</v>
      </c>
      <c r="E21" s="101">
        <v>23</v>
      </c>
      <c r="F21" s="152">
        <v>11</v>
      </c>
      <c r="G21" s="156">
        <v>34</v>
      </c>
    </row>
    <row r="22" spans="2:7" x14ac:dyDescent="0.25">
      <c r="C22" s="593" t="s">
        <v>153</v>
      </c>
      <c r="D22" s="97" t="s">
        <v>154</v>
      </c>
      <c r="E22" s="146">
        <v>1</v>
      </c>
      <c r="F22" s="147">
        <v>2</v>
      </c>
      <c r="G22" s="148">
        <v>3</v>
      </c>
    </row>
    <row r="23" spans="2:7" x14ac:dyDescent="0.25">
      <c r="C23" s="594"/>
      <c r="D23" s="99" t="s">
        <v>155</v>
      </c>
      <c r="E23" s="146">
        <v>2</v>
      </c>
      <c r="F23" s="257" t="s">
        <v>148</v>
      </c>
      <c r="G23" s="148">
        <v>2</v>
      </c>
    </row>
    <row r="24" spans="2:7" ht="15.75" thickBot="1" x14ac:dyDescent="0.3">
      <c r="C24" s="595"/>
      <c r="D24" s="103" t="s">
        <v>72</v>
      </c>
      <c r="E24" s="157">
        <v>3</v>
      </c>
      <c r="F24" s="158">
        <v>2</v>
      </c>
      <c r="G24" s="289">
        <v>5</v>
      </c>
    </row>
    <row r="25" spans="2:7" x14ac:dyDescent="0.25">
      <c r="B25" s="6"/>
      <c r="C25" s="589" t="s">
        <v>73</v>
      </c>
      <c r="D25" s="97" t="s">
        <v>16</v>
      </c>
      <c r="E25" s="146">
        <v>37</v>
      </c>
      <c r="F25" s="147">
        <v>6</v>
      </c>
      <c r="G25" s="148">
        <v>43</v>
      </c>
    </row>
    <row r="26" spans="2:7" x14ac:dyDescent="0.25">
      <c r="B26" s="6"/>
      <c r="C26" s="590"/>
      <c r="D26" s="98" t="s">
        <v>17</v>
      </c>
      <c r="E26" s="146">
        <v>69</v>
      </c>
      <c r="F26" s="147">
        <v>10</v>
      </c>
      <c r="G26" s="148">
        <v>79</v>
      </c>
    </row>
    <row r="27" spans="2:7" x14ac:dyDescent="0.25">
      <c r="B27" s="6"/>
      <c r="C27" s="590"/>
      <c r="D27" s="98" t="s">
        <v>18</v>
      </c>
      <c r="E27" s="146">
        <v>26</v>
      </c>
      <c r="F27" s="147">
        <v>2</v>
      </c>
      <c r="G27" s="148">
        <v>28</v>
      </c>
    </row>
    <row r="28" spans="2:7" x14ac:dyDescent="0.25">
      <c r="B28" s="6"/>
      <c r="C28" s="590"/>
      <c r="D28" s="98" t="s">
        <v>50</v>
      </c>
      <c r="E28" s="146">
        <v>7</v>
      </c>
      <c r="F28" s="257" t="s">
        <v>148</v>
      </c>
      <c r="G28" s="148">
        <v>7</v>
      </c>
    </row>
    <row r="29" spans="2:7" x14ac:dyDescent="0.25">
      <c r="B29" s="6"/>
      <c r="C29" s="590"/>
      <c r="D29" s="99" t="s">
        <v>19</v>
      </c>
      <c r="E29" s="149">
        <v>102</v>
      </c>
      <c r="F29" s="150">
        <v>7</v>
      </c>
      <c r="G29" s="151">
        <v>109</v>
      </c>
    </row>
    <row r="30" spans="2:7" ht="15.75" thickBot="1" x14ac:dyDescent="0.3">
      <c r="B30" s="6"/>
      <c r="C30" s="591"/>
      <c r="D30" s="100" t="s">
        <v>72</v>
      </c>
      <c r="E30" s="101">
        <v>241</v>
      </c>
      <c r="F30" s="152">
        <v>25</v>
      </c>
      <c r="G30" s="153">
        <v>266</v>
      </c>
    </row>
    <row r="31" spans="2:7" x14ac:dyDescent="0.25">
      <c r="B31" s="6"/>
      <c r="C31" s="589" t="s">
        <v>76</v>
      </c>
      <c r="D31" s="98" t="s">
        <v>78</v>
      </c>
      <c r="E31" s="146">
        <v>10</v>
      </c>
      <c r="F31" s="257" t="s">
        <v>148</v>
      </c>
      <c r="G31" s="148">
        <v>10</v>
      </c>
    </row>
    <row r="32" spans="2:7" x14ac:dyDescent="0.25">
      <c r="B32" s="6"/>
      <c r="C32" s="596"/>
      <c r="D32" s="98" t="s">
        <v>156</v>
      </c>
      <c r="E32" s="297" t="s">
        <v>148</v>
      </c>
      <c r="F32" s="147">
        <v>1</v>
      </c>
      <c r="G32" s="148">
        <v>1</v>
      </c>
    </row>
    <row r="33" spans="2:8" x14ac:dyDescent="0.25">
      <c r="B33" s="6"/>
      <c r="C33" s="590"/>
      <c r="D33" s="98" t="s">
        <v>20</v>
      </c>
      <c r="E33" s="146">
        <v>4</v>
      </c>
      <c r="F33" s="147">
        <v>2</v>
      </c>
      <c r="G33" s="148">
        <v>6</v>
      </c>
    </row>
    <row r="34" spans="2:8" x14ac:dyDescent="0.25">
      <c r="B34" s="6"/>
      <c r="C34" s="590"/>
      <c r="D34" s="98" t="s">
        <v>151</v>
      </c>
      <c r="E34" s="146">
        <v>1</v>
      </c>
      <c r="F34" s="257" t="s">
        <v>148</v>
      </c>
      <c r="G34" s="148">
        <v>1</v>
      </c>
    </row>
    <row r="35" spans="2:8" x14ac:dyDescent="0.25">
      <c r="B35" s="6"/>
      <c r="C35" s="590"/>
      <c r="D35" s="99" t="s">
        <v>21</v>
      </c>
      <c r="E35" s="149">
        <v>3</v>
      </c>
      <c r="F35" s="150">
        <v>3</v>
      </c>
      <c r="G35" s="151">
        <v>6</v>
      </c>
    </row>
    <row r="36" spans="2:8" ht="15.75" thickBot="1" x14ac:dyDescent="0.3">
      <c r="B36" s="6"/>
      <c r="C36" s="591"/>
      <c r="D36" s="100" t="s">
        <v>72</v>
      </c>
      <c r="E36" s="101">
        <v>18</v>
      </c>
      <c r="F36" s="152">
        <v>6</v>
      </c>
      <c r="G36" s="153">
        <v>24</v>
      </c>
    </row>
    <row r="37" spans="2:8" x14ac:dyDescent="0.25">
      <c r="B37" s="6"/>
      <c r="C37" s="589" t="s">
        <v>22</v>
      </c>
      <c r="D37" s="98" t="s">
        <v>23</v>
      </c>
      <c r="E37" s="146">
        <v>9</v>
      </c>
      <c r="F37" s="147">
        <v>6</v>
      </c>
      <c r="G37" s="148">
        <v>15</v>
      </c>
    </row>
    <row r="38" spans="2:8" x14ac:dyDescent="0.25">
      <c r="B38" s="6"/>
      <c r="C38" s="590"/>
      <c r="D38" s="98" t="s">
        <v>24</v>
      </c>
      <c r="E38" s="146">
        <v>12</v>
      </c>
      <c r="F38" s="147">
        <v>1</v>
      </c>
      <c r="G38" s="148">
        <v>13</v>
      </c>
    </row>
    <row r="39" spans="2:8" x14ac:dyDescent="0.25">
      <c r="B39" s="6"/>
      <c r="C39" s="590"/>
      <c r="D39" s="98" t="s">
        <v>25</v>
      </c>
      <c r="E39" s="146">
        <v>55</v>
      </c>
      <c r="F39" s="147">
        <v>7</v>
      </c>
      <c r="G39" s="148">
        <v>62</v>
      </c>
    </row>
    <row r="40" spans="2:8" x14ac:dyDescent="0.25">
      <c r="B40" s="6"/>
      <c r="C40" s="590"/>
      <c r="D40" s="99" t="s">
        <v>26</v>
      </c>
      <c r="E40" s="149">
        <v>81</v>
      </c>
      <c r="F40" s="150">
        <v>14</v>
      </c>
      <c r="G40" s="151">
        <v>95</v>
      </c>
    </row>
    <row r="41" spans="2:8" ht="15.75" thickBot="1" x14ac:dyDescent="0.3">
      <c r="B41" s="6"/>
      <c r="C41" s="591"/>
      <c r="D41" s="100" t="s">
        <v>72</v>
      </c>
      <c r="E41" s="157">
        <v>157</v>
      </c>
      <c r="F41" s="158">
        <v>28</v>
      </c>
      <c r="G41" s="153">
        <v>185</v>
      </c>
    </row>
    <row r="42" spans="2:8" x14ac:dyDescent="0.25">
      <c r="B42" s="6"/>
      <c r="C42" s="589" t="s">
        <v>27</v>
      </c>
      <c r="D42" s="97" t="s">
        <v>28</v>
      </c>
      <c r="E42" s="143">
        <v>78</v>
      </c>
      <c r="F42" s="147">
        <v>5</v>
      </c>
      <c r="G42" s="148">
        <v>83</v>
      </c>
    </row>
    <row r="43" spans="2:8" x14ac:dyDescent="0.25">
      <c r="B43" s="6"/>
      <c r="C43" s="590"/>
      <c r="D43" s="99" t="s">
        <v>79</v>
      </c>
      <c r="E43" s="149">
        <v>46</v>
      </c>
      <c r="F43" s="150">
        <v>2</v>
      </c>
      <c r="G43" s="151">
        <v>48</v>
      </c>
    </row>
    <row r="44" spans="2:8" ht="15.75" thickBot="1" x14ac:dyDescent="0.3">
      <c r="B44" s="6"/>
      <c r="C44" s="591"/>
      <c r="D44" s="100" t="s">
        <v>72</v>
      </c>
      <c r="E44" s="157">
        <v>124</v>
      </c>
      <c r="F44" s="158">
        <v>7</v>
      </c>
      <c r="G44" s="153">
        <v>131</v>
      </c>
    </row>
    <row r="45" spans="2:8" x14ac:dyDescent="0.25">
      <c r="B45" s="6"/>
      <c r="C45" s="589" t="s">
        <v>29</v>
      </c>
      <c r="D45" s="102" t="s">
        <v>30</v>
      </c>
      <c r="E45" s="159">
        <v>2</v>
      </c>
      <c r="F45" s="258" t="s">
        <v>148</v>
      </c>
      <c r="G45" s="160">
        <v>2</v>
      </c>
      <c r="H45" s="4"/>
    </row>
    <row r="46" spans="2:8" ht="15.75" thickBot="1" x14ac:dyDescent="0.3">
      <c r="B46" s="6"/>
      <c r="C46" s="592"/>
      <c r="D46" s="100" t="s">
        <v>72</v>
      </c>
      <c r="E46" s="101">
        <v>2</v>
      </c>
      <c r="F46" s="299" t="s">
        <v>157</v>
      </c>
      <c r="G46" s="153">
        <v>2</v>
      </c>
    </row>
    <row r="47" spans="2:8" x14ac:dyDescent="0.25">
      <c r="B47" s="6"/>
      <c r="C47" s="589" t="s">
        <v>32</v>
      </c>
      <c r="D47" s="102" t="s">
        <v>32</v>
      </c>
      <c r="E47" s="161">
        <v>21</v>
      </c>
      <c r="F47" s="155">
        <v>3</v>
      </c>
      <c r="G47" s="162">
        <v>24</v>
      </c>
    </row>
    <row r="48" spans="2:8" ht="15.75" thickBot="1" x14ac:dyDescent="0.3">
      <c r="B48" s="6"/>
      <c r="C48" s="592"/>
      <c r="D48" s="100" t="s">
        <v>72</v>
      </c>
      <c r="E48" s="101">
        <v>21</v>
      </c>
      <c r="F48" s="152">
        <v>3</v>
      </c>
      <c r="G48" s="153">
        <v>24</v>
      </c>
    </row>
    <row r="49" spans="2:7" x14ac:dyDescent="0.25">
      <c r="B49" s="6"/>
      <c r="C49" s="589" t="s">
        <v>33</v>
      </c>
      <c r="D49" s="102" t="s">
        <v>33</v>
      </c>
      <c r="E49" s="161">
        <v>42</v>
      </c>
      <c r="F49" s="155">
        <v>4</v>
      </c>
      <c r="G49" s="162">
        <v>46</v>
      </c>
    </row>
    <row r="50" spans="2:7" ht="15.75" thickBot="1" x14ac:dyDescent="0.3">
      <c r="B50" s="6"/>
      <c r="C50" s="592"/>
      <c r="D50" s="100" t="s">
        <v>72</v>
      </c>
      <c r="E50" s="101">
        <v>42</v>
      </c>
      <c r="F50" s="152">
        <v>4</v>
      </c>
      <c r="G50" s="153">
        <v>46</v>
      </c>
    </row>
    <row r="51" spans="2:7" x14ac:dyDescent="0.25">
      <c r="B51" s="6"/>
      <c r="C51" s="589" t="s">
        <v>34</v>
      </c>
      <c r="D51" s="102" t="s">
        <v>34</v>
      </c>
      <c r="E51" s="161">
        <v>17</v>
      </c>
      <c r="F51" s="155">
        <v>1</v>
      </c>
      <c r="G51" s="162">
        <v>18</v>
      </c>
    </row>
    <row r="52" spans="2:7" ht="15.75" thickBot="1" x14ac:dyDescent="0.3">
      <c r="B52" s="6"/>
      <c r="C52" s="592"/>
      <c r="D52" s="100" t="s">
        <v>72</v>
      </c>
      <c r="E52" s="101">
        <v>17</v>
      </c>
      <c r="F52" s="152">
        <v>1</v>
      </c>
      <c r="G52" s="153">
        <v>18</v>
      </c>
    </row>
    <row r="53" spans="2:7" x14ac:dyDescent="0.25">
      <c r="B53" s="6"/>
      <c r="C53" s="589" t="s">
        <v>77</v>
      </c>
      <c r="D53" s="102" t="s">
        <v>30</v>
      </c>
      <c r="E53" s="161">
        <v>4</v>
      </c>
      <c r="F53" s="155">
        <v>1</v>
      </c>
      <c r="G53" s="162">
        <v>5</v>
      </c>
    </row>
    <row r="54" spans="2:7" ht="15.75" thickBot="1" x14ac:dyDescent="0.3">
      <c r="B54" s="6"/>
      <c r="C54" s="592"/>
      <c r="D54" s="103" t="s">
        <v>72</v>
      </c>
      <c r="E54" s="101">
        <v>4</v>
      </c>
      <c r="F54" s="152">
        <v>1</v>
      </c>
      <c r="G54" s="153">
        <v>5</v>
      </c>
    </row>
    <row r="55" spans="2:7" x14ac:dyDescent="0.25">
      <c r="B55" s="6"/>
      <c r="C55" s="589" t="s">
        <v>31</v>
      </c>
      <c r="D55" s="99" t="s">
        <v>31</v>
      </c>
      <c r="E55" s="161">
        <v>23</v>
      </c>
      <c r="F55" s="155">
        <v>3</v>
      </c>
      <c r="G55" s="162">
        <v>26</v>
      </c>
    </row>
    <row r="56" spans="2:7" ht="15.75" thickBot="1" x14ac:dyDescent="0.3">
      <c r="B56" s="6"/>
      <c r="C56" s="592"/>
      <c r="D56" s="100" t="s">
        <v>72</v>
      </c>
      <c r="E56" s="101">
        <v>23</v>
      </c>
      <c r="F56" s="152">
        <v>3</v>
      </c>
      <c r="G56" s="153">
        <v>26</v>
      </c>
    </row>
    <row r="57" spans="2:7" x14ac:dyDescent="0.25">
      <c r="B57" s="6"/>
      <c r="C57" s="589" t="s">
        <v>87</v>
      </c>
      <c r="D57" s="97" t="s">
        <v>14</v>
      </c>
      <c r="E57" s="146">
        <v>39</v>
      </c>
      <c r="F57" s="147">
        <v>5</v>
      </c>
      <c r="G57" s="148">
        <v>44</v>
      </c>
    </row>
    <row r="58" spans="2:7" x14ac:dyDescent="0.25">
      <c r="B58" s="6"/>
      <c r="C58" s="596"/>
      <c r="D58" s="98" t="s">
        <v>85</v>
      </c>
      <c r="E58" s="146">
        <v>39</v>
      </c>
      <c r="F58" s="147">
        <v>1</v>
      </c>
      <c r="G58" s="148">
        <v>40</v>
      </c>
    </row>
    <row r="59" spans="2:7" x14ac:dyDescent="0.25">
      <c r="B59" s="6"/>
      <c r="C59" s="596"/>
      <c r="D59" s="99" t="s">
        <v>15</v>
      </c>
      <c r="E59" s="149">
        <v>45</v>
      </c>
      <c r="F59" s="150">
        <v>11</v>
      </c>
      <c r="G59" s="151">
        <v>56</v>
      </c>
    </row>
    <row r="60" spans="2:7" ht="15.75" thickBot="1" x14ac:dyDescent="0.3">
      <c r="B60" s="6"/>
      <c r="C60" s="592"/>
      <c r="D60" s="100" t="s">
        <v>72</v>
      </c>
      <c r="E60" s="163">
        <v>123</v>
      </c>
      <c r="F60" s="158">
        <v>17</v>
      </c>
      <c r="G60" s="153">
        <v>140</v>
      </c>
    </row>
    <row r="61" spans="2:7" ht="15.75" thickBot="1" x14ac:dyDescent="0.3">
      <c r="B61" s="6"/>
      <c r="C61" s="597" t="s">
        <v>48</v>
      </c>
      <c r="D61" s="598"/>
      <c r="E61" s="164">
        <v>1517</v>
      </c>
      <c r="F61" s="164">
        <v>220</v>
      </c>
      <c r="G61" s="165">
        <v>1737</v>
      </c>
    </row>
    <row r="62" spans="2:7" ht="15.75" thickBot="1" x14ac:dyDescent="0.3">
      <c r="C62" s="599" t="s">
        <v>88</v>
      </c>
      <c r="D62" s="600"/>
      <c r="E62" s="259"/>
      <c r="F62" s="259"/>
      <c r="G62" s="166">
        <v>49</v>
      </c>
    </row>
    <row r="63" spans="2:7" ht="15.75" thickBot="1" x14ac:dyDescent="0.3">
      <c r="C63" s="599" t="s">
        <v>68</v>
      </c>
      <c r="D63" s="600"/>
      <c r="E63" s="259"/>
      <c r="F63" s="259"/>
      <c r="G63" s="166">
        <v>64</v>
      </c>
    </row>
    <row r="64" spans="2:7" ht="15.75" thickBot="1" x14ac:dyDescent="0.3">
      <c r="C64" s="601" t="s">
        <v>35</v>
      </c>
      <c r="D64" s="598"/>
      <c r="E64" s="298"/>
      <c r="F64" s="298"/>
      <c r="G64" s="165">
        <v>1850</v>
      </c>
    </row>
    <row r="65" spans="3:7" ht="5.25" customHeight="1" x14ac:dyDescent="0.25">
      <c r="C65" s="109"/>
      <c r="D65" s="109"/>
      <c r="E65" s="109"/>
      <c r="F65" s="109"/>
      <c r="G65" s="109"/>
    </row>
    <row r="66" spans="3:7" ht="30" customHeight="1" x14ac:dyDescent="0.25">
      <c r="C66" s="602" t="s">
        <v>96</v>
      </c>
      <c r="D66" s="603"/>
      <c r="E66" s="603"/>
      <c r="F66" s="603"/>
      <c r="G66" s="603"/>
    </row>
    <row r="67" spans="3:7" ht="11.25" customHeight="1" x14ac:dyDescent="0.25">
      <c r="C67" s="488" t="s">
        <v>121</v>
      </c>
      <c r="D67" s="488"/>
      <c r="E67" s="488"/>
      <c r="F67" s="488"/>
      <c r="G67" s="488"/>
    </row>
  </sheetData>
  <mergeCells count="26">
    <mergeCell ref="C51:C52"/>
    <mergeCell ref="C53:C54"/>
    <mergeCell ref="C67:G67"/>
    <mergeCell ref="C57:C60"/>
    <mergeCell ref="C61:D61"/>
    <mergeCell ref="C62:D62"/>
    <mergeCell ref="C63:D63"/>
    <mergeCell ref="C64:D64"/>
    <mergeCell ref="C66:G66"/>
    <mergeCell ref="C55:C56"/>
    <mergeCell ref="C42:C44"/>
    <mergeCell ref="C45:C46"/>
    <mergeCell ref="C47:C48"/>
    <mergeCell ref="C49:C50"/>
    <mergeCell ref="C7:C15"/>
    <mergeCell ref="C16:C19"/>
    <mergeCell ref="C20:C21"/>
    <mergeCell ref="C25:C30"/>
    <mergeCell ref="C31:C36"/>
    <mergeCell ref="C37:C41"/>
    <mergeCell ref="C22:C24"/>
    <mergeCell ref="B1:H1"/>
    <mergeCell ref="B2:H3"/>
    <mergeCell ref="C5:C6"/>
    <mergeCell ref="D5:D6"/>
    <mergeCell ref="E5:G5"/>
  </mergeCells>
  <pageMargins left="0.70866141732283472" right="0.70866141732283472" top="0.85562499999999997" bottom="0.6166666666666667" header="0.31496062992125984" footer="0.31496062992125984"/>
  <pageSetup paperSize="9" scale="74" orientation="portrait" r:id="rId1"/>
  <headerFooter>
    <oddHeader>&amp;L&amp;G&amp;RCAMPAÑA: 2024/2025. MES: SEPTIEMBRE
Fecha de emisión de datos: 07/05/2026</oddHead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N51"/>
  <sheetViews>
    <sheetView view="pageLayout" topLeftCell="A6" zoomScale="87" zoomScaleNormal="80" zoomScaleSheetLayoutView="100" zoomScalePageLayoutView="87" workbookViewId="0">
      <selection activeCell="B3" sqref="B3:N5"/>
    </sheetView>
  </sheetViews>
  <sheetFormatPr baseColWidth="10" defaultColWidth="11.42578125" defaultRowHeight="15" x14ac:dyDescent="0.25"/>
  <cols>
    <col min="1" max="1" width="8.140625" customWidth="1"/>
    <col min="2" max="2" width="20.85546875" customWidth="1"/>
    <col min="3" max="3" width="17.42578125" bestFit="1" customWidth="1"/>
    <col min="4" max="4" width="8.42578125" customWidth="1"/>
    <col min="6" max="6" width="13" customWidth="1"/>
    <col min="7" max="7" width="10.85546875" customWidth="1"/>
    <col min="8" max="8" width="12.85546875" customWidth="1"/>
    <col min="9" max="9" width="12.5703125" customWidth="1"/>
    <col min="10" max="10" width="11.7109375" customWidth="1"/>
    <col min="12" max="12" width="11.5703125" customWidth="1"/>
    <col min="13" max="13" width="11.42578125" customWidth="1"/>
    <col min="14" max="14" width="11" customWidth="1"/>
    <col min="15" max="15" width="1.140625" customWidth="1"/>
  </cols>
  <sheetData>
    <row r="3" spans="1:14" ht="15" customHeight="1" x14ac:dyDescent="0.25">
      <c r="B3" s="482" t="s">
        <v>125</v>
      </c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</row>
    <row r="4" spans="1:14" ht="15" customHeight="1" x14ac:dyDescent="0.25"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</row>
    <row r="5" spans="1:14" ht="24" customHeight="1" x14ac:dyDescent="0.25">
      <c r="B5" s="482"/>
      <c r="C5" s="482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</row>
    <row r="6" spans="1:14" ht="24" customHeight="1" x14ac:dyDescent="0.25">
      <c r="C6" s="260"/>
      <c r="D6" s="260"/>
      <c r="E6" s="260"/>
      <c r="F6" s="260"/>
      <c r="G6" s="260"/>
      <c r="H6" s="260"/>
      <c r="I6" s="260"/>
      <c r="J6" s="260"/>
      <c r="K6" s="260"/>
      <c r="L6" s="260"/>
      <c r="M6" s="260"/>
    </row>
    <row r="7" spans="1:14" ht="15.75" thickBot="1" x14ac:dyDescent="0.3"/>
    <row r="8" spans="1:14" ht="15.75" thickBot="1" x14ac:dyDescent="0.3">
      <c r="B8" s="65"/>
      <c r="C8" s="65"/>
      <c r="D8" s="269"/>
      <c r="E8" s="564" t="s">
        <v>59</v>
      </c>
      <c r="F8" s="564"/>
      <c r="G8" s="564" t="s">
        <v>110</v>
      </c>
      <c r="H8" s="564"/>
      <c r="I8" s="564" t="s">
        <v>111</v>
      </c>
      <c r="J8" s="564"/>
      <c r="K8" s="564" t="s">
        <v>112</v>
      </c>
      <c r="L8" s="564"/>
      <c r="M8" s="564" t="s">
        <v>3</v>
      </c>
      <c r="N8" s="564"/>
    </row>
    <row r="9" spans="1:14" ht="15.75" thickBot="1" x14ac:dyDescent="0.3">
      <c r="A9" s="6"/>
      <c r="B9" s="268" t="s">
        <v>54</v>
      </c>
      <c r="C9" s="268" t="s">
        <v>106</v>
      </c>
      <c r="D9" s="268" t="s">
        <v>100</v>
      </c>
      <c r="E9" s="66" t="s">
        <v>107</v>
      </c>
      <c r="F9" s="66" t="s">
        <v>108</v>
      </c>
      <c r="G9" s="66" t="s">
        <v>107</v>
      </c>
      <c r="H9" s="66" t="s">
        <v>108</v>
      </c>
      <c r="I9" s="66" t="s">
        <v>107</v>
      </c>
      <c r="J9" s="66" t="s">
        <v>108</v>
      </c>
      <c r="K9" s="66" t="s">
        <v>107</v>
      </c>
      <c r="L9" s="66" t="s">
        <v>108</v>
      </c>
      <c r="M9" s="66" t="s">
        <v>107</v>
      </c>
      <c r="N9" s="66" t="s">
        <v>108</v>
      </c>
    </row>
    <row r="10" spans="1:14" ht="15.75" thickBot="1" x14ac:dyDescent="0.3">
      <c r="A10" s="6"/>
      <c r="B10" s="167" t="s">
        <v>74</v>
      </c>
      <c r="C10" s="168">
        <v>44</v>
      </c>
      <c r="D10" s="168">
        <v>44</v>
      </c>
      <c r="E10" s="169">
        <v>190.03</v>
      </c>
      <c r="F10" s="169">
        <v>9427.91</v>
      </c>
      <c r="G10" s="169">
        <v>9064.82</v>
      </c>
      <c r="H10" s="169">
        <v>85140.06</v>
      </c>
      <c r="I10" s="169">
        <v>9330.77</v>
      </c>
      <c r="J10" s="169">
        <v>86236.46</v>
      </c>
      <c r="K10" s="169">
        <v>178.08</v>
      </c>
      <c r="L10" s="169">
        <v>1673.58</v>
      </c>
      <c r="M10" s="169">
        <v>102.16</v>
      </c>
      <c r="N10" s="169">
        <v>10005.09</v>
      </c>
    </row>
    <row r="11" spans="1:14" ht="15.75" thickBot="1" x14ac:dyDescent="0.3">
      <c r="A11" s="6"/>
      <c r="B11" s="167" t="s">
        <v>109</v>
      </c>
      <c r="C11" s="168">
        <v>23</v>
      </c>
      <c r="D11" s="168">
        <v>23</v>
      </c>
      <c r="E11" s="169">
        <v>1071.56</v>
      </c>
      <c r="F11" s="169">
        <v>4139.43</v>
      </c>
      <c r="G11" s="169">
        <v>12183.9</v>
      </c>
      <c r="H11" s="169">
        <v>19062.28</v>
      </c>
      <c r="I11" s="169">
        <v>12774.03</v>
      </c>
      <c r="J11" s="169">
        <v>17531.41</v>
      </c>
      <c r="K11" s="169">
        <v>0</v>
      </c>
      <c r="L11" s="169">
        <v>144.74</v>
      </c>
      <c r="M11" s="169">
        <v>481.43</v>
      </c>
      <c r="N11" s="169">
        <v>5815.04</v>
      </c>
    </row>
    <row r="12" spans="1:14" s="10" customFormat="1" ht="15.75" thickBot="1" x14ac:dyDescent="0.3">
      <c r="A12" s="12"/>
      <c r="B12" s="268" t="s">
        <v>35</v>
      </c>
      <c r="C12" s="268">
        <v>67</v>
      </c>
      <c r="D12" s="268">
        <v>67</v>
      </c>
      <c r="E12" s="170">
        <v>1261.5899999999999</v>
      </c>
      <c r="F12" s="170">
        <v>13567.34</v>
      </c>
      <c r="G12" s="170">
        <v>21248.720000000001</v>
      </c>
      <c r="H12" s="170">
        <v>104202.34</v>
      </c>
      <c r="I12" s="170">
        <v>22104.799999999999</v>
      </c>
      <c r="J12" s="170">
        <v>103767.87</v>
      </c>
      <c r="K12" s="170">
        <v>178.08</v>
      </c>
      <c r="L12" s="170">
        <v>1818.32</v>
      </c>
      <c r="M12" s="170">
        <v>583.59</v>
      </c>
      <c r="N12" s="170">
        <v>15820.13</v>
      </c>
    </row>
    <row r="13" spans="1:14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49"/>
      <c r="N13" s="49"/>
    </row>
    <row r="14" spans="1:14" x14ac:dyDescent="0.25">
      <c r="B14" s="7"/>
      <c r="C14" s="7"/>
      <c r="D14" s="7"/>
      <c r="E14" s="7"/>
      <c r="F14" s="7"/>
      <c r="G14" s="7"/>
      <c r="H14" s="237"/>
      <c r="I14" s="237"/>
      <c r="J14" s="7"/>
      <c r="K14" s="7"/>
      <c r="L14" s="7"/>
      <c r="M14" s="49"/>
      <c r="N14" s="251"/>
    </row>
    <row r="15" spans="1:14" ht="15.75" x14ac:dyDescent="0.25">
      <c r="B15" s="466" t="s">
        <v>113</v>
      </c>
      <c r="C15" s="466"/>
      <c r="D15" s="466"/>
      <c r="E15" s="466"/>
      <c r="F15" s="466"/>
      <c r="G15" s="466"/>
      <c r="H15" s="466"/>
      <c r="I15" s="466"/>
      <c r="J15" s="466"/>
      <c r="K15" s="466"/>
      <c r="L15" s="466"/>
      <c r="M15" s="466"/>
      <c r="N15" s="466"/>
    </row>
    <row r="16" spans="1:14" x14ac:dyDescent="0.25"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</row>
    <row r="17" spans="2:14" x14ac:dyDescent="0.25"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</row>
    <row r="18" spans="2:14" x14ac:dyDescent="0.25"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</row>
    <row r="19" spans="2:14" x14ac:dyDescent="0.25"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</row>
    <row r="20" spans="2:14" x14ac:dyDescent="0.25"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</row>
    <row r="21" spans="2:14" x14ac:dyDescent="0.25"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</row>
    <row r="22" spans="2:14" x14ac:dyDescent="0.25"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</row>
    <row r="23" spans="2:14" x14ac:dyDescent="0.25"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</row>
    <row r="24" spans="2:14" x14ac:dyDescent="0.25"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</row>
    <row r="25" spans="2:14" x14ac:dyDescent="0.25"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</row>
    <row r="26" spans="2:14" x14ac:dyDescent="0.25"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</row>
    <row r="27" spans="2:14" x14ac:dyDescent="0.25"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</row>
    <row r="28" spans="2:14" x14ac:dyDescent="0.25"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</row>
    <row r="29" spans="2:14" x14ac:dyDescent="0.25"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</row>
    <row r="30" spans="2:14" x14ac:dyDescent="0.25"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</row>
    <row r="31" spans="2:14" x14ac:dyDescent="0.25"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</row>
    <row r="32" spans="2:14" x14ac:dyDescent="0.25"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</row>
    <row r="33" spans="2:14" x14ac:dyDescent="0.25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</row>
    <row r="34" spans="2:14" x14ac:dyDescent="0.25"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</row>
    <row r="35" spans="2:14" x14ac:dyDescent="0.25"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</row>
    <row r="36" spans="2:14" x14ac:dyDescent="0.25"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</row>
    <row r="37" spans="2:14" ht="35.25" customHeight="1" x14ac:dyDescent="0.25"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</row>
    <row r="38" spans="2:14" ht="30.75" customHeight="1" x14ac:dyDescent="0.25"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</row>
    <row r="39" spans="2:14" ht="15.75" x14ac:dyDescent="0.25">
      <c r="B39" s="604" t="s">
        <v>114</v>
      </c>
      <c r="C39" s="604"/>
      <c r="D39" s="604"/>
      <c r="E39" s="604"/>
      <c r="F39" s="604"/>
      <c r="G39" s="604"/>
      <c r="H39" s="604"/>
      <c r="I39" s="604"/>
      <c r="J39" s="604"/>
      <c r="K39" s="604"/>
      <c r="L39" s="604"/>
      <c r="M39" s="604"/>
      <c r="N39" s="604"/>
    </row>
    <row r="40" spans="2:14" ht="15.75" x14ac:dyDescent="0.25">
      <c r="B40" s="604" t="s">
        <v>115</v>
      </c>
      <c r="C40" s="604"/>
      <c r="D40" s="604"/>
      <c r="E40" s="604"/>
      <c r="F40" s="604"/>
      <c r="G40" s="604"/>
      <c r="H40" s="604"/>
      <c r="I40" s="604"/>
      <c r="J40" s="604"/>
      <c r="K40" s="604"/>
      <c r="L40" s="604"/>
      <c r="M40" s="604"/>
      <c r="N40" s="604"/>
    </row>
    <row r="41" spans="2:14" ht="15.75" x14ac:dyDescent="0.25">
      <c r="B41" s="488" t="s">
        <v>121</v>
      </c>
      <c r="C41" s="488"/>
      <c r="D41" s="488"/>
      <c r="E41" s="488"/>
      <c r="F41" s="488"/>
      <c r="G41" s="488"/>
      <c r="H41" s="488"/>
      <c r="I41" s="488"/>
      <c r="J41" s="488"/>
      <c r="K41" s="488"/>
      <c r="L41" s="488"/>
      <c r="M41" s="488"/>
      <c r="N41" s="488"/>
    </row>
    <row r="44" spans="2:14" ht="12" customHeight="1" x14ac:dyDescent="0.25"/>
    <row r="50" spans="6:11" x14ac:dyDescent="0.25">
      <c r="K50" s="14"/>
    </row>
    <row r="51" spans="6:11" x14ac:dyDescent="0.25">
      <c r="F51" s="9"/>
    </row>
  </sheetData>
  <mergeCells count="10">
    <mergeCell ref="B15:N15"/>
    <mergeCell ref="B39:N39"/>
    <mergeCell ref="B40:N40"/>
    <mergeCell ref="B41:N41"/>
    <mergeCell ref="B3:N5"/>
    <mergeCell ref="E8:F8"/>
    <mergeCell ref="G8:H8"/>
    <mergeCell ref="I8:J8"/>
    <mergeCell ref="K8:L8"/>
    <mergeCell ref="M8:N8"/>
  </mergeCells>
  <pageMargins left="0.64097222222222228" right="0.70866141732283472" top="0.74803149606299213" bottom="0.74803149606299213" header="0.31496062992125984" footer="0.31496062992125984"/>
  <pageSetup paperSize="9" scale="71" orientation="landscape" r:id="rId1"/>
  <headerFooter>
    <oddHeader>&amp;L&amp;G&amp;RCAMPAÑA: 2024/2025. MES: SEPTIEMBRE
Fecha de emisión de datos: 07/05/2026</oddHead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N46"/>
  <sheetViews>
    <sheetView view="pageLayout" topLeftCell="A14" zoomScale="95" zoomScaleNormal="80" zoomScalePageLayoutView="95" workbookViewId="0">
      <selection activeCell="B3" sqref="B3:N5"/>
    </sheetView>
  </sheetViews>
  <sheetFormatPr baseColWidth="10" defaultColWidth="11.42578125" defaultRowHeight="15" x14ac:dyDescent="0.25"/>
  <cols>
    <col min="1" max="1" width="6" customWidth="1"/>
    <col min="2" max="2" width="26" customWidth="1"/>
    <col min="3" max="3" width="14.7109375" customWidth="1"/>
    <col min="4" max="4" width="10.42578125" customWidth="1"/>
    <col min="5" max="5" width="13.28515625" bestFit="1" customWidth="1"/>
    <col min="7" max="7" width="13.7109375" bestFit="1" customWidth="1"/>
    <col min="8" max="8" width="13.28515625" bestFit="1" customWidth="1"/>
    <col min="9" max="9" width="13.5703125" bestFit="1" customWidth="1"/>
    <col min="10" max="10" width="13.28515625" bestFit="1" customWidth="1"/>
    <col min="11" max="11" width="10" customWidth="1"/>
    <col min="12" max="12" width="9.42578125" bestFit="1" customWidth="1"/>
    <col min="13" max="13" width="13.28515625" bestFit="1" customWidth="1"/>
    <col min="15" max="15" width="5.28515625" customWidth="1"/>
  </cols>
  <sheetData>
    <row r="3" spans="2:14" ht="15" customHeight="1" x14ac:dyDescent="0.25">
      <c r="B3" s="482" t="s">
        <v>126</v>
      </c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</row>
    <row r="4" spans="2:14" ht="15" customHeight="1" x14ac:dyDescent="0.25"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</row>
    <row r="5" spans="2:14" ht="24.75" customHeight="1" x14ac:dyDescent="0.25">
      <c r="B5" s="482"/>
      <c r="C5" s="482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</row>
    <row r="6" spans="2:14" ht="24.75" customHeight="1" x14ac:dyDescent="0.25">
      <c r="B6" s="260"/>
      <c r="C6" s="260"/>
      <c r="D6" s="260"/>
      <c r="E6" s="260"/>
      <c r="F6" s="260"/>
      <c r="G6" s="260"/>
      <c r="H6" s="260"/>
      <c r="I6" s="260"/>
      <c r="J6" s="260"/>
      <c r="K6" s="260"/>
      <c r="L6" s="260"/>
      <c r="M6" s="260"/>
      <c r="N6" s="260"/>
    </row>
    <row r="7" spans="2:14" ht="15.75" customHeight="1" thickBot="1" x14ac:dyDescent="0.3">
      <c r="B7" s="2"/>
      <c r="C7" s="2"/>
      <c r="D7" s="2"/>
      <c r="E7" s="8"/>
      <c r="F7" s="8"/>
    </row>
    <row r="8" spans="2:14" ht="15.75" thickBot="1" x14ac:dyDescent="0.3">
      <c r="B8" s="65"/>
      <c r="C8" s="65"/>
      <c r="D8" s="269"/>
      <c r="E8" s="564" t="s">
        <v>59</v>
      </c>
      <c r="F8" s="564"/>
      <c r="G8" s="564" t="s">
        <v>117</v>
      </c>
      <c r="H8" s="564"/>
      <c r="I8" s="564" t="s">
        <v>118</v>
      </c>
      <c r="J8" s="564"/>
      <c r="K8" s="564" t="s">
        <v>112</v>
      </c>
      <c r="L8" s="564"/>
      <c r="M8" s="564" t="s">
        <v>3</v>
      </c>
      <c r="N8" s="564"/>
    </row>
    <row r="9" spans="2:14" ht="15.75" thickBot="1" x14ac:dyDescent="0.3">
      <c r="B9" s="268" t="s">
        <v>54</v>
      </c>
      <c r="C9" s="268" t="s">
        <v>106</v>
      </c>
      <c r="D9" s="268" t="s">
        <v>100</v>
      </c>
      <c r="E9" s="66" t="s">
        <v>119</v>
      </c>
      <c r="F9" s="66" t="s">
        <v>120</v>
      </c>
      <c r="G9" s="66" t="s">
        <v>119</v>
      </c>
      <c r="H9" s="66" t="s">
        <v>120</v>
      </c>
      <c r="I9" s="66" t="s">
        <v>119</v>
      </c>
      <c r="J9" s="66" t="s">
        <v>120</v>
      </c>
      <c r="K9" s="66" t="s">
        <v>119</v>
      </c>
      <c r="L9" s="66" t="s">
        <v>120</v>
      </c>
      <c r="M9" s="66" t="s">
        <v>119</v>
      </c>
      <c r="N9" s="66" t="s">
        <v>120</v>
      </c>
    </row>
    <row r="10" spans="2:14" ht="15.75" thickBot="1" x14ac:dyDescent="0.3">
      <c r="B10" s="167" t="s">
        <v>74</v>
      </c>
      <c r="C10" s="168">
        <v>44</v>
      </c>
      <c r="D10" s="168">
        <v>44</v>
      </c>
      <c r="E10" s="169">
        <v>256929.07</v>
      </c>
      <c r="F10" s="169">
        <v>12526.66</v>
      </c>
      <c r="G10" s="169">
        <v>5502819.3099999996</v>
      </c>
      <c r="H10" s="169">
        <v>1088290.94</v>
      </c>
      <c r="I10" s="169">
        <v>4218205.5</v>
      </c>
      <c r="J10" s="169">
        <v>1098698.02</v>
      </c>
      <c r="K10" s="169">
        <v>12941.1</v>
      </c>
      <c r="L10" s="169">
        <v>22371.59</v>
      </c>
      <c r="M10" s="169">
        <v>1554483.976</v>
      </c>
      <c r="N10" s="169">
        <v>24491.17</v>
      </c>
    </row>
    <row r="11" spans="2:14" ht="15.75" thickBot="1" x14ac:dyDescent="0.3">
      <c r="B11" s="167" t="s">
        <v>109</v>
      </c>
      <c r="C11" s="168">
        <v>23</v>
      </c>
      <c r="D11" s="168">
        <v>23</v>
      </c>
      <c r="E11" s="169">
        <v>196915.23</v>
      </c>
      <c r="F11" s="169">
        <v>9380.19</v>
      </c>
      <c r="G11" s="169">
        <v>1299063.6599999999</v>
      </c>
      <c r="H11" s="169">
        <v>294263.21000000002</v>
      </c>
      <c r="I11" s="169">
        <v>1232952.8999999999</v>
      </c>
      <c r="J11" s="169">
        <v>302335.48</v>
      </c>
      <c r="K11" s="169">
        <v>-13146.78</v>
      </c>
      <c r="L11" s="169">
        <v>13250.25</v>
      </c>
      <c r="M11" s="169">
        <v>249879.2</v>
      </c>
      <c r="N11" s="169">
        <v>14558.17</v>
      </c>
    </row>
    <row r="12" spans="2:14" s="10" customFormat="1" ht="15.75" thickBot="1" x14ac:dyDescent="0.3">
      <c r="B12" s="268" t="s">
        <v>35</v>
      </c>
      <c r="C12" s="268">
        <v>67</v>
      </c>
      <c r="D12" s="268">
        <v>67</v>
      </c>
      <c r="E12" s="170">
        <v>453844.3</v>
      </c>
      <c r="F12" s="170">
        <v>21906.85</v>
      </c>
      <c r="G12" s="170">
        <v>6801882.9699999997</v>
      </c>
      <c r="H12" s="170">
        <v>1382554.15</v>
      </c>
      <c r="I12" s="170">
        <v>5451158.4000000004</v>
      </c>
      <c r="J12" s="170">
        <v>1401033.5</v>
      </c>
      <c r="K12" s="170">
        <f>SUM(K10:K11)</f>
        <v>-205.68000000000029</v>
      </c>
      <c r="L12" s="170">
        <v>35621.839999999997</v>
      </c>
      <c r="M12" s="170">
        <v>1804363.1839999999</v>
      </c>
      <c r="N12" s="170">
        <v>39049.339999999997</v>
      </c>
    </row>
    <row r="13" spans="2:1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2:1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2:14" ht="15.75" x14ac:dyDescent="0.25">
      <c r="B15" s="466" t="s">
        <v>116</v>
      </c>
      <c r="C15" s="466"/>
      <c r="D15" s="466"/>
      <c r="E15" s="466"/>
      <c r="F15" s="466"/>
      <c r="G15" s="466"/>
      <c r="H15" s="466"/>
      <c r="I15" s="466"/>
      <c r="J15" s="466"/>
      <c r="K15" s="466"/>
      <c r="L15" s="466"/>
      <c r="M15" s="466"/>
      <c r="N15" s="466"/>
    </row>
    <row r="16" spans="2:14" ht="15.75" x14ac:dyDescent="0.25">
      <c r="B16" s="171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</row>
    <row r="17" spans="2:14" ht="15.75" x14ac:dyDescent="0.25"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</row>
    <row r="18" spans="2:14" ht="15.75" x14ac:dyDescent="0.25"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</row>
    <row r="19" spans="2:14" ht="15.75" x14ac:dyDescent="0.25"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</row>
    <row r="20" spans="2:14" ht="15.75" x14ac:dyDescent="0.25"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</row>
    <row r="21" spans="2:14" ht="15.75" x14ac:dyDescent="0.25"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</row>
    <row r="22" spans="2:14" ht="15.75" x14ac:dyDescent="0.25">
      <c r="B22" s="171"/>
      <c r="C22" s="171"/>
      <c r="D22" s="171"/>
      <c r="E22" s="171"/>
      <c r="G22" s="171"/>
      <c r="H22" s="171"/>
      <c r="I22" s="171"/>
      <c r="J22" s="171"/>
      <c r="K22" s="171"/>
      <c r="L22" s="171"/>
      <c r="M22" s="171"/>
      <c r="N22" s="171"/>
    </row>
    <row r="23" spans="2:14" ht="15.75" x14ac:dyDescent="0.25"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</row>
    <row r="24" spans="2:14" ht="15.75" x14ac:dyDescent="0.25"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</row>
    <row r="25" spans="2:14" ht="15.75" x14ac:dyDescent="0.25"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</row>
    <row r="26" spans="2:14" ht="15.75" x14ac:dyDescent="0.25"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</row>
    <row r="27" spans="2:14" ht="15.75" x14ac:dyDescent="0.25"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</row>
    <row r="28" spans="2:14" ht="15.75" x14ac:dyDescent="0.25"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</row>
    <row r="29" spans="2:14" ht="15.75" x14ac:dyDescent="0.25"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</row>
    <row r="30" spans="2:14" ht="15.75" x14ac:dyDescent="0.25"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</row>
    <row r="31" spans="2:14" ht="15.75" x14ac:dyDescent="0.25"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</row>
    <row r="32" spans="2:14" ht="15.75" x14ac:dyDescent="0.25"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</row>
    <row r="33" spans="2:14" ht="15.75" x14ac:dyDescent="0.25"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</row>
    <row r="34" spans="2:14" ht="15.75" x14ac:dyDescent="0.25"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</row>
    <row r="35" spans="2:14" ht="15.75" x14ac:dyDescent="0.25"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</row>
    <row r="36" spans="2:14" ht="15.75" x14ac:dyDescent="0.25"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</row>
    <row r="37" spans="2:14" ht="15.75" x14ac:dyDescent="0.25"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</row>
    <row r="38" spans="2:14" ht="33.75" customHeight="1" x14ac:dyDescent="0.25"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</row>
    <row r="39" spans="2:14" ht="18" customHeight="1" x14ac:dyDescent="0.25">
      <c r="B39" s="604" t="s">
        <v>114</v>
      </c>
      <c r="C39" s="604"/>
      <c r="D39" s="604"/>
      <c r="E39" s="604"/>
      <c r="F39" s="604"/>
      <c r="G39" s="604"/>
      <c r="H39" s="604"/>
      <c r="I39" s="604"/>
      <c r="J39" s="604"/>
      <c r="K39" s="604"/>
      <c r="L39" s="604"/>
      <c r="M39" s="604"/>
      <c r="N39" s="604"/>
    </row>
    <row r="40" spans="2:14" ht="15.75" x14ac:dyDescent="0.25">
      <c r="B40" s="604" t="s">
        <v>115</v>
      </c>
      <c r="C40" s="604"/>
      <c r="D40" s="604"/>
      <c r="E40" s="604"/>
      <c r="F40" s="604"/>
      <c r="G40" s="604"/>
      <c r="H40" s="604"/>
      <c r="I40" s="604"/>
      <c r="J40" s="604"/>
      <c r="K40" s="604"/>
      <c r="L40" s="604"/>
      <c r="M40" s="604"/>
      <c r="N40" s="604"/>
    </row>
    <row r="41" spans="2:14" ht="15.75" x14ac:dyDescent="0.25">
      <c r="B41" s="488" t="s">
        <v>121</v>
      </c>
      <c r="C41" s="488"/>
      <c r="D41" s="488"/>
      <c r="E41" s="488"/>
      <c r="F41" s="488"/>
      <c r="G41" s="488"/>
      <c r="H41" s="488"/>
      <c r="I41" s="488"/>
      <c r="J41" s="488"/>
      <c r="K41" s="488"/>
      <c r="L41" s="488"/>
      <c r="M41" s="488"/>
      <c r="N41" s="488"/>
    </row>
    <row r="46" spans="2:14" x14ac:dyDescent="0.25">
      <c r="J46" s="239"/>
      <c r="K46" s="239"/>
    </row>
  </sheetData>
  <mergeCells count="10">
    <mergeCell ref="B15:N15"/>
    <mergeCell ref="B39:N39"/>
    <mergeCell ref="B40:N40"/>
    <mergeCell ref="B41:N41"/>
    <mergeCell ref="B3:N5"/>
    <mergeCell ref="E8:F8"/>
    <mergeCell ref="G8:H8"/>
    <mergeCell ref="I8:J8"/>
    <mergeCell ref="K8:L8"/>
    <mergeCell ref="M8:N8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headerFooter>
    <oddHeader>&amp;L&amp;G&amp;RCAMPAÑA: 2024/2025. MES: SEPTIEMBRE
Fecha de emisión de datos: 07/05/2026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18</vt:i4>
      </vt:variant>
    </vt:vector>
  </HeadingPairs>
  <TitlesOfParts>
    <vt:vector size="36" baseType="lpstr">
      <vt:lpstr>INFORME CAMPAÑA 24-25</vt:lpstr>
      <vt:lpstr>01_BALANCE EXISTENCIAS FÍSICAS</vt:lpstr>
      <vt:lpstr>02_CUADRYGRÁF.COMP.ÚLT.5 CAMP.</vt:lpstr>
      <vt:lpstr>03_CUADRYGRÁF.COMP.5 ÚLT.CAMP.</vt:lpstr>
      <vt:lpstr>04_CUADROS ACUMULADOS</vt:lpstr>
      <vt:lpstr>05_GRÁF.COMP.MEDIA 4 ÚLT.CAMPAÑ</vt:lpstr>
      <vt:lpstr>06_ALMAZARAS.BALANCE DE CAMPAÑA</vt:lpstr>
      <vt:lpstr>07_ALMAZARAS.ACEITE PRODUCIDO</vt:lpstr>
      <vt:lpstr>08_ALMAZ POR TIPO.PRODUCCIÓN</vt:lpstr>
      <vt:lpstr>09_ALMAZ.PROD. POR CAMYTIPO </vt:lpstr>
      <vt:lpstr>10_ALMAZ.RES.ANUAL SAL.NET.ACEI</vt:lpstr>
      <vt:lpstr>11_ALMAZARAS.ACEITUNA MOLTURADA</vt:lpstr>
      <vt:lpstr>12_ENV,REF Y OPE.EXIST.TOTAL</vt:lpstr>
      <vt:lpstr>13_ENV,REF Y OPE-TOTAL AC.OLIVA</vt:lpstr>
      <vt:lpstr>14_ENV.REF Y OPE-TOTAL AC.ORUJO</vt:lpstr>
      <vt:lpstr>15_ENV,REF Y OPE. NºEMP.ENV.DAT</vt:lpstr>
      <vt:lpstr>16_EXTRAC.EXIST.AC.ORU.CRU.GRÁF</vt:lpstr>
      <vt:lpstr>17_EXTRAC.EXIST.ORUJ.GRASO.GRÁF</vt:lpstr>
      <vt:lpstr>'01_BALANCE EXISTENCIAS FÍSICAS'!Área_de_impresión</vt:lpstr>
      <vt:lpstr>'02_CUADRYGRÁF.COMP.ÚLT.5 CAMP.'!Área_de_impresión</vt:lpstr>
      <vt:lpstr>'03_CUADRYGRÁF.COMP.5 ÚLT.CAMP.'!Área_de_impresión</vt:lpstr>
      <vt:lpstr>'04_CUADROS ACUMULADOS'!Área_de_impresión</vt:lpstr>
      <vt:lpstr>'05_GRÁF.COMP.MEDIA 4 ÚLT.CAMPAÑ'!Área_de_impresión</vt:lpstr>
      <vt:lpstr>'06_ALMAZARAS.BALANCE DE CAMPAÑA'!Área_de_impresión</vt:lpstr>
      <vt:lpstr>'07_ALMAZARAS.ACEITE PRODUCIDO'!Área_de_impresión</vt:lpstr>
      <vt:lpstr>'08_ALMAZ POR TIPO.PRODUCCIÓN'!Área_de_impresión</vt:lpstr>
      <vt:lpstr>'09_ALMAZ.PROD. POR CAMYTIPO '!Área_de_impresión</vt:lpstr>
      <vt:lpstr>'10_ALMAZ.RES.ANUAL SAL.NET.ACEI'!Área_de_impresión</vt:lpstr>
      <vt:lpstr>'11_ALMAZARAS.ACEITUNA MOLTURADA'!Área_de_impresión</vt:lpstr>
      <vt:lpstr>'12_ENV,REF Y OPE.EXIST.TOTAL'!Área_de_impresión</vt:lpstr>
      <vt:lpstr>'13_ENV,REF Y OPE-TOTAL AC.OLIVA'!Área_de_impresión</vt:lpstr>
      <vt:lpstr>'14_ENV.REF Y OPE-TOTAL AC.ORUJO'!Área_de_impresión</vt:lpstr>
      <vt:lpstr>'15_ENV,REF Y OPE. NºEMP.ENV.DAT'!Área_de_impresión</vt:lpstr>
      <vt:lpstr>'16_EXTRAC.EXIST.AC.ORU.CRU.GRÁF'!Área_de_impresión</vt:lpstr>
      <vt:lpstr>'17_EXTRAC.EXIST.ORUJ.GRASO.GRÁF'!Área_de_impresión</vt:lpstr>
      <vt:lpstr>'INFORME CAMPAÑA 24-25'!Área_de_impresión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2026-05-18T15:19:18Z</dcterms:created>
  <dcterms:modified xsi:type="dcterms:W3CDTF">2026-05-18T15:20:01Z</dcterms:modified>
</cp:coreProperties>
</file>