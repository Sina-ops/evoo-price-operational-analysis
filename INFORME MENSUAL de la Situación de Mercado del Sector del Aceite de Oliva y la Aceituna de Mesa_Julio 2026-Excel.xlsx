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Z:\AO-AM\AICA\3. INFORMES MENSUALES\2026\07Julio 2026\"/>
    </mc:Choice>
  </mc:AlternateContent>
  <xr:revisionPtr revIDLastSave="0" documentId="13_ncr:1_{BFBE30C0-DC1F-4F91-A59F-365F5B46A122}" xr6:coauthVersionLast="47" xr6:coauthVersionMax="47" xr10:uidLastSave="{00000000-0000-0000-0000-000000000000}"/>
  <bookViews>
    <workbookView xWindow="-110" yWindow="-110" windowWidth="19420" windowHeight="10300" tabRatio="797" xr2:uid="{00000000-000D-0000-FFFF-FFFF00000000}"/>
  </bookViews>
  <sheets>
    <sheet name="Informe Mensual Julio 2026" sheetId="21" r:id="rId1"/>
    <sheet name="01_BALANCE EXISTENCIAS FÍSICAS" sheetId="22" r:id="rId2"/>
    <sheet name="02_CUADRYGRÁF.COMP.ÚLT.5 CAMP." sheetId="23" r:id="rId3"/>
    <sheet name="03_CUADRYGRÁF.COMP.5 ÚLT.CAMP." sheetId="24" r:id="rId4"/>
    <sheet name="04_CUADROS ACUMULADOS" sheetId="25" r:id="rId5"/>
    <sheet name="05_GRÁF.COMP.MEDIA 4 ÚLT.CAMPAÑ" sheetId="26" r:id="rId6"/>
    <sheet name="06_ALMAZARAS.BALANCE DE CAMPAÑA" sheetId="1" r:id="rId7"/>
    <sheet name="07_ALMAZARAS.ACEITE PRODUCIDO" sheetId="2" r:id="rId8"/>
    <sheet name="08_ALMAZ POR TIPO.PRODUCCIÓN" sheetId="3" r:id="rId9"/>
    <sheet name="09_ALMAZ.PROD. POR CAMYTIPO " sheetId="4" r:id="rId10"/>
    <sheet name="10_ALMAZ.RES.ANUAL SAL.NET.ACEI" sheetId="5" r:id="rId11"/>
    <sheet name="11_ALMAZARAS.ACEITUNA MOLTURADA" sheetId="6" r:id="rId12"/>
    <sheet name="12_ENV,REF Y OPE.EXIST.TOTAL" sheetId="7" r:id="rId13"/>
    <sheet name="13_ENV,REF Y OPE-TOTAL AC.OLIVA" sheetId="8" r:id="rId14"/>
    <sheet name="14_ENV.REF Y OPE-TOTAL AC.ORUJO" sheetId="9" r:id="rId15"/>
    <sheet name="15_ENV,REF Y OPE. NºEMP.ENV.DAT" sheetId="10" r:id="rId16"/>
    <sheet name="16_EXTRAC.EXIST.AC.ORU.CRU.GRÁF" sheetId="11" r:id="rId17"/>
    <sheet name="17_EXTRAC.EXIST.ORUJ.GRASO.GRÁF" sheetId="12" r:id="rId18"/>
    <sheet name="18_ORI.YDEST.REC.MER.ACEITUMES " sheetId="13" r:id="rId19"/>
    <sheet name="19_BALANCE CAMP.DET.VARIEDADES" sheetId="14" r:id="rId20"/>
    <sheet name="20_ENTAMAD.BALANCE DET.CAMPAÑA" sheetId="15" r:id="rId21"/>
    <sheet name="21_ENTR.MENS.ACEITUN.NET.CR.MES" sheetId="16" r:id="rId22"/>
    <sheet name="22_ENTR.ACEITUN.CR.NET.TIP.EMPR" sheetId="17" r:id="rId23"/>
    <sheet name="23_DET.PROD.ACEITUNA POR PROCED" sheetId="18" r:id="rId24"/>
    <sheet name="24_COMP.ENT.ACEITUN.CR.ENT.CAMP" sheetId="19" r:id="rId25"/>
    <sheet name="25_ENV.ACEITUN.MESA BALANCE " sheetId="20" r:id="rId26"/>
  </sheets>
  <definedNames>
    <definedName name="_xlnm.Print_Area" localSheetId="1">'01_BALANCE EXISTENCIAS FÍSICAS'!$A$1:$I$77</definedName>
    <definedName name="_xlnm.Print_Area" localSheetId="2">'02_CUADRYGRÁF.COMP.ÚLT.5 CAMP.'!$A$1:$O$91</definedName>
    <definedName name="_xlnm.Print_Area" localSheetId="3">'03_CUADRYGRÁF.COMP.5 ÚLT.CAMP.'!$B$1:$S$56</definedName>
    <definedName name="_xlnm.Print_Area" localSheetId="4">'04_CUADROS ACUMULADOS'!$A$1:$L$84</definedName>
    <definedName name="_xlnm.Print_Area" localSheetId="5">'05_GRÁF.COMP.MEDIA 4 ÚLT.CAMPAÑ'!$A$1:$O$79</definedName>
    <definedName name="_xlnm.Print_Area" localSheetId="6">'06_ALMAZARAS.BALANCE DE CAMPAÑA'!$B$1:$N$65</definedName>
    <definedName name="_xlnm.Print_Area" localSheetId="7">'07_ALMAZARAS.ACEITE PRODUCIDO'!$B$1:$R$62</definedName>
    <definedName name="_xlnm.Print_Area" localSheetId="8">'08_ALMAZ POR TIPO.PRODUCCIÓN'!$A$1:$Q$67</definedName>
    <definedName name="_xlnm.Print_Area" localSheetId="9">'09_ALMAZ.PROD. POR CAMYTIPO '!$A$1:$G$44</definedName>
    <definedName name="_xlnm.Print_Area" localSheetId="10">'10_ALMAZ.RES.ANUAL SAL.NET.ACEI'!$A$2:$R$68</definedName>
    <definedName name="_xlnm.Print_Area" localSheetId="11">'11_ALMAZARAS.ACEITUNA MOLTURADA'!$A$1:$M$68</definedName>
    <definedName name="_xlnm.Print_Area" localSheetId="12">'12_ENV,REF Y OPE.EXIST.TOTAL'!$A$1:$K$71</definedName>
    <definedName name="_xlnm.Print_Area" localSheetId="13">'13_ENV,REF Y OPE-TOTAL AC.OLIVA'!$A$1:$S$70</definedName>
    <definedName name="_xlnm.Print_Area" localSheetId="14">'14_ENV.REF Y OPE-TOTAL AC.ORUJO'!$A$1:$S$70</definedName>
    <definedName name="_xlnm.Print_Area" localSheetId="15">'15_ENV,REF Y OPE. NºEMP.ENV.DAT'!$A$1:$I$68</definedName>
    <definedName name="_xlnm.Print_Area" localSheetId="16">'16_EXTRAC.EXIST.AC.ORU.CRU.GRÁF'!$A$1:$O$42</definedName>
    <definedName name="_xlnm.Print_Area" localSheetId="17">'17_EXTRAC.EXIST.ORUJ.GRASO.GRÁF'!$A$1:$O$42</definedName>
    <definedName name="_xlnm.Print_Area" localSheetId="18">'18_ORI.YDEST.REC.MER.ACEITUMES '!$A$1:$N$38</definedName>
    <definedName name="_xlnm.Print_Area" localSheetId="19">'19_BALANCE CAMP.DET.VARIEDADES'!$A$1:$N$38</definedName>
    <definedName name="_xlnm.Print_Area" localSheetId="20">'20_ENTAMAD.BALANCE DET.CAMPAÑA'!$A$4:$V$67</definedName>
    <definedName name="_xlnm.Print_Area" localSheetId="21">'21_ENTR.MENS.ACEITUN.NET.CR.MES'!$A$1:$P$53</definedName>
    <definedName name="_xlnm.Print_Area" localSheetId="22">'22_ENTR.ACEITUN.CR.NET.TIP.EMPR'!$A$1:$N$63</definedName>
    <definedName name="_xlnm.Print_Area" localSheetId="23">'23_DET.PROD.ACEITUNA POR PROCED'!$A$1:$F$32</definedName>
    <definedName name="_xlnm.Print_Area" localSheetId="24">'24_COMP.ENT.ACEITUN.CR.ENT.CAMP'!$A$1:$J$56</definedName>
    <definedName name="_xlnm.Print_Area" localSheetId="0">'Informe Mensual Julio 2026'!$A$1:$Q$106</definedName>
    <definedName name="Z_6654F670_CAA9_4C4A_B3D9_226402FC46BC_.wvu.PrintArea" localSheetId="6" hidden="1">'06_ALMAZARAS.BALANCE DE CAMPAÑA'!$B$1:$N$65</definedName>
    <definedName name="Z_6654F670_CAA9_4C4A_B3D9_226402FC46BC_.wvu.PrintArea" localSheetId="7" hidden="1">'07_ALMAZARAS.ACEITE PRODUCIDO'!$B$1:$R$62</definedName>
    <definedName name="Z_6654F670_CAA9_4C4A_B3D9_226402FC46BC_.wvu.PrintArea" localSheetId="8" hidden="1">'08_ALMAZ POR TIPO.PRODUCCIÓN'!$A$1:$Q$67</definedName>
    <definedName name="Z_6654F670_CAA9_4C4A_B3D9_226402FC46BC_.wvu.PrintArea" localSheetId="9" hidden="1">'09_ALMAZ.PROD. POR CAMYTIPO '!$A$1:$G$44</definedName>
    <definedName name="Z_6654F670_CAA9_4C4A_B3D9_226402FC46BC_.wvu.PrintArea" localSheetId="10" hidden="1">'10_ALMAZ.RES.ANUAL SAL.NET.ACEI'!$A$2:$R$68</definedName>
    <definedName name="Z_6654F670_CAA9_4C4A_B3D9_226402FC46BC_.wvu.PrintArea" localSheetId="11" hidden="1">'11_ALMAZARAS.ACEITUNA MOLTURADA'!$A$1:$M$68</definedName>
    <definedName name="Z_6654F670_CAA9_4C4A_B3D9_226402FC46BC_.wvu.PrintArea" localSheetId="12" hidden="1">'12_ENV,REF Y OPE.EXIST.TOTAL'!$A$1:$K$71</definedName>
    <definedName name="Z_6654F670_CAA9_4C4A_B3D9_226402FC46BC_.wvu.PrintArea" localSheetId="13" hidden="1">'13_ENV,REF Y OPE-TOTAL AC.OLIVA'!$A$1:$S$70</definedName>
    <definedName name="Z_6654F670_CAA9_4C4A_B3D9_226402FC46BC_.wvu.PrintArea" localSheetId="14" hidden="1">'14_ENV.REF Y OPE-TOTAL AC.ORUJO'!$A$1:$S$70</definedName>
    <definedName name="Z_6654F670_CAA9_4C4A_B3D9_226402FC46BC_.wvu.PrintArea" localSheetId="15" hidden="1">'15_ENV,REF Y OPE. NºEMP.ENV.DAT'!$A$1:$I$68</definedName>
    <definedName name="Z_6654F670_CAA9_4C4A_B3D9_226402FC46BC_.wvu.PrintArea" localSheetId="16" hidden="1">'16_EXTRAC.EXIST.AC.ORU.CRU.GRÁF'!$A$1:$O$42</definedName>
    <definedName name="Z_6654F670_CAA9_4C4A_B3D9_226402FC46BC_.wvu.PrintArea" localSheetId="17" hidden="1">'17_EXTRAC.EXIST.ORUJ.GRASO.GRÁF'!$A$1:$O$42</definedName>
    <definedName name="Z_6654F670_CAA9_4C4A_B3D9_226402FC46BC_.wvu.PrintArea" localSheetId="18" hidden="1">'18_ORI.YDEST.REC.MER.ACEITUMES '!$A$1:$N$38</definedName>
    <definedName name="Z_6654F670_CAA9_4C4A_B3D9_226402FC46BC_.wvu.PrintArea" localSheetId="19" hidden="1">'19_BALANCE CAMP.DET.VARIEDADES'!$A$1:$N$38</definedName>
    <definedName name="Z_6654F670_CAA9_4C4A_B3D9_226402FC46BC_.wvu.PrintArea" localSheetId="20" hidden="1">'20_ENTAMAD.BALANCE DET.CAMPAÑA'!$A$4:$V$67</definedName>
    <definedName name="Z_6654F670_CAA9_4C4A_B3D9_226402FC46BC_.wvu.PrintArea" localSheetId="21" hidden="1">'21_ENTR.MENS.ACEITUN.NET.CR.MES'!$A$1:$P$53</definedName>
    <definedName name="Z_6654F670_CAA9_4C4A_B3D9_226402FC46BC_.wvu.PrintArea" localSheetId="22" hidden="1">'22_ENTR.ACEITUN.CR.NET.TIP.EMPR'!$A$1:$N$63</definedName>
    <definedName name="Z_6654F670_CAA9_4C4A_B3D9_226402FC46BC_.wvu.PrintArea" localSheetId="23" hidden="1">'23_DET.PROD.ACEITUNA POR PROCED'!$A$1:$F$32</definedName>
    <definedName name="Z_6654F670_CAA9_4C4A_B3D9_226402FC46BC_.wvu.PrintArea" localSheetId="24" hidden="1">'24_COMP.ENT.ACEITUN.CR.ENT.CAMP'!$A$1:$J$56</definedName>
    <definedName name="Z_7773ACE5_7C99_481D_862C_A1FEEBC42989_.wvu.PrintArea" localSheetId="6" hidden="1">'06_ALMAZARAS.BALANCE DE CAMPAÑA'!$A$1:$N$65</definedName>
    <definedName name="Z_7773ACE5_7C99_481D_862C_A1FEEBC42989_.wvu.PrintArea" localSheetId="7" hidden="1">'07_ALMAZARAS.ACEITE PRODUCIDO'!$B$1:$Q$63</definedName>
    <definedName name="Z_7773ACE5_7C99_481D_862C_A1FEEBC42989_.wvu.PrintArea" localSheetId="8" hidden="1">'08_ALMAZ POR TIPO.PRODUCCIÓN'!$A$1:$Q$67</definedName>
    <definedName name="Z_7773ACE5_7C99_481D_862C_A1FEEBC42989_.wvu.PrintArea" localSheetId="9" hidden="1">'09_ALMAZ.PROD. POR CAMYTIPO '!$A$1:$G$44</definedName>
    <definedName name="Z_7773ACE5_7C99_481D_862C_A1FEEBC42989_.wvu.PrintArea" localSheetId="10" hidden="1">'10_ALMAZ.RES.ANUAL SAL.NET.ACEI'!$A$1:$S$69</definedName>
    <definedName name="Z_7773ACE5_7C99_481D_862C_A1FEEBC42989_.wvu.PrintArea" localSheetId="11" hidden="1">'11_ALMAZARAS.ACEITUNA MOLTURADA'!$A$1:$M$68</definedName>
    <definedName name="Z_7773ACE5_7C99_481D_862C_A1FEEBC42989_.wvu.PrintArea" localSheetId="12" hidden="1">'12_ENV,REF Y OPE.EXIST.TOTAL'!$A$1:$K$71</definedName>
    <definedName name="Z_7773ACE5_7C99_481D_862C_A1FEEBC42989_.wvu.PrintArea" localSheetId="13" hidden="1">'13_ENV,REF Y OPE-TOTAL AC.OLIVA'!$A$1:$S$72</definedName>
    <definedName name="Z_7773ACE5_7C99_481D_862C_A1FEEBC42989_.wvu.PrintArea" localSheetId="14" hidden="1">'14_ENV.REF Y OPE-TOTAL AC.ORUJO'!$A$1:$S$70</definedName>
    <definedName name="Z_7773ACE5_7C99_481D_862C_A1FEEBC42989_.wvu.PrintArea" localSheetId="15" hidden="1">'15_ENV,REF Y OPE. NºEMP.ENV.DAT'!$A$1:$I$68</definedName>
    <definedName name="Z_7773ACE5_7C99_481D_862C_A1FEEBC42989_.wvu.PrintArea" localSheetId="16" hidden="1">'16_EXTRAC.EXIST.AC.ORU.CRU.GRÁF'!$A$1:$O$42</definedName>
    <definedName name="Z_7773ACE5_7C99_481D_862C_A1FEEBC42989_.wvu.PrintArea" localSheetId="17" hidden="1">'17_EXTRAC.EXIST.ORUJ.GRASO.GRÁF'!$A$1:$O$42</definedName>
    <definedName name="Z_7773ACE5_7C99_481D_862C_A1FEEBC42989_.wvu.PrintArea" localSheetId="18" hidden="1">'18_ORI.YDEST.REC.MER.ACEITUMES '!$A$1:$N$38</definedName>
    <definedName name="Z_7773ACE5_7C99_481D_862C_A1FEEBC42989_.wvu.PrintArea" localSheetId="19" hidden="1">'19_BALANCE CAMP.DET.VARIEDADES'!$A$1:$N$38</definedName>
    <definedName name="Z_7773ACE5_7C99_481D_862C_A1FEEBC42989_.wvu.PrintArea" localSheetId="20" hidden="1">'20_ENTAMAD.BALANCE DET.CAMPAÑA'!$A$4:$V$67</definedName>
    <definedName name="Z_7773ACE5_7C99_481D_862C_A1FEEBC42989_.wvu.PrintArea" localSheetId="21" hidden="1">'21_ENTR.MENS.ACEITUN.NET.CR.MES'!$A$1:$P$54</definedName>
    <definedName name="Z_7773ACE5_7C99_481D_862C_A1FEEBC42989_.wvu.PrintArea" localSheetId="22" hidden="1">'22_ENTR.ACEITUN.CR.NET.TIP.EMPR'!$A$1:$N$63</definedName>
    <definedName name="Z_7773ACE5_7C99_481D_862C_A1FEEBC42989_.wvu.PrintArea" localSheetId="23" hidden="1">'23_DET.PROD.ACEITUNA POR PROCED'!$A$1:$F$32</definedName>
    <definedName name="Z_7773ACE5_7C99_481D_862C_A1FEEBC42989_.wvu.PrintArea" localSheetId="24" hidden="1">'24_COMP.ENT.ACEITUN.CR.ENT.CAMP'!$A$1:$J$56</definedName>
    <definedName name="Z_89192556_592D_44A9_BA8C_EA83608B5C0F_.wvu.PrintArea" localSheetId="6" hidden="1">'06_ALMAZARAS.BALANCE DE CAMPAÑA'!$B$1:$N$65</definedName>
    <definedName name="Z_89192556_592D_44A9_BA8C_EA83608B5C0F_.wvu.PrintArea" localSheetId="7" hidden="1">'07_ALMAZARAS.ACEITE PRODUCIDO'!$B$1:$R$62</definedName>
    <definedName name="Z_89192556_592D_44A9_BA8C_EA83608B5C0F_.wvu.PrintArea" localSheetId="8" hidden="1">'08_ALMAZ POR TIPO.PRODUCCIÓN'!$A$1:$Q$67</definedName>
    <definedName name="Z_89192556_592D_44A9_BA8C_EA83608B5C0F_.wvu.PrintArea" localSheetId="9" hidden="1">'09_ALMAZ.PROD. POR CAMYTIPO '!$A$1:$G$44</definedName>
    <definedName name="Z_89192556_592D_44A9_BA8C_EA83608B5C0F_.wvu.PrintArea" localSheetId="10" hidden="1">'10_ALMAZ.RES.ANUAL SAL.NET.ACEI'!$A$2:$R$68</definedName>
    <definedName name="Z_89192556_592D_44A9_BA8C_EA83608B5C0F_.wvu.PrintArea" localSheetId="11" hidden="1">'11_ALMAZARAS.ACEITUNA MOLTURADA'!$A$1:$M$68</definedName>
    <definedName name="Z_89192556_592D_44A9_BA8C_EA83608B5C0F_.wvu.PrintArea" localSheetId="12" hidden="1">'12_ENV,REF Y OPE.EXIST.TOTAL'!$A$1:$K$71</definedName>
    <definedName name="Z_89192556_592D_44A9_BA8C_EA83608B5C0F_.wvu.PrintArea" localSheetId="13" hidden="1">'13_ENV,REF Y OPE-TOTAL AC.OLIVA'!$A$1:$S$70</definedName>
    <definedName name="Z_89192556_592D_44A9_BA8C_EA83608B5C0F_.wvu.PrintArea" localSheetId="14" hidden="1">'14_ENV.REF Y OPE-TOTAL AC.ORUJO'!$A$1:$S$70</definedName>
    <definedName name="Z_89192556_592D_44A9_BA8C_EA83608B5C0F_.wvu.PrintArea" localSheetId="15" hidden="1">'15_ENV,REF Y OPE. NºEMP.ENV.DAT'!$A$1:$I$68</definedName>
    <definedName name="Z_89192556_592D_44A9_BA8C_EA83608B5C0F_.wvu.PrintArea" localSheetId="16" hidden="1">'16_EXTRAC.EXIST.AC.ORU.CRU.GRÁF'!$A$1:$O$42</definedName>
    <definedName name="Z_89192556_592D_44A9_BA8C_EA83608B5C0F_.wvu.PrintArea" localSheetId="17" hidden="1">'17_EXTRAC.EXIST.ORUJ.GRASO.GRÁF'!$A$1:$O$42</definedName>
    <definedName name="Z_89192556_592D_44A9_BA8C_EA83608B5C0F_.wvu.PrintArea" localSheetId="18" hidden="1">'18_ORI.YDEST.REC.MER.ACEITUMES '!$A$1:$N$38</definedName>
    <definedName name="Z_89192556_592D_44A9_BA8C_EA83608B5C0F_.wvu.PrintArea" localSheetId="19" hidden="1">'19_BALANCE CAMP.DET.VARIEDADES'!$A$1:$N$38</definedName>
    <definedName name="Z_89192556_592D_44A9_BA8C_EA83608B5C0F_.wvu.PrintArea" localSheetId="20" hidden="1">'20_ENTAMAD.BALANCE DET.CAMPAÑA'!$A$4:$V$67</definedName>
    <definedName name="Z_89192556_592D_44A9_BA8C_EA83608B5C0F_.wvu.PrintArea" localSheetId="21" hidden="1">'21_ENTR.MENS.ACEITUN.NET.CR.MES'!$A$1:$P$53</definedName>
    <definedName name="Z_89192556_592D_44A9_BA8C_EA83608B5C0F_.wvu.PrintArea" localSheetId="22" hidden="1">'22_ENTR.ACEITUN.CR.NET.TIP.EMPR'!$A$1:$N$63</definedName>
    <definedName name="Z_89192556_592D_44A9_BA8C_EA83608B5C0F_.wvu.PrintArea" localSheetId="23" hidden="1">'23_DET.PROD.ACEITUNA POR PROCED'!$A$1:$F$32</definedName>
    <definedName name="Z_89192556_592D_44A9_BA8C_EA83608B5C0F_.wvu.PrintArea" localSheetId="24" hidden="1">'24_COMP.ENT.ACEITUN.CR.ENT.CAMP'!$A$1:$J$56</definedName>
    <definedName name="Z_CC5263C7_D4B7_4963_B44A_F9A79F041C17_.wvu.PrintArea" localSheetId="6" hidden="1">'06_ALMAZARAS.BALANCE DE CAMPAÑA'!$A$1:$N$65</definedName>
    <definedName name="Z_CC5263C7_D4B7_4963_B44A_F9A79F041C17_.wvu.PrintArea" localSheetId="7" hidden="1">'07_ALMAZARAS.ACEITE PRODUCIDO'!$B$1:$Q$63</definedName>
    <definedName name="Z_CC5263C7_D4B7_4963_B44A_F9A79F041C17_.wvu.PrintArea" localSheetId="8" hidden="1">'08_ALMAZ POR TIPO.PRODUCCIÓN'!$A$1:$Q$67</definedName>
    <definedName name="Z_CC5263C7_D4B7_4963_B44A_F9A79F041C17_.wvu.PrintArea" localSheetId="9" hidden="1">'09_ALMAZ.PROD. POR CAMYTIPO '!$A$1:$G$44</definedName>
    <definedName name="Z_CC5263C7_D4B7_4963_B44A_F9A79F041C17_.wvu.PrintArea" localSheetId="10" hidden="1">'10_ALMAZ.RES.ANUAL SAL.NET.ACEI'!$A$1:$S$69</definedName>
    <definedName name="Z_CC5263C7_D4B7_4963_B44A_F9A79F041C17_.wvu.PrintArea" localSheetId="11" hidden="1">'11_ALMAZARAS.ACEITUNA MOLTURADA'!$A$1:$M$68</definedName>
    <definedName name="Z_CC5263C7_D4B7_4963_B44A_F9A79F041C17_.wvu.PrintArea" localSheetId="12" hidden="1">'12_ENV,REF Y OPE.EXIST.TOTAL'!$A$1:$K$71</definedName>
    <definedName name="Z_CC5263C7_D4B7_4963_B44A_F9A79F041C17_.wvu.PrintArea" localSheetId="13" hidden="1">'13_ENV,REF Y OPE-TOTAL AC.OLIVA'!$A$1:$S$72</definedName>
    <definedName name="Z_CC5263C7_D4B7_4963_B44A_F9A79F041C17_.wvu.PrintArea" localSheetId="14" hidden="1">'14_ENV.REF Y OPE-TOTAL AC.ORUJO'!$A$1:$S$70</definedName>
    <definedName name="Z_CC5263C7_D4B7_4963_B44A_F9A79F041C17_.wvu.PrintArea" localSheetId="15" hidden="1">'15_ENV,REF Y OPE. NºEMP.ENV.DAT'!$A$1:$I$68</definedName>
    <definedName name="Z_CC5263C7_D4B7_4963_B44A_F9A79F041C17_.wvu.PrintArea" localSheetId="16" hidden="1">'16_EXTRAC.EXIST.AC.ORU.CRU.GRÁF'!$A$1:$O$42</definedName>
    <definedName name="Z_CC5263C7_D4B7_4963_B44A_F9A79F041C17_.wvu.PrintArea" localSheetId="17" hidden="1">'17_EXTRAC.EXIST.ORUJ.GRASO.GRÁF'!$A$1:$O$42</definedName>
    <definedName name="Z_CC5263C7_D4B7_4963_B44A_F9A79F041C17_.wvu.PrintArea" localSheetId="18" hidden="1">'18_ORI.YDEST.REC.MER.ACEITUMES '!$A$1:$N$38</definedName>
    <definedName name="Z_CC5263C7_D4B7_4963_B44A_F9A79F041C17_.wvu.PrintArea" localSheetId="19" hidden="1">'19_BALANCE CAMP.DET.VARIEDADES'!$A$1:$N$38</definedName>
    <definedName name="Z_CC5263C7_D4B7_4963_B44A_F9A79F041C17_.wvu.PrintArea" localSheetId="20" hidden="1">'20_ENTAMAD.BALANCE DET.CAMPAÑA'!$A$4:$V$67</definedName>
    <definedName name="Z_CC5263C7_D4B7_4963_B44A_F9A79F041C17_.wvu.PrintArea" localSheetId="21" hidden="1">'21_ENTR.MENS.ACEITUN.NET.CR.MES'!$A$1:$P$54</definedName>
    <definedName name="Z_CC5263C7_D4B7_4963_B44A_F9A79F041C17_.wvu.PrintArea" localSheetId="22" hidden="1">'22_ENTR.ACEITUN.CR.NET.TIP.EMPR'!$A$1:$N$63</definedName>
    <definedName name="Z_CC5263C7_D4B7_4963_B44A_F9A79F041C17_.wvu.PrintArea" localSheetId="23" hidden="1">'23_DET.PROD.ACEITUNA POR PROCED'!$A$1:$F$32</definedName>
    <definedName name="Z_CC5263C7_D4B7_4963_B44A_F9A79F041C17_.wvu.PrintArea" localSheetId="24" hidden="1">'24_COMP.ENT.ACEITUN.CR.ENT.CAMP'!$A$1:$J$56</definedName>
    <definedName name="Z_FE8850AE_213B_4828_9032_1B74110E49FE_.wvu.PrintArea" localSheetId="6" hidden="1">'06_ALMAZARAS.BALANCE DE CAMPAÑA'!$A$1:$N$65</definedName>
    <definedName name="Z_FE8850AE_213B_4828_9032_1B74110E49FE_.wvu.PrintArea" localSheetId="7" hidden="1">'07_ALMAZARAS.ACEITE PRODUCIDO'!$B$1:$Q$63</definedName>
    <definedName name="Z_FE8850AE_213B_4828_9032_1B74110E49FE_.wvu.PrintArea" localSheetId="8" hidden="1">'08_ALMAZ POR TIPO.PRODUCCIÓN'!$A$1:$Q$67</definedName>
    <definedName name="Z_FE8850AE_213B_4828_9032_1B74110E49FE_.wvu.PrintArea" localSheetId="9" hidden="1">'09_ALMAZ.PROD. POR CAMYTIPO '!$A$1:$G$44</definedName>
    <definedName name="Z_FE8850AE_213B_4828_9032_1B74110E49FE_.wvu.PrintArea" localSheetId="10" hidden="1">'10_ALMAZ.RES.ANUAL SAL.NET.ACEI'!$A$1:$S$69</definedName>
    <definedName name="Z_FE8850AE_213B_4828_9032_1B74110E49FE_.wvu.PrintArea" localSheetId="11" hidden="1">'11_ALMAZARAS.ACEITUNA MOLTURADA'!$A$1:$M$68</definedName>
    <definedName name="Z_FE8850AE_213B_4828_9032_1B74110E49FE_.wvu.PrintArea" localSheetId="12" hidden="1">'12_ENV,REF Y OPE.EXIST.TOTAL'!$A$1:$K$71</definedName>
    <definedName name="Z_FE8850AE_213B_4828_9032_1B74110E49FE_.wvu.PrintArea" localSheetId="13" hidden="1">'13_ENV,REF Y OPE-TOTAL AC.OLIVA'!$A$1:$S$72</definedName>
    <definedName name="Z_FE8850AE_213B_4828_9032_1B74110E49FE_.wvu.PrintArea" localSheetId="14" hidden="1">'14_ENV.REF Y OPE-TOTAL AC.ORUJO'!$A$1:$S$70</definedName>
    <definedName name="Z_FE8850AE_213B_4828_9032_1B74110E49FE_.wvu.PrintArea" localSheetId="15" hidden="1">'15_ENV,REF Y OPE. NºEMP.ENV.DAT'!$A$1:$I$68</definedName>
    <definedName name="Z_FE8850AE_213B_4828_9032_1B74110E49FE_.wvu.PrintArea" localSheetId="16" hidden="1">'16_EXTRAC.EXIST.AC.ORU.CRU.GRÁF'!$A$1:$O$42</definedName>
    <definedName name="Z_FE8850AE_213B_4828_9032_1B74110E49FE_.wvu.PrintArea" localSheetId="17" hidden="1">'17_EXTRAC.EXIST.ORUJ.GRASO.GRÁF'!$A$1:$O$42</definedName>
    <definedName name="Z_FE8850AE_213B_4828_9032_1B74110E49FE_.wvu.PrintArea" localSheetId="18" hidden="1">'18_ORI.YDEST.REC.MER.ACEITUMES '!$A$1:$N$38</definedName>
    <definedName name="Z_FE8850AE_213B_4828_9032_1B74110E49FE_.wvu.PrintArea" localSheetId="19" hidden="1">'19_BALANCE CAMP.DET.VARIEDADES'!$A$1:$N$38</definedName>
    <definedName name="Z_FE8850AE_213B_4828_9032_1B74110E49FE_.wvu.PrintArea" localSheetId="20" hidden="1">'20_ENTAMAD.BALANCE DET.CAMPAÑA'!$A$4:$V$67</definedName>
    <definedName name="Z_FE8850AE_213B_4828_9032_1B74110E49FE_.wvu.PrintArea" localSheetId="21" hidden="1">'21_ENTR.MENS.ACEITUN.NET.CR.MES'!$A$1:$P$54</definedName>
    <definedName name="Z_FE8850AE_213B_4828_9032_1B74110E49FE_.wvu.PrintArea" localSheetId="22" hidden="1">'22_ENTR.ACEITUN.CR.NET.TIP.EMPR'!$A$1:$N$63</definedName>
    <definedName name="Z_FE8850AE_213B_4828_9032_1B74110E49FE_.wvu.PrintArea" localSheetId="23" hidden="1">'23_DET.PROD.ACEITUNA POR PROCED'!$A$1:$F$32</definedName>
    <definedName name="Z_FE8850AE_213B_4828_9032_1B74110E49FE_.wvu.PrintArea" localSheetId="24" hidden="1">'24_COMP.ENT.ACEITUN.CR.ENT.CAMP'!$A$1:$J$56</definedName>
    <definedName name="Z_FE8850AE_213B_4828_9032_1B74110E49FE_.wvu.PrintArea" localSheetId="25" hidden="1">'25_ENV.ACEITUN.MESA BALANCE '!$A$1:$S$58</definedName>
  </definedNames>
  <calcPr calcId="191029"/>
  <customWorkbookViews>
    <customWorkbookView name="Martin Moreno, Maria - Vista personalizada" guid="{6654F670-CAA9-4C4A-B3D9-226402FC46BC}" mergeInterval="0" personalView="1" maximized="1" xWindow="-8" yWindow="-8" windowWidth="1936" windowHeight="1056" tabRatio="797" activeSheetId="3"/>
    <customWorkbookView name="Palacios Jimenez, Maria Olga - Vista personalizada" guid="{7773ACE5-7C99-481D-862C-A1FEEBC42989}" mergeInterval="0" personalView="1" maximized="1" xWindow="-8" yWindow="-8" windowWidth="1936" windowHeight="1056" tabRatio="797" activeSheetId="19" showComments="commIndAndComment"/>
    <customWorkbookView name="Caruncho Cieza, Maria - Vista personalizada" guid="{FE8850AE-213B-4828-9032-1B74110E49FE}" mergeInterval="0" personalView="1" maximized="1" xWindow="-8" yWindow="-8" windowWidth="1936" windowHeight="1056" tabRatio="797" activeSheetId="16"/>
    <customWorkbookView name="Lopez Calderon, Sara Adela - Vista personalizada" guid="{CC5263C7-D4B7-4963-B44A-F9A79F041C17}" mergeInterval="0" personalView="1" maximized="1" xWindow="-8" yWindow="-8" windowWidth="1936" windowHeight="1056" tabRatio="797" activeSheetId="11" showComments="commIndAndComment"/>
    <customWorkbookView name="Martin Gonzalez, Miriam - Vista personalizada" guid="{89192556-592D-44A9-BA8C-EA83608B5C0F}" mergeInterval="0" personalView="1" maximized="1" xWindow="-8" yWindow="-8" windowWidth="1936" windowHeight="1056" tabRatio="797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25" l="1"/>
  <c r="I16" i="25" s="1"/>
  <c r="H17" i="25"/>
  <c r="I17" i="25" s="1"/>
  <c r="E74" i="26"/>
  <c r="D74" i="26"/>
  <c r="E73" i="26"/>
  <c r="D73" i="26"/>
  <c r="E72" i="26"/>
  <c r="D72" i="26"/>
  <c r="E71" i="26"/>
  <c r="D71" i="26"/>
  <c r="E70" i="26"/>
  <c r="D70" i="26"/>
  <c r="E69" i="26"/>
  <c r="D69" i="26"/>
  <c r="E68" i="26"/>
  <c r="D68" i="26"/>
  <c r="E67" i="26"/>
  <c r="D67" i="26"/>
  <c r="E66" i="26"/>
  <c r="D66" i="26"/>
  <c r="E65" i="26"/>
  <c r="D65" i="26"/>
  <c r="E64" i="26"/>
  <c r="D64" i="26"/>
  <c r="E63" i="26"/>
  <c r="L63" i="26" s="1"/>
  <c r="L64" i="26" s="1"/>
  <c r="D63" i="26"/>
  <c r="D76" i="26" s="1"/>
  <c r="K62" i="26"/>
  <c r="D62" i="26"/>
  <c r="L56" i="26"/>
  <c r="K56" i="26"/>
  <c r="E56" i="26"/>
  <c r="D56" i="26"/>
  <c r="L55" i="26"/>
  <c r="K55" i="26"/>
  <c r="E55" i="26"/>
  <c r="D55" i="26"/>
  <c r="L54" i="26"/>
  <c r="K54" i="26"/>
  <c r="E54" i="26"/>
  <c r="D54" i="26"/>
  <c r="L53" i="26"/>
  <c r="K53" i="26"/>
  <c r="E53" i="26"/>
  <c r="D53" i="26"/>
  <c r="L52" i="26"/>
  <c r="K52" i="26"/>
  <c r="E52" i="26"/>
  <c r="D52" i="26"/>
  <c r="L51" i="26"/>
  <c r="K51" i="26"/>
  <c r="E51" i="26"/>
  <c r="D51" i="26"/>
  <c r="L50" i="26"/>
  <c r="K50" i="26"/>
  <c r="E50" i="26"/>
  <c r="D50" i="26"/>
  <c r="L49" i="26"/>
  <c r="K49" i="26"/>
  <c r="E49" i="26"/>
  <c r="D49" i="26"/>
  <c r="L48" i="26"/>
  <c r="K48" i="26"/>
  <c r="E48" i="26"/>
  <c r="D48" i="26"/>
  <c r="L47" i="26"/>
  <c r="K47" i="26"/>
  <c r="E47" i="26"/>
  <c r="D47" i="26"/>
  <c r="L46" i="26"/>
  <c r="K46" i="26"/>
  <c r="E46" i="26"/>
  <c r="D46" i="26"/>
  <c r="L45" i="26"/>
  <c r="K45" i="26"/>
  <c r="E45" i="26"/>
  <c r="D45" i="26"/>
  <c r="D57" i="26" s="1" a="1"/>
  <c r="D57" i="26" s="1"/>
  <c r="K44" i="26"/>
  <c r="D44" i="26"/>
  <c r="L38" i="26"/>
  <c r="K38" i="26"/>
  <c r="E38" i="26"/>
  <c r="D38" i="26"/>
  <c r="L37" i="26"/>
  <c r="K37" i="26"/>
  <c r="E37" i="26"/>
  <c r="D37" i="26"/>
  <c r="L36" i="26"/>
  <c r="K36" i="26"/>
  <c r="E36" i="26"/>
  <c r="D36" i="26"/>
  <c r="L35" i="26"/>
  <c r="K35" i="26"/>
  <c r="E35" i="26"/>
  <c r="D35" i="26"/>
  <c r="L34" i="26"/>
  <c r="K34" i="26"/>
  <c r="E34" i="26"/>
  <c r="D34" i="26"/>
  <c r="L33" i="26"/>
  <c r="K33" i="26"/>
  <c r="E33" i="26"/>
  <c r="D33" i="26"/>
  <c r="L32" i="26"/>
  <c r="K32" i="26"/>
  <c r="E32" i="26"/>
  <c r="D32" i="26"/>
  <c r="L31" i="26"/>
  <c r="K31" i="26"/>
  <c r="E31" i="26"/>
  <c r="D31" i="26"/>
  <c r="L30" i="26"/>
  <c r="K30" i="26"/>
  <c r="E30" i="26"/>
  <c r="D30" i="26"/>
  <c r="L29" i="26"/>
  <c r="K29" i="26"/>
  <c r="E29" i="26"/>
  <c r="D29" i="26"/>
  <c r="L28" i="26"/>
  <c r="K28" i="26"/>
  <c r="E28" i="26"/>
  <c r="D28" i="26"/>
  <c r="L27" i="26"/>
  <c r="K27" i="26"/>
  <c r="L39" i="26" s="1"/>
  <c r="E27" i="26"/>
  <c r="D27" i="26"/>
  <c r="E39" i="26" s="1"/>
  <c r="K26" i="26"/>
  <c r="D26" i="26"/>
  <c r="L20" i="26"/>
  <c r="K20" i="26"/>
  <c r="L19" i="26"/>
  <c r="K19" i="26"/>
  <c r="L18" i="26"/>
  <c r="K18" i="26"/>
  <c r="L17" i="26"/>
  <c r="K17" i="26"/>
  <c r="L16" i="26"/>
  <c r="K16" i="26"/>
  <c r="E16" i="26"/>
  <c r="D16" i="26"/>
  <c r="L15" i="26"/>
  <c r="K15" i="26"/>
  <c r="E15" i="26"/>
  <c r="D15" i="26"/>
  <c r="L14" i="26"/>
  <c r="K14" i="26"/>
  <c r="E14" i="26"/>
  <c r="D14" i="26"/>
  <c r="L13" i="26"/>
  <c r="K13" i="26"/>
  <c r="E13" i="26"/>
  <c r="D13" i="26"/>
  <c r="L12" i="26"/>
  <c r="K12" i="26"/>
  <c r="E12" i="26"/>
  <c r="D12" i="26"/>
  <c r="L11" i="26"/>
  <c r="K11" i="26"/>
  <c r="E11" i="26"/>
  <c r="D11" i="26"/>
  <c r="L10" i="26"/>
  <c r="K10" i="26"/>
  <c r="E10" i="26"/>
  <c r="D10" i="26"/>
  <c r="L9" i="26"/>
  <c r="K9" i="26"/>
  <c r="E9" i="26"/>
  <c r="D9" i="26"/>
  <c r="K8" i="26"/>
  <c r="D8" i="26"/>
  <c r="H83" i="25"/>
  <c r="K83" i="25" s="1"/>
  <c r="H82" i="25"/>
  <c r="J82" i="25" s="1"/>
  <c r="G73" i="25"/>
  <c r="G74" i="25" s="1"/>
  <c r="G75" i="25" s="1"/>
  <c r="G76" i="25" s="1"/>
  <c r="G77" i="25" s="1"/>
  <c r="G78" i="25" s="1"/>
  <c r="G79" i="25" s="1"/>
  <c r="G80" i="25" s="1"/>
  <c r="G81" i="25" s="1"/>
  <c r="G82" i="25" s="1"/>
  <c r="G83" i="25" s="1"/>
  <c r="E73" i="25"/>
  <c r="E74" i="25" s="1"/>
  <c r="E75" i="25" s="1"/>
  <c r="E76" i="25" s="1"/>
  <c r="E77" i="25" s="1"/>
  <c r="E78" i="25" s="1"/>
  <c r="E79" i="25" s="1"/>
  <c r="E80" i="25" s="1"/>
  <c r="E81" i="25" s="1"/>
  <c r="E82" i="25" s="1"/>
  <c r="E83" i="25" s="1"/>
  <c r="H72" i="25"/>
  <c r="K72" i="25" s="1"/>
  <c r="G72" i="25"/>
  <c r="F72" i="25"/>
  <c r="F73" i="25" s="1"/>
  <c r="F74" i="25" s="1"/>
  <c r="F75" i="25" s="1"/>
  <c r="F76" i="25" s="1"/>
  <c r="F77" i="25" s="1"/>
  <c r="F78" i="25" s="1"/>
  <c r="F79" i="25" s="1"/>
  <c r="F80" i="25" s="1"/>
  <c r="F81" i="25" s="1"/>
  <c r="F82" i="25" s="1"/>
  <c r="F83" i="25" s="1"/>
  <c r="E72" i="25"/>
  <c r="D72" i="25"/>
  <c r="D73" i="25" s="1"/>
  <c r="D74" i="25" s="1"/>
  <c r="D75" i="25" s="1"/>
  <c r="D76" i="25" s="1"/>
  <c r="D77" i="25" s="1"/>
  <c r="D78" i="25" s="1"/>
  <c r="D79" i="25" s="1"/>
  <c r="D80" i="25" s="1"/>
  <c r="D81" i="25" s="1"/>
  <c r="D82" i="25" s="1"/>
  <c r="D83" i="25" s="1"/>
  <c r="H67" i="25"/>
  <c r="K67" i="25" s="1"/>
  <c r="H66" i="25"/>
  <c r="J66" i="25" s="1"/>
  <c r="H56" i="25"/>
  <c r="G56" i="25"/>
  <c r="G57" i="25" s="1"/>
  <c r="G58" i="25" s="1"/>
  <c r="G59" i="25" s="1"/>
  <c r="G60" i="25" s="1"/>
  <c r="G61" i="25" s="1"/>
  <c r="G62" i="25" s="1"/>
  <c r="G63" i="25" s="1"/>
  <c r="G64" i="25" s="1"/>
  <c r="G65" i="25" s="1"/>
  <c r="G66" i="25" s="1"/>
  <c r="G67" i="25" s="1"/>
  <c r="F56" i="25"/>
  <c r="F57" i="25" s="1"/>
  <c r="F58" i="25" s="1"/>
  <c r="F59" i="25" s="1"/>
  <c r="F60" i="25" s="1"/>
  <c r="F61" i="25" s="1"/>
  <c r="F62" i="25" s="1"/>
  <c r="F63" i="25" s="1"/>
  <c r="F64" i="25" s="1"/>
  <c r="F65" i="25" s="1"/>
  <c r="F66" i="25" s="1"/>
  <c r="F67" i="25" s="1"/>
  <c r="E56" i="25"/>
  <c r="E57" i="25" s="1"/>
  <c r="E58" i="25" s="1"/>
  <c r="E59" i="25" s="1"/>
  <c r="E60" i="25" s="1"/>
  <c r="E61" i="25" s="1"/>
  <c r="E62" i="25" s="1"/>
  <c r="E63" i="25" s="1"/>
  <c r="E64" i="25" s="1"/>
  <c r="E65" i="25" s="1"/>
  <c r="E66" i="25" s="1"/>
  <c r="E67" i="25" s="1"/>
  <c r="D56" i="25"/>
  <c r="D57" i="25" s="1"/>
  <c r="D58" i="25" s="1"/>
  <c r="D59" i="25" s="1"/>
  <c r="D60" i="25" s="1"/>
  <c r="D61" i="25" s="1"/>
  <c r="D62" i="25" s="1"/>
  <c r="D63" i="25" s="1"/>
  <c r="D64" i="25" s="1"/>
  <c r="D65" i="25" s="1"/>
  <c r="D66" i="25" s="1"/>
  <c r="D67" i="25" s="1"/>
  <c r="H51" i="25"/>
  <c r="I51" i="25" s="1"/>
  <c r="H50" i="25"/>
  <c r="J50" i="25" s="1"/>
  <c r="H40" i="25"/>
  <c r="G40" i="25"/>
  <c r="G41" i="25" s="1"/>
  <c r="G42" i="25" s="1"/>
  <c r="G43" i="25" s="1"/>
  <c r="G44" i="25" s="1"/>
  <c r="G45" i="25" s="1"/>
  <c r="G46" i="25" s="1"/>
  <c r="G47" i="25" s="1"/>
  <c r="G48" i="25" s="1"/>
  <c r="G49" i="25" s="1"/>
  <c r="G50" i="25" s="1"/>
  <c r="G51" i="25" s="1"/>
  <c r="F40" i="25"/>
  <c r="F41" i="25" s="1"/>
  <c r="F42" i="25" s="1"/>
  <c r="F43" i="25" s="1"/>
  <c r="F44" i="25" s="1"/>
  <c r="F45" i="25" s="1"/>
  <c r="F46" i="25" s="1"/>
  <c r="F47" i="25" s="1"/>
  <c r="F48" i="25" s="1"/>
  <c r="F49" i="25" s="1"/>
  <c r="F50" i="25" s="1"/>
  <c r="F51" i="25" s="1"/>
  <c r="E40" i="25"/>
  <c r="E41" i="25" s="1"/>
  <c r="E42" i="25" s="1"/>
  <c r="E43" i="25" s="1"/>
  <c r="E44" i="25" s="1"/>
  <c r="E45" i="25" s="1"/>
  <c r="E46" i="25" s="1"/>
  <c r="E47" i="25" s="1"/>
  <c r="E48" i="25" s="1"/>
  <c r="E49" i="25" s="1"/>
  <c r="E50" i="25" s="1"/>
  <c r="E51" i="25" s="1"/>
  <c r="D40" i="25"/>
  <c r="D41" i="25" s="1"/>
  <c r="D42" i="25" s="1"/>
  <c r="D43" i="25" s="1"/>
  <c r="D44" i="25" s="1"/>
  <c r="D45" i="25" s="1"/>
  <c r="D46" i="25" s="1"/>
  <c r="D47" i="25" s="1"/>
  <c r="D48" i="25" s="1"/>
  <c r="D49" i="25" s="1"/>
  <c r="D50" i="25" s="1"/>
  <c r="D51" i="25" s="1"/>
  <c r="H35" i="25"/>
  <c r="K35" i="25" s="1"/>
  <c r="H34" i="25"/>
  <c r="J34" i="25" s="1"/>
  <c r="G25" i="25"/>
  <c r="G26" i="25" s="1"/>
  <c r="G27" i="25" s="1"/>
  <c r="G28" i="25" s="1"/>
  <c r="G29" i="25" s="1"/>
  <c r="G30" i="25" s="1"/>
  <c r="G31" i="25" s="1"/>
  <c r="G32" i="25" s="1"/>
  <c r="G33" i="25" s="1"/>
  <c r="G34" i="25" s="1"/>
  <c r="G35" i="25" s="1"/>
  <c r="E25" i="25"/>
  <c r="E26" i="25" s="1"/>
  <c r="E27" i="25" s="1"/>
  <c r="E28" i="25" s="1"/>
  <c r="E29" i="25" s="1"/>
  <c r="E30" i="25" s="1"/>
  <c r="E31" i="25" s="1"/>
  <c r="E32" i="25" s="1"/>
  <c r="E33" i="25" s="1"/>
  <c r="E34" i="25" s="1"/>
  <c r="E35" i="25" s="1"/>
  <c r="H24" i="25"/>
  <c r="J24" i="25" s="1"/>
  <c r="G24" i="25"/>
  <c r="F24" i="25"/>
  <c r="F25" i="25" s="1"/>
  <c r="F26" i="25" s="1"/>
  <c r="F27" i="25" s="1"/>
  <c r="F28" i="25" s="1"/>
  <c r="F29" i="25" s="1"/>
  <c r="F30" i="25" s="1"/>
  <c r="F31" i="25" s="1"/>
  <c r="F32" i="25" s="1"/>
  <c r="F33" i="25" s="1"/>
  <c r="F34" i="25" s="1"/>
  <c r="F35" i="25" s="1"/>
  <c r="E24" i="25"/>
  <c r="D24" i="25"/>
  <c r="D25" i="25" s="1"/>
  <c r="D26" i="25" s="1"/>
  <c r="D27" i="25" s="1"/>
  <c r="D28" i="25" s="1"/>
  <c r="D29" i="25" s="1"/>
  <c r="D30" i="25" s="1"/>
  <c r="D31" i="25" s="1"/>
  <c r="D32" i="25" s="1"/>
  <c r="D33" i="25" s="1"/>
  <c r="D34" i="25" s="1"/>
  <c r="D35" i="25" s="1"/>
  <c r="H19" i="25"/>
  <c r="I19" i="25" s="1"/>
  <c r="H18" i="25"/>
  <c r="J18" i="25" s="1"/>
  <c r="H8" i="25"/>
  <c r="G8" i="25"/>
  <c r="G9" i="25" s="1"/>
  <c r="G10" i="25" s="1"/>
  <c r="G11" i="25" s="1"/>
  <c r="G12" i="25" s="1"/>
  <c r="G13" i="25" s="1"/>
  <c r="G14" i="25" s="1"/>
  <c r="G15" i="25" s="1"/>
  <c r="G16" i="25" s="1"/>
  <c r="G17" i="25" s="1"/>
  <c r="G18" i="25" s="1"/>
  <c r="G19" i="25" s="1"/>
  <c r="F8" i="25"/>
  <c r="F9" i="25" s="1"/>
  <c r="F10" i="25" s="1"/>
  <c r="F11" i="25" s="1"/>
  <c r="F12" i="25" s="1"/>
  <c r="F13" i="25" s="1"/>
  <c r="F14" i="25" s="1"/>
  <c r="F15" i="25" s="1"/>
  <c r="F16" i="25" s="1"/>
  <c r="F17" i="25" s="1"/>
  <c r="F18" i="25" s="1"/>
  <c r="F19" i="25" s="1"/>
  <c r="E8" i="25"/>
  <c r="E9" i="25" s="1"/>
  <c r="E10" i="25" s="1"/>
  <c r="E11" i="25" s="1"/>
  <c r="E12" i="25" s="1"/>
  <c r="E13" i="25" s="1"/>
  <c r="E14" i="25" s="1"/>
  <c r="E15" i="25" s="1"/>
  <c r="E16" i="25" s="1"/>
  <c r="E17" i="25" s="1"/>
  <c r="E18" i="25" s="1"/>
  <c r="E19" i="25" s="1"/>
  <c r="D8" i="25"/>
  <c r="D9" i="25" s="1"/>
  <c r="D10" i="25" s="1"/>
  <c r="D11" i="25" s="1"/>
  <c r="D12" i="25" s="1"/>
  <c r="D13" i="25" s="1"/>
  <c r="D14" i="25" s="1"/>
  <c r="D15" i="25" s="1"/>
  <c r="D16" i="25" s="1"/>
  <c r="D17" i="25" s="1"/>
  <c r="D18" i="25" s="1"/>
  <c r="D19" i="25" s="1"/>
  <c r="G88" i="23"/>
  <c r="F88" i="23"/>
  <c r="E88" i="23"/>
  <c r="D88" i="23"/>
  <c r="C88" i="23"/>
  <c r="G71" i="23"/>
  <c r="F71" i="23"/>
  <c r="E71" i="23"/>
  <c r="D71" i="23"/>
  <c r="C71" i="23"/>
  <c r="G54" i="23"/>
  <c r="F54" i="23"/>
  <c r="E54" i="23"/>
  <c r="D54" i="23"/>
  <c r="C54" i="23"/>
  <c r="G37" i="23"/>
  <c r="F37" i="23"/>
  <c r="E37" i="23"/>
  <c r="D37" i="23"/>
  <c r="C37" i="23"/>
  <c r="G20" i="23"/>
  <c r="F20" i="23"/>
  <c r="E20" i="23"/>
  <c r="D20" i="23"/>
  <c r="C20" i="23"/>
  <c r="G58" i="22"/>
  <c r="F58" i="22"/>
  <c r="E59" i="22" s="1"/>
  <c r="E58" i="22"/>
  <c r="C58" i="22"/>
  <c r="G39" i="22"/>
  <c r="F39" i="22"/>
  <c r="E39" i="22"/>
  <c r="E40" i="22" s="1"/>
  <c r="C39" i="22"/>
  <c r="G20" i="22"/>
  <c r="F20" i="22"/>
  <c r="E20" i="22"/>
  <c r="D20" i="22"/>
  <c r="K57" i="26" l="1" a="1"/>
  <c r="K57" i="26" s="1"/>
  <c r="L57" i="26" s="1"/>
  <c r="K58" i="26" s="1"/>
  <c r="L21" i="26"/>
  <c r="K17" i="25"/>
  <c r="J17" i="25"/>
  <c r="K16" i="25"/>
  <c r="J16" i="25"/>
  <c r="G22" i="22"/>
  <c r="I83" i="25"/>
  <c r="D75" i="26"/>
  <c r="I67" i="25"/>
  <c r="K56" i="25"/>
  <c r="K40" i="25"/>
  <c r="E21" i="26"/>
  <c r="D21" i="26"/>
  <c r="J8" i="25"/>
  <c r="E57" i="26"/>
  <c r="D58" i="26" s="1"/>
  <c r="L65" i="26"/>
  <c r="L66" i="26" s="1"/>
  <c r="L67" i="26" s="1"/>
  <c r="L68" i="26" s="1"/>
  <c r="L69" i="26" s="1"/>
  <c r="L70" i="26" s="1"/>
  <c r="L71" i="26" s="1"/>
  <c r="L72" i="26" s="1"/>
  <c r="L73" i="26" s="1"/>
  <c r="L74" i="26" s="1"/>
  <c r="H25" i="25"/>
  <c r="H41" i="25"/>
  <c r="H57" i="25"/>
  <c r="H73" i="25"/>
  <c r="K21" i="26"/>
  <c r="K22" i="26" s="1"/>
  <c r="J19" i="25"/>
  <c r="J35" i="25"/>
  <c r="J51" i="25"/>
  <c r="J67" i="25"/>
  <c r="J83" i="25"/>
  <c r="H9" i="25"/>
  <c r="I35" i="25"/>
  <c r="K19" i="25"/>
  <c r="K51" i="25"/>
  <c r="D39" i="26"/>
  <c r="D40" i="26" s="1"/>
  <c r="K39" i="26"/>
  <c r="K40" i="26" s="1"/>
  <c r="I8" i="25"/>
  <c r="I18" i="25"/>
  <c r="I24" i="25"/>
  <c r="I34" i="25"/>
  <c r="I40" i="25"/>
  <c r="I50" i="25"/>
  <c r="I56" i="25"/>
  <c r="I66" i="25"/>
  <c r="I72" i="25"/>
  <c r="I82" i="25"/>
  <c r="E75" i="26"/>
  <c r="J40" i="25"/>
  <c r="J56" i="25"/>
  <c r="J72" i="25"/>
  <c r="K63" i="26"/>
  <c r="K8" i="25"/>
  <c r="K18" i="25"/>
  <c r="K24" i="25"/>
  <c r="K34" i="25"/>
  <c r="K50" i="25"/>
  <c r="K66" i="25"/>
  <c r="K82" i="25"/>
  <c r="D22" i="26" l="1"/>
  <c r="H42" i="25"/>
  <c r="I41" i="25"/>
  <c r="K41" i="25"/>
  <c r="J41" i="25"/>
  <c r="H58" i="25"/>
  <c r="I57" i="25"/>
  <c r="K57" i="25"/>
  <c r="J57" i="25"/>
  <c r="H10" i="25"/>
  <c r="I9" i="25"/>
  <c r="K9" i="25"/>
  <c r="J9" i="25"/>
  <c r="H26" i="25"/>
  <c r="I25" i="25"/>
  <c r="K25" i="25"/>
  <c r="J25" i="25"/>
  <c r="H74" i="25"/>
  <c r="I73" i="25"/>
  <c r="K73" i="25"/>
  <c r="J73" i="25"/>
  <c r="K64" i="26"/>
  <c r="K65" i="26" s="1"/>
  <c r="K66" i="26" s="1"/>
  <c r="K67" i="26" s="1"/>
  <c r="K68" i="26" s="1"/>
  <c r="K69" i="26" s="1"/>
  <c r="K70" i="26" s="1"/>
  <c r="K71" i="26" s="1"/>
  <c r="K72" i="26" s="1"/>
  <c r="K73" i="26" s="1"/>
  <c r="K74" i="26" s="1"/>
  <c r="K75" i="26" s="1" a="1"/>
  <c r="K75" i="26" s="1"/>
  <c r="L75" i="26" l="1"/>
  <c r="K76" i="26" s="1"/>
  <c r="J26" i="25"/>
  <c r="K26" i="25"/>
  <c r="I26" i="25"/>
  <c r="H27" i="25"/>
  <c r="J10" i="25"/>
  <c r="K10" i="25"/>
  <c r="I10" i="25"/>
  <c r="H11" i="25"/>
  <c r="K58" i="25"/>
  <c r="J58" i="25"/>
  <c r="I58" i="25"/>
  <c r="H59" i="25"/>
  <c r="K74" i="25"/>
  <c r="J74" i="25"/>
  <c r="I74" i="25"/>
  <c r="H75" i="25"/>
  <c r="J42" i="25"/>
  <c r="K42" i="25"/>
  <c r="I42" i="25"/>
  <c r="H43" i="25"/>
  <c r="H28" i="25" l="1"/>
  <c r="I27" i="25"/>
  <c r="K27" i="25"/>
  <c r="J27" i="25"/>
  <c r="H60" i="25"/>
  <c r="I59" i="25"/>
  <c r="K59" i="25"/>
  <c r="J59" i="25"/>
  <c r="H12" i="25"/>
  <c r="I11" i="25"/>
  <c r="K11" i="25"/>
  <c r="J11" i="25"/>
  <c r="H44" i="25"/>
  <c r="K43" i="25"/>
  <c r="J43" i="25"/>
  <c r="I43" i="25"/>
  <c r="H76" i="25"/>
  <c r="I75" i="25"/>
  <c r="K75" i="25"/>
  <c r="J75" i="25"/>
  <c r="J12" i="25" l="1"/>
  <c r="K12" i="25"/>
  <c r="I12" i="25"/>
  <c r="H13" i="25"/>
  <c r="J60" i="25"/>
  <c r="K60" i="25"/>
  <c r="I60" i="25"/>
  <c r="H61" i="25"/>
  <c r="K44" i="25"/>
  <c r="J44" i="25"/>
  <c r="I44" i="25"/>
  <c r="H45" i="25"/>
  <c r="J76" i="25"/>
  <c r="K76" i="25"/>
  <c r="I76" i="25"/>
  <c r="H77" i="25"/>
  <c r="K28" i="25"/>
  <c r="J28" i="25"/>
  <c r="I28" i="25"/>
  <c r="H29" i="25"/>
  <c r="H78" i="25" l="1"/>
  <c r="I77" i="25"/>
  <c r="K77" i="25"/>
  <c r="J77" i="25"/>
  <c r="H46" i="25"/>
  <c r="I45" i="25"/>
  <c r="K45" i="25"/>
  <c r="J45" i="25"/>
  <c r="H62" i="25"/>
  <c r="I61" i="25"/>
  <c r="K61" i="25"/>
  <c r="J61" i="25"/>
  <c r="H30" i="25"/>
  <c r="I29" i="25"/>
  <c r="K29" i="25"/>
  <c r="J29" i="25"/>
  <c r="I13" i="25"/>
  <c r="K13" i="25"/>
  <c r="J13" i="25"/>
  <c r="H14" i="25"/>
  <c r="J30" i="25" l="1"/>
  <c r="K30" i="25"/>
  <c r="I30" i="25"/>
  <c r="H31" i="25"/>
  <c r="J46" i="25"/>
  <c r="K46" i="25"/>
  <c r="I46" i="25"/>
  <c r="H47" i="25"/>
  <c r="K62" i="25"/>
  <c r="J62" i="25"/>
  <c r="I62" i="25"/>
  <c r="H63" i="25"/>
  <c r="K14" i="25"/>
  <c r="J14" i="25"/>
  <c r="I14" i="25"/>
  <c r="H15" i="25"/>
  <c r="K78" i="25"/>
  <c r="J78" i="25"/>
  <c r="I78" i="25"/>
  <c r="H79" i="25"/>
  <c r="H80" i="25" l="1"/>
  <c r="H81" i="25" s="1"/>
  <c r="I79" i="25"/>
  <c r="K79" i="25"/>
  <c r="J79" i="25"/>
  <c r="K15" i="25"/>
  <c r="J15" i="25"/>
  <c r="I15" i="25"/>
  <c r="H64" i="25"/>
  <c r="H65" i="25" s="1"/>
  <c r="I63" i="25"/>
  <c r="K63" i="25"/>
  <c r="J63" i="25"/>
  <c r="H48" i="25"/>
  <c r="H49" i="25" s="1"/>
  <c r="I47" i="25"/>
  <c r="K47" i="25"/>
  <c r="J47" i="25"/>
  <c r="H32" i="25"/>
  <c r="H33" i="25" s="1"/>
  <c r="I31" i="25"/>
  <c r="K31" i="25"/>
  <c r="J31" i="25"/>
  <c r="K81" i="25" l="1"/>
  <c r="I81" i="25"/>
  <c r="J81" i="25"/>
  <c r="K65" i="25"/>
  <c r="I65" i="25"/>
  <c r="J65" i="25"/>
  <c r="I49" i="25"/>
  <c r="K49" i="25"/>
  <c r="J49" i="25"/>
  <c r="I33" i="25"/>
  <c r="J33" i="25"/>
  <c r="K33" i="25"/>
  <c r="K64" i="25"/>
  <c r="J64" i="25"/>
  <c r="I64" i="25"/>
  <c r="J32" i="25"/>
  <c r="K32" i="25"/>
  <c r="I32" i="25"/>
  <c r="J48" i="25"/>
  <c r="K48" i="25"/>
  <c r="I48" i="25"/>
  <c r="J80" i="25"/>
  <c r="K80" i="25"/>
  <c r="I80" i="25"/>
</calcChain>
</file>

<file path=xl/sharedStrings.xml><?xml version="1.0" encoding="utf-8"?>
<sst xmlns="http://schemas.openxmlformats.org/spreadsheetml/2006/main" count="1923" uniqueCount="343">
  <si>
    <t>ALMAZARAS</t>
  </si>
  <si>
    <t>ENTRADAS</t>
  </si>
  <si>
    <t>SALIDAS TOTALES</t>
  </si>
  <si>
    <t>EXISTENCIAS FINALES</t>
  </si>
  <si>
    <t>PROVINCIA</t>
  </si>
  <si>
    <t>OTRAS E.</t>
  </si>
  <si>
    <t>GRANADA</t>
  </si>
  <si>
    <t>HUELVA</t>
  </si>
  <si>
    <t>SEVILLA</t>
  </si>
  <si>
    <t>TOTAL:</t>
  </si>
  <si>
    <t>HUESCA</t>
  </si>
  <si>
    <t>TERUEL</t>
  </si>
  <si>
    <t>ZARAGOZA</t>
  </si>
  <si>
    <t>BALEARES</t>
  </si>
  <si>
    <t>ALICANTE</t>
  </si>
  <si>
    <t>VALENCIA</t>
  </si>
  <si>
    <t>ALBACETE</t>
  </si>
  <si>
    <t>CIUDAD REAL</t>
  </si>
  <si>
    <t>CUENCA</t>
  </si>
  <si>
    <t>TOLEDO</t>
  </si>
  <si>
    <t>SALAMANCA</t>
  </si>
  <si>
    <t>OTRAS</t>
  </si>
  <si>
    <t>CATALUÑA</t>
  </si>
  <si>
    <t>BARCELONA</t>
  </si>
  <si>
    <t>GIRONA</t>
  </si>
  <si>
    <t>LLEIDA</t>
  </si>
  <si>
    <t>TARRAGONA</t>
  </si>
  <si>
    <t>EXTREMADURA</t>
  </si>
  <si>
    <t>BADAJOZ</t>
  </si>
  <si>
    <t>GALICIA</t>
  </si>
  <si>
    <t>TODAS</t>
  </si>
  <si>
    <t>LA RIOJA</t>
  </si>
  <si>
    <t>MADRID</t>
  </si>
  <si>
    <t>MURCIA</t>
  </si>
  <si>
    <t>NAVARRA</t>
  </si>
  <si>
    <t>TOTAL NACIONAL</t>
  </si>
  <si>
    <t>* Número de Almazaras Existentes en la Campaña</t>
  </si>
  <si>
    <t>** Número de Almazaras que han Declarado en la Campaña para el Mes Indicado</t>
  </si>
  <si>
    <t>Datos Expresados en Toneladas</t>
  </si>
  <si>
    <t>OCTUBRE</t>
  </si>
  <si>
    <t>NOVIEMBRE</t>
  </si>
  <si>
    <t>DICIEMBRE</t>
  </si>
  <si>
    <t>ENERO</t>
  </si>
  <si>
    <t>FEBRERO</t>
  </si>
  <si>
    <t>MARZO</t>
  </si>
  <si>
    <t>ABRIL</t>
  </si>
  <si>
    <t>MAYO</t>
  </si>
  <si>
    <t>AJUSTES</t>
  </si>
  <si>
    <t>TOTAL</t>
  </si>
  <si>
    <t>TOTAL :</t>
  </si>
  <si>
    <t>GUADALAJARA</t>
  </si>
  <si>
    <t>*  Almazaras que han Notificado su Producción al Menos una Vez en la Campaña.</t>
  </si>
  <si>
    <t>** Almazaras que han notificado su producción en la Campaña para el mes Indicado.</t>
  </si>
  <si>
    <t>Salidas Netas de Aceite = Salidas Totales de Aceite - Salidas de Aceite a otras Almazaras</t>
  </si>
  <si>
    <t>COMUNIDAD AUTÓNOMA</t>
  </si>
  <si>
    <t>JUNIO</t>
  </si>
  <si>
    <t>JULIO</t>
  </si>
  <si>
    <t>AGOSTO</t>
  </si>
  <si>
    <t>SEPTIEMBRE</t>
  </si>
  <si>
    <t>EXISTENCIAS INICIALES</t>
  </si>
  <si>
    <t>TOTALES</t>
  </si>
  <si>
    <t>ENVASADORAS</t>
  </si>
  <si>
    <t>CON ALMAZARA</t>
  </si>
  <si>
    <t>SIN ALMAZARA</t>
  </si>
  <si>
    <t>AOVE</t>
  </si>
  <si>
    <t>AOV</t>
  </si>
  <si>
    <t>AO</t>
  </si>
  <si>
    <t>AOR</t>
  </si>
  <si>
    <t>OPERADORES</t>
  </si>
  <si>
    <t>*Nº TOTAL</t>
  </si>
  <si>
    <t>EXISTENCIAS A 1 DE OCTUBRE</t>
  </si>
  <si>
    <t>PRODUCCIÓN</t>
  </si>
  <si>
    <t xml:space="preserve">TOTAL: </t>
  </si>
  <si>
    <t>CASTILLA-LA MANCHA</t>
  </si>
  <si>
    <t>ANDALUCÍA</t>
  </si>
  <si>
    <t>ARAGÓN</t>
  </si>
  <si>
    <t>CASTILLA Y LEÓN</t>
  </si>
  <si>
    <t>PAÍS VASCO</t>
  </si>
  <si>
    <t>ÁVILA</t>
  </si>
  <si>
    <t>CÁCERES</t>
  </si>
  <si>
    <t>ALMERÍA</t>
  </si>
  <si>
    <t>CÁDIZ</t>
  </si>
  <si>
    <t>CÓRDOBA</t>
  </si>
  <si>
    <t>JAÉN</t>
  </si>
  <si>
    <t>MÁLAGA</t>
  </si>
  <si>
    <t>CASTELLÓN</t>
  </si>
  <si>
    <t>Datos expresados en Toneladas</t>
  </si>
  <si>
    <t>COMUNIDAD VALENCIANA</t>
  </si>
  <si>
    <t>GRANDES ENVASADORAS*</t>
  </si>
  <si>
    <t>*Las existencias finales corresponden a las existencias fisicas situadas en las envasadoras junto con las de sus refinerías correspondientes.</t>
  </si>
  <si>
    <t>ACEITES DE OLIVA</t>
  </si>
  <si>
    <t>NÚMERO DE EMPRESAS QUE ENVÍAN DATOS**</t>
  </si>
  <si>
    <t xml:space="preserve">* Las existencias finales corresponden a las existencias fisicas situadas en las envasadoras junto con las de sus refinerías correspondientes. </t>
  </si>
  <si>
    <t>** El número de empresas consideradas como grandes envasadoras corresponde al número de instalaciones de estas más sus refinerías correspondientes</t>
  </si>
  <si>
    <t>Descripción: ACEITES DE OLIVA</t>
  </si>
  <si>
    <t>Descripción: ACEITES DE ORUJO</t>
  </si>
  <si>
    <t>El número de empresas consideradas como grandes envasadoras corresponde al número de instalaciones de estas más sus refinerías correspondientes.</t>
  </si>
  <si>
    <t>%</t>
  </si>
  <si>
    <t>INDUSTRIALES</t>
  </si>
  <si>
    <t xml:space="preserve">TOTAL CCAA: </t>
  </si>
  <si>
    <t>DATOS</t>
  </si>
  <si>
    <t>COOPERATIVAS</t>
  </si>
  <si>
    <t>ALMAZARAS Nº</t>
  </si>
  <si>
    <t>* Almazaras que han notificado su producción al menos una vez en la campaña.</t>
  </si>
  <si>
    <t>Campaña</t>
  </si>
  <si>
    <t>EXTRACTORAS</t>
  </si>
  <si>
    <t>FÍSICO</t>
  </si>
  <si>
    <t>QUÍMICO</t>
  </si>
  <si>
    <t>RESTO DE AUTONOMÍAS</t>
  </si>
  <si>
    <t>AOOC PRODUCIDO</t>
  </si>
  <si>
    <t>SALIDA DE AOOC</t>
  </si>
  <si>
    <t>AJUSTES (*)</t>
  </si>
  <si>
    <t>GRÁFICO ACEITE DE ORUJO DE OLIVA PRODUCIDO MES A MES</t>
  </si>
  <si>
    <t>Datos expresados en Toneladas.</t>
  </si>
  <si>
    <t xml:space="preserve">AJUSTES (*): Producidos por movimientos no declarados entre extractoras o entre instalaciones de una misma extractora (traspasos). </t>
  </si>
  <si>
    <t>GRÁFICO ORUJO GRASO ENTRADO MES A MES</t>
  </si>
  <si>
    <t>ENTRADA ORUJO</t>
  </si>
  <si>
    <t>SALIDA ORUJO</t>
  </si>
  <si>
    <t>SECO</t>
  </si>
  <si>
    <t>Fuente: SIMO</t>
  </si>
  <si>
    <t xml:space="preserve"> 06_ALMAZARAS_BALANCE DE CAMPAÑA</t>
  </si>
  <si>
    <t>09_ALMAZARAS_PRODUCCIÓN POR CAMPAÑAS Y TIPO</t>
  </si>
  <si>
    <t>10_ALMAZARAS_RESUMEN ANUAL DE SALIDAS NETAS DE ACEITE</t>
  </si>
  <si>
    <t>16_EXTRACTORAS_EXISTENCIAS DE ACEITE DE ORUJO CRUDO_GRÁFICO</t>
  </si>
  <si>
    <t>17_EXTRACTORAS_EXISTENCIAS DE ORUJO GRASO_GRÁFICO</t>
  </si>
  <si>
    <t xml:space="preserve"> 08_ALMAZARAS_ALMAZARAS POR TIPO_PRODUCCIÓN</t>
  </si>
  <si>
    <t>11_ALMAZARAS_ACEITUNA MOLTURADA</t>
  </si>
  <si>
    <t xml:space="preserve"> 07_ALMAZARAS_ACEITE PRODUCIDO</t>
  </si>
  <si>
    <t xml:space="preserve"> 12_ENVASADORAS, REFINERÍAS Y OPERADORES_EXISTENCIAS TOTAL</t>
  </si>
  <si>
    <t>Nº</t>
  </si>
  <si>
    <t>**DATOS (-%)</t>
  </si>
  <si>
    <t>**Nº DATOS</t>
  </si>
  <si>
    <t>ALMAZARAS INDUSTRIALES</t>
  </si>
  <si>
    <t>ALMAZARAS COOPERATIVAS</t>
  </si>
  <si>
    <t>% Producción</t>
  </si>
  <si>
    <t>% Nº Empresas</t>
  </si>
  <si>
    <t>Toneladas</t>
  </si>
  <si>
    <t>** Nº de empresas que envían datos</t>
  </si>
  <si>
    <t>15_ENVASADORAS, REFINERÍAS Y OPERADORES</t>
  </si>
  <si>
    <t>Nº DE EMPRESAS QUE ENVÍAN DATOS</t>
  </si>
  <si>
    <t>14_ENVASADORAS, REFINERÍAS Y OPERADORES</t>
  </si>
  <si>
    <t>RESUMEN ANUAL DE EXISTENCIAS_TOTAL_ACEITES DE ORUJO</t>
  </si>
  <si>
    <t>13_ENVASADORAS, REFINERÍAS Y OPERADORES</t>
  </si>
  <si>
    <t>RESUMEN ANUAL DE EXISTENCIAS_TOTAL_ACEITES DE OLIVA</t>
  </si>
  <si>
    <t>21/22</t>
  </si>
  <si>
    <t>** El número de empresas consideradas como grandes envasadoras corresponde al número de instalaciones de estas más sus refinerías correspondientes.</t>
  </si>
  <si>
    <t xml:space="preserve"> </t>
  </si>
  <si>
    <t>22/23</t>
  </si>
  <si>
    <t>23/24</t>
  </si>
  <si>
    <t>SORIA</t>
  </si>
  <si>
    <t>24/25</t>
  </si>
  <si>
    <t>CANARIAS</t>
  </si>
  <si>
    <t>LAS PALMAS</t>
  </si>
  <si>
    <t>STA. CRUZ DE TENERIFE</t>
  </si>
  <si>
    <t>BURGOS</t>
  </si>
  <si>
    <t>25/26</t>
  </si>
  <si>
    <t>HÚMEDO +
H.DESHUES.</t>
  </si>
  <si>
    <t>LEÓN</t>
  </si>
  <si>
    <t xml:space="preserve">(1) : Incluye entradas de Orujo Húmedo + Húmedo Deshuesado                                                                                                                                                                         </t>
  </si>
  <si>
    <t>18_ORIGEN Y DESTINO DE LOS RECURSOS DEL MERCADO DE ACEITUNA DE MESA</t>
  </si>
  <si>
    <t>VARIEDAD: TODAS</t>
  </si>
  <si>
    <t>2025/2026</t>
  </si>
  <si>
    <t>2024/2025</t>
  </si>
  <si>
    <t>Diferencia (%)</t>
  </si>
  <si>
    <t>ORIGEN</t>
  </si>
  <si>
    <t>Verde</t>
  </si>
  <si>
    <t>Negra</t>
  </si>
  <si>
    <t>Existencias Inicio Campaña</t>
  </si>
  <si>
    <t>Entamadoras</t>
  </si>
  <si>
    <t>Envasadoras</t>
  </si>
  <si>
    <t>Producción (*)</t>
  </si>
  <si>
    <t>Importaciones</t>
  </si>
  <si>
    <t>TOTAL RECURSOS DEL MERCADO</t>
  </si>
  <si>
    <t>DESTINO</t>
  </si>
  <si>
    <t>Aceituna transf. comercializada</t>
  </si>
  <si>
    <t>Exportación</t>
  </si>
  <si>
    <t>Mercado Interior</t>
  </si>
  <si>
    <t>Mermas y destríos</t>
  </si>
  <si>
    <t>Ajustes</t>
  </si>
  <si>
    <t>EXISTENCIAS</t>
  </si>
  <si>
    <t>Datos expresados en miles de Toneladas. Datos expresados en peso de entamado sin más transformación.</t>
  </si>
  <si>
    <t>(*) Entrada de aceituna cruda neta (Importada + No importada).</t>
  </si>
  <si>
    <t>"-" El divisor presenta valores negativos, al calcular Diferencia (%).</t>
  </si>
  <si>
    <t>19_BALANCE DE CAMPAÑA DETALLADO POR VARIEDADES Y TIPO</t>
  </si>
  <si>
    <t>IMPORTACIONES</t>
  </si>
  <si>
    <t>ACEITUNA COMERCIALIZADA</t>
  </si>
  <si>
    <t>MERMAS Y DESTRÍOS</t>
  </si>
  <si>
    <t>ENTAMADORA</t>
  </si>
  <si>
    <t>ENVASADORA</t>
  </si>
  <si>
    <t>A EXPORTACIÓN</t>
  </si>
  <si>
    <t>MERCADO INTERIOR</t>
  </si>
  <si>
    <t>MANZANILLA</t>
  </si>
  <si>
    <t>Cocida (para verde)</t>
  </si>
  <si>
    <t>Salmuera y/o Acético(negra para negra)</t>
  </si>
  <si>
    <t>GORDAL</t>
  </si>
  <si>
    <t>HOJIBLANCA</t>
  </si>
  <si>
    <t>CACEREÑA</t>
  </si>
  <si>
    <t>CARRASQUEÑA</t>
  </si>
  <si>
    <t>GORDAL: Las existencias iniciales y finales incluyen cantidades procedentes de la campaña pasada y anteriores.</t>
  </si>
  <si>
    <t>Datos expresados en miles de toneladas. Datos expresados en peso de entamado sin más transformación.</t>
  </si>
  <si>
    <t>20_ENTAMADORAS_BALANCE DETALLADO DE CAMPAÑA</t>
  </si>
  <si>
    <t>INDUSTRIAS</t>
  </si>
  <si>
    <t>EXISTENCIAS  INICIALES CAMPAÑA</t>
  </si>
  <si>
    <t>SALIDAS</t>
  </si>
  <si>
    <t>EXISTENCIAS FIN DE MES</t>
  </si>
  <si>
    <t>TOTAL*</t>
  </si>
  <si>
    <t>DATOS**</t>
  </si>
  <si>
    <t>Aceituna cruda</t>
  </si>
  <si>
    <t>TRANSFORMADAS</t>
  </si>
  <si>
    <t>TOTAL ENTRADAS</t>
  </si>
  <si>
    <t>TOTAL SALIDAS</t>
  </si>
  <si>
    <t>Otras industrias</t>
  </si>
  <si>
    <t>Importación</t>
  </si>
  <si>
    <t>Transf.env.prop.</t>
  </si>
  <si>
    <t>Transf.otras.env.</t>
  </si>
  <si>
    <t>Trans. Ind/Ope.</t>
  </si>
  <si>
    <t>Transf. Obt. Acte.</t>
  </si>
  <si>
    <t>M. Interior</t>
  </si>
  <si>
    <t>Mermas</t>
  </si>
  <si>
    <t>ALMERIA</t>
  </si>
  <si>
    <t>CASTILLA-LA  MANCHA</t>
  </si>
  <si>
    <t>SEGOVIA</t>
  </si>
  <si>
    <t>PAIS VASCO</t>
  </si>
  <si>
    <t>ÁLAVA</t>
  </si>
  <si>
    <t>Aceituna Cruda = Importada + No importada.</t>
  </si>
  <si>
    <t>*Número de Entamadoras Existentes en la Campaña.</t>
  </si>
  <si>
    <t xml:space="preserve">**Número de Entamadoras que han Declarado para la Campaña en el Mes Indicado. </t>
  </si>
  <si>
    <t xml:space="preserve">Datos expresados en Toneladas. Datos expresados en peso de entamado sin más transformación. </t>
  </si>
  <si>
    <t>21_ENTRADA MENSUAL DE ACEITUNA NETA CRUDA (POR MESES)</t>
  </si>
  <si>
    <t>VARIEDAD TOTALIZADAS</t>
  </si>
  <si>
    <t>CADIZ</t>
  </si>
  <si>
    <t>TOTAL NACIONAL:</t>
  </si>
  <si>
    <t>* Aceituna Cruda Neta = Aceituna Cruda Entrada - Aceituna Cruda Salida</t>
  </si>
  <si>
    <t>Datos expresados en Toneladas. Datos expresados en peso de entamado sin más transformación.</t>
  </si>
  <si>
    <t>El cálculo de Aceituna Cruda Neta contempla datos de Aceituna Importada + No Importada.</t>
  </si>
  <si>
    <t>22_ENTRADA DE ACEITUNA CRUDA NETA POR TIPO DE EMPRESA</t>
  </si>
  <si>
    <t>ENTRADA DE ACEITUNA CRUDA NETA</t>
  </si>
  <si>
    <t>COOPERATIVA</t>
  </si>
  <si>
    <t>TOTAL CCAA:</t>
  </si>
  <si>
    <t>* Número de Entamadoras que han declarado al menos una vez en la campaña.</t>
  </si>
  <si>
    <t>** Aceituna Cruda Neta = Aceituna Cruda Entrada - Aceituna Cruda Salida.</t>
  </si>
  <si>
    <t>El cálculo de Aceituna Cruda Neta contempla datos de Aceituna Cruda Importada + No Importada</t>
  </si>
  <si>
    <t>23_DETALLE PRODUCCIÓN ACEITUNA POR PROCEDENCIA</t>
  </si>
  <si>
    <t>VARIEDAD / TIPO</t>
  </si>
  <si>
    <t>PRODUCCIÓN IMPORTADA</t>
  </si>
  <si>
    <t>PRODUCCIÓN NO IMPORTADA</t>
  </si>
  <si>
    <t>Salmuera y/o Acético (negra y para negra)</t>
  </si>
  <si>
    <t>TOTAL GENERAL</t>
  </si>
  <si>
    <t>Datos expresados en millones de Kg. Datos expresados en peso de entamado sin más transformación.</t>
  </si>
  <si>
    <t>24_COMPARACIÓN DE ENTRADAS DE ACEITUNA CRUDA ENTRE CAMPAÑAS</t>
  </si>
  <si>
    <t>TODAS LAS VARIEDADES</t>
  </si>
  <si>
    <t>*Nº DE ENTAMADORAS</t>
  </si>
  <si>
    <t>**ACEITUNA CRUDA NETA ENTRADA</t>
  </si>
  <si>
    <t>** Aceituna Cruda Neta = Aceituna Cruda Entrada - Aceituna Cruda Salida</t>
  </si>
  <si>
    <t>25_ENVASADORAS DE ACEITUNA DE MESA_BALANCE DETALLADO DE CAMPAÑA</t>
  </si>
  <si>
    <t>De entrada propia</t>
  </si>
  <si>
    <t>De otras envasadoras</t>
  </si>
  <si>
    <t>A Otras industrias</t>
  </si>
  <si>
    <t>A Mercado Interior</t>
  </si>
  <si>
    <t>A Exportación</t>
  </si>
  <si>
    <t>Pérdidas</t>
  </si>
  <si>
    <t>a 31 de julio de 2026</t>
  </si>
  <si>
    <t>-</t>
  </si>
  <si>
    <t>*1.829</t>
  </si>
  <si>
    <t>INFORME MENSUAL DE LA SITUACIÓN DE MERCADO DEL SECTOR DEL ACEITE DE OLIVA Y LA ACEITUNA DE MESA</t>
  </si>
  <si>
    <t>CAMPAÑA 2025/26</t>
  </si>
  <si>
    <r>
      <t xml:space="preserve">El </t>
    </r>
    <r>
      <rPr>
        <b/>
        <sz val="12"/>
        <color theme="1"/>
        <rFont val="Calibri"/>
        <family val="2"/>
        <scheme val="minor"/>
      </rPr>
      <t xml:space="preserve">Sistema de Información de los Mercados Oleícolas (SIMO) </t>
    </r>
    <r>
      <rPr>
        <sz val="12"/>
        <color theme="1"/>
        <rFont val="Calibri"/>
        <family val="2"/>
        <scheme val="minor"/>
      </rPr>
      <t>es un sistema de información en base informática, gestionado por el MAPA a través de la Agencia de Información y Control Alimentarios (AICA), que contiene el censo nacional de instalaciones y operadores oleícolas y la información de mercados resultante de las declaraciones obligatorias establecidas en el Real Decreto 861/2018, de 13 de julio. El presente INFORME MENSUAL pone a disposición de la totalidad del sector olivarero los datos consolidados de mercado de aceite de oliva, aceite de orujo de oliva y aceituna de mesa relativos al mes anterior al que se realiza esta publicación.</t>
    </r>
  </si>
  <si>
    <r>
      <t>Aviso legal</t>
    </r>
    <r>
      <rPr>
        <sz val="11"/>
        <color theme="1"/>
        <rFont val="Calibri"/>
        <family val="2"/>
        <scheme val="minor"/>
      </rPr>
      <t xml:space="preserve">: Esta información puede ser utilizada en parte o en su integridad, sin necesidad de autorización expresa, siempre que se cite la fuente de los documentos objeto de la reutilización. </t>
    </r>
  </si>
  <si>
    <r>
      <t>Elaboración</t>
    </r>
    <r>
      <rPr>
        <sz val="11"/>
        <color theme="1"/>
        <rFont val="Calibri"/>
        <family val="2"/>
        <scheme val="minor"/>
      </rPr>
      <t>: Subdirección General de Cultivos Herbáceos, Industriales y Aceite de Oliva. Dirección General de Producciones y Mercados Agrarios. Ministerio de Agricultura, Pesca y Alimentación.</t>
    </r>
  </si>
  <si>
    <r>
      <rPr>
        <b/>
        <sz val="11"/>
        <color theme="1"/>
        <rFont val="Calibri"/>
        <family val="2"/>
        <scheme val="minor"/>
      </rPr>
      <t>Título</t>
    </r>
    <r>
      <rPr>
        <sz val="11"/>
        <color theme="1"/>
        <rFont val="Calibri"/>
        <family val="2"/>
        <scheme val="minor"/>
      </rPr>
      <t>: Informe Mensual de Situación de Mercado del Aceite de Oliva y la Aceituna de Mesa.</t>
    </r>
  </si>
  <si>
    <r>
      <t xml:space="preserve">NIPO: </t>
    </r>
    <r>
      <rPr>
        <sz val="11"/>
        <color rgb="FF000000"/>
        <rFont val="Calibri"/>
        <family val="2"/>
        <scheme val="minor"/>
      </rPr>
      <t>003-25-020-0</t>
    </r>
  </si>
  <si>
    <t>Catálogo de Publicaciones de la Administración General del Estado: https://cpage.mpr.gob.es/</t>
  </si>
  <si>
    <t xml:space="preserve"> 01_BALANCE DE EXISTENCIAS FÍSICAS</t>
  </si>
  <si>
    <t>MES</t>
  </si>
  <si>
    <t>EXIST. INICIALES</t>
  </si>
  <si>
    <t>PRODUCCION</t>
  </si>
  <si>
    <t>CONSUMO INTERIOR</t>
  </si>
  <si>
    <t>EXPORTACIONES</t>
  </si>
  <si>
    <t>EXIST. FINALES</t>
  </si>
  <si>
    <t xml:space="preserve">JUNIO </t>
  </si>
  <si>
    <t/>
  </si>
  <si>
    <t>DATOS PROVISIONALES</t>
  </si>
  <si>
    <t>TOTAL MERCADO:</t>
  </si>
  <si>
    <t>PAÍSES TERCEROS</t>
  </si>
  <si>
    <t>UE</t>
  </si>
  <si>
    <t>ITALIA</t>
  </si>
  <si>
    <t>OTROS</t>
  </si>
  <si>
    <t>TOTAL MERCADO INTERIOR APARENTE</t>
  </si>
  <si>
    <t>PATRIMONIO</t>
  </si>
  <si>
    <t>ENVASADORAS / OPERADORES</t>
  </si>
  <si>
    <t>Datos en miles de Toneladas</t>
  </si>
  <si>
    <t xml:space="preserve"> 02_CUADROS Y GRÁFICOS COMPARATIVOS</t>
  </si>
  <si>
    <t>2021/22</t>
  </si>
  <si>
    <t>2022/23</t>
  </si>
  <si>
    <t>2023/24</t>
  </si>
  <si>
    <t>2024/25</t>
  </si>
  <si>
    <t>2025/26</t>
  </si>
  <si>
    <t>MERCADO INTERIOR APARENTE</t>
  </si>
  <si>
    <t>MERCADO TOTAL</t>
  </si>
  <si>
    <t xml:space="preserve"> 03_CUADROS Y GRÁFICOS COMPARATIVOS </t>
  </si>
  <si>
    <t>EXISTENCIAS EN ALMAZARAS Y PATRIMONIO</t>
  </si>
  <si>
    <t>EXISTENCIAS EN ENVASADORAS</t>
  </si>
  <si>
    <t>EXISTENCIAS TOTALES</t>
  </si>
  <si>
    <t xml:space="preserve"> 04_CUADROS ACUMULADOS</t>
  </si>
  <si>
    <t>PRODUCCIÓN ACUMULADA</t>
  </si>
  <si>
    <r>
      <t xml:space="preserve">% 
</t>
    </r>
    <r>
      <rPr>
        <b/>
        <sz val="8"/>
        <color theme="1"/>
        <rFont val="Arial"/>
        <family val="2"/>
      </rPr>
      <t>2025 s. 2024</t>
    </r>
  </si>
  <si>
    <r>
      <t xml:space="preserve">% 
</t>
    </r>
    <r>
      <rPr>
        <b/>
        <sz val="8"/>
        <color theme="1"/>
        <rFont val="Arial"/>
        <family val="2"/>
      </rPr>
      <t>2025 s. Media tres</t>
    </r>
  </si>
  <si>
    <r>
      <t xml:space="preserve">% 
</t>
    </r>
    <r>
      <rPr>
        <b/>
        <sz val="8"/>
        <color theme="1"/>
        <rFont val="Arial"/>
        <family val="2"/>
      </rPr>
      <t>2025 s. Media cuatro</t>
    </r>
  </si>
  <si>
    <t>IMPORTACIÓN ACUMULADA</t>
  </si>
  <si>
    <t>EXPORTACIÓN ACUMULADA</t>
  </si>
  <si>
    <t>MERCADO INTERIOR APARENTE ACUMULADO</t>
  </si>
  <si>
    <t>MERCADO TOTAL ACUMULADO</t>
  </si>
  <si>
    <t xml:space="preserve"> 05_GRÁFICOS COMPARATIVOS CON LA MEDIA DE LAS ÚLTIMAS CAMPAÑAS</t>
  </si>
  <si>
    <t>GRÁFICO PRODUCCIÓN</t>
  </si>
  <si>
    <t>GRÁFICO IMPORTACIONES</t>
  </si>
  <si>
    <t>Mes</t>
  </si>
  <si>
    <t>Media 4 últimas campañas</t>
  </si>
  <si>
    <t>Oct</t>
  </si>
  <si>
    <t>Nov</t>
  </si>
  <si>
    <t>Dic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</si>
  <si>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</si>
  <si>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</si>
  <si>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</si>
  <si>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</si>
  <si>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</si>
  <si>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</si>
  <si>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</si>
  <si>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</si>
  <si>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</si>
  <si>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Acumulado</t>
  </si>
  <si>
    <t>% VARIACIÓN:</t>
  </si>
  <si>
    <t xml:space="preserve">% VARIACIÓN: </t>
  </si>
  <si>
    <t>GRÁFICO MERCADO INTERIOR APARENTE</t>
  </si>
  <si>
    <t>GRÁFICO EXPORTACIONES</t>
  </si>
  <si>
    <t>% VARIACION :</t>
  </si>
  <si>
    <t>EXISTENCIAS ALMAZARAS (INCLUIDO FPCO)</t>
  </si>
  <si>
    <t>GRÁFICO EXISTENCIAS ALMAZARAS (INCLUIDO FPCO)</t>
  </si>
  <si>
    <t>GRÁFICO EXISTENCIAS TOTALES</t>
  </si>
  <si>
    <t>Último dato</t>
  </si>
  <si>
    <t>MERCADO TOTAL MENSUAL</t>
  </si>
  <si>
    <t xml:space="preserve">GRÁFICO MERCADO TOTAL MENSUAL </t>
  </si>
  <si>
    <t xml:space="preserve">MEDIA MENSUAL 25/26: </t>
  </si>
  <si>
    <t>Datos a 31 de julio de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</si>
</sst>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#,##0.0"/>
    <numFmt numFmtId="165" formatCode="0.0"/>
    <numFmt numFmtId="166" formatCode="#0"/>
    <numFmt numFmtId="167" formatCode="#0.00"/>
    <numFmt numFmtId="168" formatCode="0.0%"/>
    <numFmt numFmtId="169" formatCode="0.00000000"/>
    <numFmt numFmtId="170" formatCode="#,##0.000000000"/>
    <numFmt numFmtId="171" formatCode="#,##0.0000000000"/>
    <numFmt numFmtId="172" formatCode="#,##0.000"/>
  </numFmts>
  <fonts count="6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7"/>
      <color theme="1"/>
      <name val="Calibri"/>
      <family val="2"/>
      <scheme val="minor"/>
    </font>
    <font>
      <b/>
      <sz val="7"/>
      <name val="Arial"/>
      <family val="2"/>
    </font>
    <font>
      <sz val="11"/>
      <name val="Calibri"/>
      <family val="2"/>
      <scheme val="minor"/>
    </font>
    <font>
      <sz val="7"/>
      <color theme="1"/>
      <name val="Calibri"/>
      <family val="2"/>
      <scheme val="minor"/>
    </font>
    <font>
      <sz val="7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7"/>
      <color theme="1"/>
      <name val="Arial"/>
      <family val="2"/>
    </font>
    <font>
      <b/>
      <sz val="9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b/>
      <sz val="22"/>
      <color theme="1"/>
      <name val="Calibri"/>
      <family val="2"/>
      <scheme val="minor"/>
    </font>
    <font>
      <b/>
      <sz val="12"/>
      <color theme="1"/>
      <name val="Arial"/>
      <family val="2"/>
    </font>
    <font>
      <b/>
      <sz val="2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b/>
      <sz val="2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Arial"/>
      <family val="2"/>
    </font>
    <font>
      <b/>
      <sz val="20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9"/>
      <name val="Calibri"/>
      <family val="2"/>
      <scheme val="minor"/>
    </font>
    <font>
      <b/>
      <sz val="11"/>
      <color theme="1"/>
      <name val="Arial"/>
      <family val="2"/>
    </font>
    <font>
      <b/>
      <sz val="10"/>
      <color theme="1"/>
      <name val="Arial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sz val="10"/>
      <color theme="1"/>
      <name val="Arial"/>
      <family val="2"/>
    </font>
    <font>
      <sz val="10"/>
      <name val="Calibri"/>
      <family val="2"/>
      <scheme val="minor"/>
    </font>
    <font>
      <b/>
      <sz val="12"/>
      <name val="Arial"/>
      <family val="2"/>
    </font>
    <font>
      <b/>
      <sz val="8"/>
      <color theme="1"/>
      <name val="Arial"/>
      <family val="2"/>
    </font>
    <font>
      <b/>
      <sz val="8"/>
      <color theme="1"/>
      <name val="Calibri"/>
      <family val="2"/>
      <scheme val="minor"/>
    </font>
    <font>
      <b/>
      <sz val="11"/>
      <color theme="9" tint="-0.49998474074526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u/>
      <sz val="11"/>
      <color theme="10"/>
      <name val="Calibri"/>
      <family val="2"/>
      <scheme val="minor"/>
    </font>
    <font>
      <b/>
      <sz val="26"/>
      <color rgb="FF385623"/>
      <name val="Calibri"/>
      <family val="2"/>
      <scheme val="minor"/>
    </font>
    <font>
      <b/>
      <sz val="22"/>
      <color rgb="FF385623"/>
      <name val="Calibri"/>
      <family val="2"/>
      <scheme val="minor"/>
    </font>
    <font>
      <b/>
      <sz val="20"/>
      <color rgb="FF385623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rgb="FF000000"/>
      <name val="Aptos Display"/>
      <family val="2"/>
    </font>
    <font>
      <sz val="12"/>
      <name val="Arial"/>
      <family val="2"/>
    </font>
    <font>
      <b/>
      <sz val="12"/>
      <color rgb="FF00B050"/>
      <name val="Arial"/>
      <family val="2"/>
    </font>
    <font>
      <b/>
      <sz val="8"/>
      <color rgb="FF008000"/>
      <name val="Arial"/>
      <family val="2"/>
    </font>
    <font>
      <b/>
      <sz val="8"/>
      <name val="Arial"/>
      <family val="2"/>
    </font>
    <font>
      <sz val="12"/>
      <color theme="1"/>
      <name val="Arial"/>
      <family val="2"/>
    </font>
    <font>
      <b/>
      <sz val="12"/>
      <color indexed="8"/>
      <name val="Arial"/>
      <family val="2"/>
    </font>
    <font>
      <b/>
      <sz val="10"/>
      <color rgb="FFC00000"/>
      <name val="Arial"/>
      <family val="2"/>
    </font>
    <font>
      <b/>
      <sz val="10"/>
      <color theme="4" tint="-0.499984740745262"/>
      <name val="Arial"/>
      <family val="2"/>
    </font>
    <font>
      <b/>
      <sz val="12"/>
      <color rgb="FFC00000"/>
      <name val="Arial"/>
      <family val="2"/>
    </font>
    <font>
      <b/>
      <sz val="12"/>
      <color theme="4" tint="-0.499984740745262"/>
      <name val="Arial"/>
      <family val="2"/>
    </font>
    <font>
      <b/>
      <sz val="10"/>
      <color theme="1"/>
      <name val="Calibri"/>
      <family val="2"/>
      <scheme val="minor"/>
    </font>
    <font>
      <b/>
      <sz val="10"/>
      <color rgb="FF00B050"/>
      <name val="Arial"/>
      <family val="2"/>
    </font>
    <font>
      <sz val="11"/>
      <color theme="0" tint="-0.249977111117893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indexed="43"/>
        <bgColor indexed="64"/>
      </patternFill>
    </fill>
  </fills>
  <borders count="86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</borders>
  <cellStyleXfs count="8">
    <xf numFmtId="0" fontId="0" fillId="0" borderId="0"/>
    <xf numFmtId="0" fontId="1" fillId="0" borderId="0"/>
    <xf numFmtId="0" fontId="17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0" fontId="24" fillId="0" borderId="0"/>
    <xf numFmtId="0" fontId="41" fillId="0" borderId="0" applyNumberFormat="0" applyFill="0" applyBorder="0" applyAlignment="0" applyProtection="0"/>
    <xf numFmtId="0" fontId="1" fillId="0" borderId="0"/>
  </cellStyleXfs>
  <cellXfs count="973">
    <xf numFmtId="0" fontId="0" fillId="0" borderId="0" xfId="0"/>
    <xf numFmtId="0" fontId="6" fillId="0" borderId="0" xfId="0" applyFont="1"/>
    <xf numFmtId="0" fontId="6" fillId="0" borderId="0" xfId="0" applyFont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0" fillId="0" borderId="36" xfId="0" applyBorder="1"/>
    <xf numFmtId="0" fontId="5" fillId="0" borderId="0" xfId="0" applyFont="1"/>
    <xf numFmtId="0" fontId="0" fillId="0" borderId="21" xfId="0" applyBorder="1"/>
    <xf numFmtId="0" fontId="10" fillId="0" borderId="0" xfId="0" applyFont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7" fillId="0" borderId="0" xfId="0" applyFont="1"/>
    <xf numFmtId="0" fontId="12" fillId="0" borderId="11" xfId="0" applyFont="1" applyBorder="1" applyAlignment="1">
      <alignment vertical="center" wrapText="1"/>
    </xf>
    <xf numFmtId="0" fontId="7" fillId="0" borderId="21" xfId="0" applyFont="1" applyBorder="1"/>
    <xf numFmtId="0" fontId="7" fillId="0" borderId="36" xfId="0" applyFont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4" fillId="0" borderId="0" xfId="0" applyFont="1"/>
    <xf numFmtId="0" fontId="21" fillId="0" borderId="21" xfId="0" applyFont="1" applyBorder="1"/>
    <xf numFmtId="0" fontId="21" fillId="0" borderId="0" xfId="0" applyFont="1"/>
    <xf numFmtId="0" fontId="19" fillId="0" borderId="11" xfId="0" applyFont="1" applyBorder="1" applyAlignment="1">
      <alignment vertical="center" wrapText="1"/>
    </xf>
    <xf numFmtId="0" fontId="19" fillId="0" borderId="0" xfId="0" applyFont="1" applyAlignment="1">
      <alignment vertical="center" wrapText="1"/>
    </xf>
    <xf numFmtId="0" fontId="23" fillId="0" borderId="0" xfId="0" applyFont="1" applyAlignment="1">
      <alignment vertical="center" wrapText="1"/>
    </xf>
    <xf numFmtId="0" fontId="3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14" fillId="0" borderId="11" xfId="0" applyFont="1" applyBorder="1" applyAlignment="1">
      <alignment vertical="center" wrapText="1"/>
    </xf>
    <xf numFmtId="164" fontId="6" fillId="0" borderId="0" xfId="0" applyNumberFormat="1" applyFont="1" applyAlignment="1">
      <alignment horizontal="center" vertical="center"/>
    </xf>
    <xf numFmtId="164" fontId="8" fillId="0" borderId="0" xfId="0" applyNumberFormat="1" applyFont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164" fontId="10" fillId="0" borderId="4" xfId="0" applyNumberFormat="1" applyFont="1" applyBorder="1" applyAlignment="1">
      <alignment horizontal="center" vertical="center"/>
    </xf>
    <xf numFmtId="164" fontId="10" fillId="0" borderId="28" xfId="0" applyNumberFormat="1" applyFont="1" applyBorder="1" applyAlignment="1">
      <alignment horizontal="center" vertical="center"/>
    </xf>
    <xf numFmtId="164" fontId="10" fillId="0" borderId="21" xfId="0" applyNumberFormat="1" applyFont="1" applyBorder="1" applyAlignment="1">
      <alignment horizontal="center" vertical="center"/>
    </xf>
    <xf numFmtId="0" fontId="18" fillId="0" borderId="58" xfId="0" applyFont="1" applyBorder="1" applyAlignment="1">
      <alignment horizontal="center" vertical="center"/>
    </xf>
    <xf numFmtId="164" fontId="10" fillId="0" borderId="9" xfId="0" applyNumberFormat="1" applyFont="1" applyBorder="1" applyAlignment="1">
      <alignment horizontal="center" vertical="center"/>
    </xf>
    <xf numFmtId="164" fontId="10" fillId="0" borderId="32" xfId="0" applyNumberFormat="1" applyFont="1" applyBorder="1" applyAlignment="1">
      <alignment horizontal="center" vertical="center"/>
    </xf>
    <xf numFmtId="164" fontId="22" fillId="0" borderId="12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 vertical="center"/>
    </xf>
    <xf numFmtId="164" fontId="10" fillId="0" borderId="6" xfId="0" applyNumberFormat="1" applyFont="1" applyBorder="1" applyAlignment="1">
      <alignment horizontal="center" vertical="center"/>
    </xf>
    <xf numFmtId="164" fontId="10" fillId="0" borderId="8" xfId="0" applyNumberFormat="1" applyFont="1" applyBorder="1" applyAlignment="1">
      <alignment horizontal="center" vertical="center"/>
    </xf>
    <xf numFmtId="164" fontId="22" fillId="0" borderId="22" xfId="0" applyNumberFormat="1" applyFont="1" applyBorder="1" applyAlignment="1">
      <alignment horizontal="center" vertical="center"/>
    </xf>
    <xf numFmtId="0" fontId="18" fillId="0" borderId="33" xfId="0" applyFont="1" applyBorder="1" applyAlignment="1">
      <alignment horizontal="center" vertical="center"/>
    </xf>
    <xf numFmtId="164" fontId="10" fillId="0" borderId="35" xfId="0" applyNumberFormat="1" applyFont="1" applyBorder="1" applyAlignment="1">
      <alignment horizontal="center" vertical="center"/>
    </xf>
    <xf numFmtId="164" fontId="10" fillId="0" borderId="27" xfId="0" applyNumberFormat="1" applyFont="1" applyBorder="1" applyAlignment="1">
      <alignment horizontal="center" vertical="center"/>
    </xf>
    <xf numFmtId="164" fontId="10" fillId="0" borderId="38" xfId="0" applyNumberFormat="1" applyFont="1" applyBorder="1" applyAlignment="1">
      <alignment horizontal="center" vertical="center"/>
    </xf>
    <xf numFmtId="164" fontId="10" fillId="0" borderId="26" xfId="0" applyNumberFormat="1" applyFont="1" applyBorder="1" applyAlignment="1">
      <alignment horizontal="center" vertical="center"/>
    </xf>
    <xf numFmtId="164" fontId="10" fillId="0" borderId="24" xfId="0" applyNumberFormat="1" applyFont="1" applyBorder="1" applyAlignment="1">
      <alignment horizontal="center" vertical="center"/>
    </xf>
    <xf numFmtId="164" fontId="10" fillId="0" borderId="39" xfId="0" applyNumberFormat="1" applyFont="1" applyBorder="1" applyAlignment="1">
      <alignment horizontal="center" vertical="center"/>
    </xf>
    <xf numFmtId="164" fontId="10" fillId="0" borderId="37" xfId="0" applyNumberFormat="1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25" fillId="0" borderId="0" xfId="0" applyFont="1"/>
    <xf numFmtId="0" fontId="22" fillId="4" borderId="19" xfId="0" applyFont="1" applyFill="1" applyBorder="1" applyAlignment="1">
      <alignment horizontal="center" vertical="center" wrapText="1"/>
    </xf>
    <xf numFmtId="0" fontId="9" fillId="4" borderId="16" xfId="0" applyFont="1" applyFill="1" applyBorder="1" applyAlignment="1">
      <alignment horizontal="center" vertical="center"/>
    </xf>
    <xf numFmtId="164" fontId="10" fillId="0" borderId="13" xfId="0" applyNumberFormat="1" applyFont="1" applyBorder="1" applyAlignment="1">
      <alignment horizontal="center" vertical="center"/>
    </xf>
    <xf numFmtId="164" fontId="18" fillId="0" borderId="21" xfId="0" applyNumberFormat="1" applyFont="1" applyBorder="1" applyAlignment="1">
      <alignment horizontal="center" vertical="center"/>
    </xf>
    <xf numFmtId="164" fontId="9" fillId="0" borderId="42" xfId="0" applyNumberFormat="1" applyFont="1" applyBorder="1" applyAlignment="1">
      <alignment horizontal="center" vertical="center"/>
    </xf>
    <xf numFmtId="164" fontId="18" fillId="0" borderId="52" xfId="0" applyNumberFormat="1" applyFont="1" applyBorder="1" applyAlignment="1">
      <alignment horizontal="center" vertical="center"/>
    </xf>
    <xf numFmtId="164" fontId="18" fillId="0" borderId="24" xfId="0" applyNumberFormat="1" applyFont="1" applyBorder="1" applyAlignment="1">
      <alignment horizontal="center" vertical="center"/>
    </xf>
    <xf numFmtId="164" fontId="18" fillId="0" borderId="26" xfId="0" applyNumberFormat="1" applyFont="1" applyBorder="1" applyAlignment="1">
      <alignment horizontal="center" vertical="center"/>
    </xf>
    <xf numFmtId="164" fontId="18" fillId="0" borderId="37" xfId="0" applyNumberFormat="1" applyFont="1" applyBorder="1" applyAlignment="1">
      <alignment horizontal="center" vertical="center"/>
    </xf>
    <xf numFmtId="164" fontId="9" fillId="0" borderId="23" xfId="0" applyNumberFormat="1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 vertical="center"/>
    </xf>
    <xf numFmtId="0" fontId="10" fillId="0" borderId="0" xfId="0" applyFont="1"/>
    <xf numFmtId="0" fontId="18" fillId="0" borderId="0" xfId="0" applyFont="1"/>
    <xf numFmtId="0" fontId="22" fillId="0" borderId="0" xfId="0" applyFont="1" applyAlignment="1">
      <alignment horizontal="center" vertical="center"/>
    </xf>
    <xf numFmtId="0" fontId="22" fillId="0" borderId="11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/>
    </xf>
    <xf numFmtId="0" fontId="18" fillId="2" borderId="43" xfId="0" applyFont="1" applyFill="1" applyBorder="1" applyAlignment="1">
      <alignment horizontal="center" vertical="center"/>
    </xf>
    <xf numFmtId="0" fontId="10" fillId="2" borderId="53" xfId="0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164" fontId="18" fillId="0" borderId="13" xfId="0" applyNumberFormat="1" applyFont="1" applyBorder="1" applyAlignment="1">
      <alignment horizontal="center" vertical="center"/>
    </xf>
    <xf numFmtId="164" fontId="18" fillId="0" borderId="39" xfId="0" applyNumberFormat="1" applyFont="1" applyBorder="1" applyAlignment="1">
      <alignment horizontal="center" vertical="center"/>
    </xf>
    <xf numFmtId="164" fontId="18" fillId="0" borderId="4" xfId="0" applyNumberFormat="1" applyFont="1" applyBorder="1" applyAlignment="1">
      <alignment horizontal="center" vertical="center"/>
    </xf>
    <xf numFmtId="164" fontId="18" fillId="0" borderId="6" xfId="0" applyNumberFormat="1" applyFont="1" applyBorder="1" applyAlignment="1">
      <alignment horizontal="center" vertical="center"/>
    </xf>
    <xf numFmtId="0" fontId="18" fillId="0" borderId="32" xfId="0" applyFont="1" applyBorder="1" applyAlignment="1">
      <alignment horizontal="center" vertical="center"/>
    </xf>
    <xf numFmtId="164" fontId="18" fillId="0" borderId="9" xfId="0" applyNumberFormat="1" applyFont="1" applyBorder="1" applyAlignment="1">
      <alignment horizontal="center" vertical="center"/>
    </xf>
    <xf numFmtId="164" fontId="18" fillId="0" borderId="8" xfId="0" applyNumberFormat="1" applyFont="1" applyBorder="1" applyAlignment="1">
      <alignment horizontal="center" vertical="center"/>
    </xf>
    <xf numFmtId="3" fontId="9" fillId="0" borderId="46" xfId="0" applyNumberFormat="1" applyFont="1" applyBorder="1" applyAlignment="1">
      <alignment horizontal="center" vertical="center"/>
    </xf>
    <xf numFmtId="3" fontId="9" fillId="0" borderId="55" xfId="0" applyNumberFormat="1" applyFont="1" applyBorder="1" applyAlignment="1">
      <alignment horizontal="center" vertical="center"/>
    </xf>
    <xf numFmtId="3" fontId="9" fillId="0" borderId="10" xfId="0" applyNumberFormat="1" applyFont="1" applyBorder="1" applyAlignment="1">
      <alignment horizontal="center" vertical="center"/>
    </xf>
    <xf numFmtId="9" fontId="9" fillId="0" borderId="10" xfId="0" applyNumberFormat="1" applyFont="1" applyBorder="1" applyAlignment="1">
      <alignment horizontal="center" vertical="center"/>
    </xf>
    <xf numFmtId="164" fontId="9" fillId="0" borderId="10" xfId="0" applyNumberFormat="1" applyFont="1" applyBorder="1" applyAlignment="1">
      <alignment horizontal="center" vertical="center"/>
    </xf>
    <xf numFmtId="9" fontId="9" fillId="0" borderId="22" xfId="0" applyNumberFormat="1" applyFont="1" applyBorder="1" applyAlignment="1">
      <alignment horizontal="center" vertical="center"/>
    </xf>
    <xf numFmtId="3" fontId="9" fillId="0" borderId="12" xfId="0" applyNumberFormat="1" applyFont="1" applyBorder="1" applyAlignment="1">
      <alignment horizontal="center" vertical="center"/>
    </xf>
    <xf numFmtId="3" fontId="9" fillId="0" borderId="15" xfId="0" applyNumberFormat="1" applyFont="1" applyBorder="1" applyAlignment="1">
      <alignment horizontal="center" vertical="center"/>
    </xf>
    <xf numFmtId="164" fontId="9" fillId="0" borderId="15" xfId="0" applyNumberFormat="1" applyFont="1" applyBorder="1" applyAlignment="1">
      <alignment horizontal="center" vertical="center"/>
    </xf>
    <xf numFmtId="0" fontId="18" fillId="0" borderId="38" xfId="0" applyFont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164" fontId="18" fillId="0" borderId="27" xfId="0" applyNumberFormat="1" applyFont="1" applyBorder="1" applyAlignment="1">
      <alignment horizontal="center" vertical="center"/>
    </xf>
    <xf numFmtId="165" fontId="18" fillId="0" borderId="27" xfId="0" applyNumberFormat="1" applyFont="1" applyBorder="1" applyAlignment="1">
      <alignment horizontal="center" vertical="center"/>
    </xf>
    <xf numFmtId="3" fontId="9" fillId="4" borderId="19" xfId="0" applyNumberFormat="1" applyFont="1" applyFill="1" applyBorder="1" applyAlignment="1">
      <alignment horizontal="center" vertical="center"/>
    </xf>
    <xf numFmtId="9" fontId="9" fillId="4" borderId="19" xfId="0" applyNumberFormat="1" applyFont="1" applyFill="1" applyBorder="1" applyAlignment="1">
      <alignment horizontal="center" vertical="center"/>
    </xf>
    <xf numFmtId="164" fontId="9" fillId="4" borderId="19" xfId="0" applyNumberFormat="1" applyFont="1" applyFill="1" applyBorder="1" applyAlignment="1">
      <alignment horizontal="center" vertical="center"/>
    </xf>
    <xf numFmtId="9" fontId="9" fillId="4" borderId="16" xfId="0" applyNumberFormat="1" applyFont="1" applyFill="1" applyBorder="1" applyAlignment="1">
      <alignment horizontal="center" vertical="center"/>
    </xf>
    <xf numFmtId="9" fontId="25" fillId="0" borderId="0" xfId="4" applyFont="1" applyFill="1"/>
    <xf numFmtId="0" fontId="27" fillId="0" borderId="0" xfId="0" applyFont="1"/>
    <xf numFmtId="0" fontId="1" fillId="0" borderId="43" xfId="0" applyFont="1" applyBorder="1" applyAlignment="1">
      <alignment horizontal="center" vertical="center"/>
    </xf>
    <xf numFmtId="0" fontId="1" fillId="0" borderId="48" xfId="0" applyFont="1" applyBorder="1" applyAlignment="1">
      <alignment horizontal="center" vertical="center"/>
    </xf>
    <xf numFmtId="0" fontId="1" fillId="0" borderId="58" xfId="0" applyFont="1" applyBorder="1" applyAlignment="1">
      <alignment horizontal="center" vertical="center"/>
    </xf>
    <xf numFmtId="0" fontId="32" fillId="0" borderId="53" xfId="0" applyFont="1" applyBorder="1" applyAlignment="1">
      <alignment horizontal="center" vertical="center"/>
    </xf>
    <xf numFmtId="3" fontId="30" fillId="0" borderId="12" xfId="0" applyNumberFormat="1" applyFont="1" applyBorder="1" applyAlignment="1">
      <alignment horizontal="center" vertical="center"/>
    </xf>
    <xf numFmtId="0" fontId="1" fillId="0" borderId="33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0" fillId="6" borderId="0" xfId="0" applyFill="1"/>
    <xf numFmtId="0" fontId="29" fillId="4" borderId="16" xfId="0" applyFont="1" applyFill="1" applyBorder="1" applyAlignment="1">
      <alignment horizontal="center"/>
    </xf>
    <xf numFmtId="167" fontId="11" fillId="0" borderId="16" xfId="0" applyNumberFormat="1" applyFont="1" applyBorder="1" applyAlignment="1">
      <alignment horizontal="center"/>
    </xf>
    <xf numFmtId="0" fontId="29" fillId="0" borderId="0" xfId="0" applyFont="1"/>
    <xf numFmtId="0" fontId="11" fillId="0" borderId="0" xfId="0" applyFont="1"/>
    <xf numFmtId="0" fontId="31" fillId="0" borderId="0" xfId="0" applyFont="1"/>
    <xf numFmtId="164" fontId="22" fillId="0" borderId="15" xfId="0" applyNumberFormat="1" applyFont="1" applyBorder="1" applyAlignment="1">
      <alignment horizontal="center" vertical="center"/>
    </xf>
    <xf numFmtId="164" fontId="22" fillId="0" borderId="42" xfId="0" applyNumberFormat="1" applyFont="1" applyBorder="1" applyAlignment="1">
      <alignment horizontal="center"/>
    </xf>
    <xf numFmtId="164" fontId="22" fillId="0" borderId="10" xfId="0" applyNumberFormat="1" applyFont="1" applyBorder="1" applyAlignment="1">
      <alignment horizontal="center" vertical="center"/>
    </xf>
    <xf numFmtId="164" fontId="22" fillId="0" borderId="55" xfId="0" applyNumberFormat="1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/>
    </xf>
    <xf numFmtId="0" fontId="26" fillId="0" borderId="0" xfId="0" applyFont="1"/>
    <xf numFmtId="0" fontId="9" fillId="0" borderId="53" xfId="0" applyFont="1" applyBorder="1" applyAlignment="1">
      <alignment horizontal="center" vertical="center"/>
    </xf>
    <xf numFmtId="164" fontId="22" fillId="0" borderId="23" xfId="0" applyNumberFormat="1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164" fontId="22" fillId="4" borderId="20" xfId="0" applyNumberFormat="1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164" fontId="22" fillId="2" borderId="16" xfId="0" applyNumberFormat="1" applyFont="1" applyFill="1" applyBorder="1" applyAlignment="1">
      <alignment horizontal="center" vertical="center"/>
    </xf>
    <xf numFmtId="164" fontId="22" fillId="2" borderId="20" xfId="0" applyNumberFormat="1" applyFont="1" applyFill="1" applyBorder="1" applyAlignment="1">
      <alignment horizontal="center" vertical="center"/>
    </xf>
    <xf numFmtId="164" fontId="22" fillId="2" borderId="48" xfId="0" applyNumberFormat="1" applyFont="1" applyFill="1" applyBorder="1" applyAlignment="1">
      <alignment horizontal="center" vertical="center"/>
    </xf>
    <xf numFmtId="164" fontId="22" fillId="4" borderId="16" xfId="0" applyNumberFormat="1" applyFont="1" applyFill="1" applyBorder="1" applyAlignment="1">
      <alignment horizontal="center" vertical="center"/>
    </xf>
    <xf numFmtId="0" fontId="22" fillId="4" borderId="43" xfId="0" applyFont="1" applyFill="1" applyBorder="1" applyAlignment="1">
      <alignment horizontal="center" vertical="center"/>
    </xf>
    <xf numFmtId="164" fontId="10" fillId="0" borderId="51" xfId="0" applyNumberFormat="1" applyFont="1" applyBorder="1" applyAlignment="1">
      <alignment horizontal="center" vertical="center"/>
    </xf>
    <xf numFmtId="164" fontId="10" fillId="0" borderId="0" xfId="0" applyNumberFormat="1" applyFont="1" applyAlignment="1">
      <alignment horizontal="center" vertical="center"/>
    </xf>
    <xf numFmtId="164" fontId="10" fillId="0" borderId="5" xfId="0" applyNumberFormat="1" applyFont="1" applyBorder="1" applyAlignment="1">
      <alignment horizontal="center" vertical="center"/>
    </xf>
    <xf numFmtId="164" fontId="10" fillId="0" borderId="7" xfId="0" applyNumberFormat="1" applyFont="1" applyBorder="1" applyAlignment="1">
      <alignment horizontal="center" vertical="center"/>
    </xf>
    <xf numFmtId="164" fontId="22" fillId="0" borderId="41" xfId="0" applyNumberFormat="1" applyFont="1" applyBorder="1" applyAlignment="1">
      <alignment horizontal="center" vertical="center"/>
    </xf>
    <xf numFmtId="164" fontId="10" fillId="0" borderId="49" xfId="0" applyNumberFormat="1" applyFont="1" applyBorder="1" applyAlignment="1">
      <alignment horizontal="center" vertical="center"/>
    </xf>
    <xf numFmtId="164" fontId="22" fillId="0" borderId="57" xfId="0" applyNumberFormat="1" applyFont="1" applyBorder="1" applyAlignment="1">
      <alignment horizontal="center" vertical="center"/>
    </xf>
    <xf numFmtId="164" fontId="10" fillId="0" borderId="50" xfId="0" applyNumberFormat="1" applyFont="1" applyBorder="1" applyAlignment="1">
      <alignment horizontal="center" vertical="center"/>
    </xf>
    <xf numFmtId="164" fontId="22" fillId="0" borderId="4" xfId="0" applyNumberFormat="1" applyFont="1" applyBorder="1" applyAlignment="1">
      <alignment horizontal="center" vertical="center"/>
    </xf>
    <xf numFmtId="164" fontId="22" fillId="4" borderId="19" xfId="0" applyNumberFormat="1" applyFont="1" applyFill="1" applyBorder="1" applyAlignment="1">
      <alignment horizontal="center" vertical="center"/>
    </xf>
    <xf numFmtId="3" fontId="22" fillId="2" borderId="16" xfId="0" applyNumberFormat="1" applyFont="1" applyFill="1" applyBorder="1" applyAlignment="1">
      <alignment horizontal="center" vertical="center"/>
    </xf>
    <xf numFmtId="0" fontId="9" fillId="4" borderId="19" xfId="0" applyFont="1" applyFill="1" applyBorder="1" applyAlignment="1">
      <alignment horizontal="center" vertical="center" wrapText="1"/>
    </xf>
    <xf numFmtId="164" fontId="10" fillId="0" borderId="56" xfId="0" applyNumberFormat="1" applyFont="1" applyBorder="1" applyAlignment="1">
      <alignment horizontal="center" vertical="center"/>
    </xf>
    <xf numFmtId="0" fontId="30" fillId="2" borderId="19" xfId="0" applyFont="1" applyFill="1" applyBorder="1" applyAlignment="1">
      <alignment horizontal="center" vertical="center"/>
    </xf>
    <xf numFmtId="0" fontId="30" fillId="2" borderId="16" xfId="0" applyFont="1" applyFill="1" applyBorder="1" applyAlignment="1">
      <alignment horizontal="center" vertical="center"/>
    </xf>
    <xf numFmtId="0" fontId="30" fillId="2" borderId="20" xfId="0" applyFont="1" applyFill="1" applyBorder="1" applyAlignment="1">
      <alignment horizontal="center" vertical="center"/>
    </xf>
    <xf numFmtId="3" fontId="33" fillId="0" borderId="13" xfId="0" applyNumberFormat="1" applyFont="1" applyBorder="1" applyAlignment="1">
      <alignment horizontal="center" vertical="center"/>
    </xf>
    <xf numFmtId="3" fontId="33" fillId="0" borderId="39" xfId="0" applyNumberFormat="1" applyFont="1" applyBorder="1" applyAlignment="1">
      <alignment horizontal="center" vertical="center"/>
    </xf>
    <xf numFmtId="3" fontId="33" fillId="0" borderId="28" xfId="0" applyNumberFormat="1" applyFont="1" applyBorder="1" applyAlignment="1">
      <alignment horizontal="center" vertical="center"/>
    </xf>
    <xf numFmtId="3" fontId="33" fillId="0" borderId="4" xfId="0" applyNumberFormat="1" applyFont="1" applyBorder="1" applyAlignment="1">
      <alignment horizontal="center" vertical="center"/>
    </xf>
    <xf numFmtId="3" fontId="33" fillId="0" borderId="6" xfId="0" applyNumberFormat="1" applyFont="1" applyBorder="1" applyAlignment="1">
      <alignment horizontal="center" vertical="center"/>
    </xf>
    <xf numFmtId="3" fontId="33" fillId="0" borderId="21" xfId="0" applyNumberFormat="1" applyFont="1" applyBorder="1" applyAlignment="1">
      <alignment horizontal="center" vertical="center"/>
    </xf>
    <xf numFmtId="3" fontId="33" fillId="0" borderId="9" xfId="0" applyNumberFormat="1" applyFont="1" applyBorder="1" applyAlignment="1">
      <alignment horizontal="center" vertical="center"/>
    </xf>
    <xf numFmtId="3" fontId="33" fillId="0" borderId="8" xfId="0" applyNumberFormat="1" applyFont="1" applyBorder="1" applyAlignment="1">
      <alignment horizontal="center" vertical="center"/>
    </xf>
    <xf numFmtId="3" fontId="33" fillId="0" borderId="32" xfId="0" applyNumberFormat="1" applyFont="1" applyBorder="1" applyAlignment="1">
      <alignment horizontal="center" vertical="center"/>
    </xf>
    <xf numFmtId="3" fontId="30" fillId="0" borderId="15" xfId="0" applyNumberFormat="1" applyFont="1" applyBorder="1" applyAlignment="1">
      <alignment horizontal="center" vertical="center"/>
    </xf>
    <xf numFmtId="3" fontId="30" fillId="0" borderId="22" xfId="0" applyNumberFormat="1" applyFont="1" applyBorder="1" applyAlignment="1">
      <alignment horizontal="center" vertical="center"/>
    </xf>
    <xf numFmtId="3" fontId="33" fillId="0" borderId="56" xfId="0" applyNumberFormat="1" applyFont="1" applyBorder="1" applyAlignment="1">
      <alignment horizontal="center" vertical="center"/>
    </xf>
    <xf numFmtId="3" fontId="33" fillId="0" borderId="27" xfId="0" applyNumberFormat="1" applyFont="1" applyBorder="1" applyAlignment="1">
      <alignment horizontal="center" vertical="center"/>
    </xf>
    <xf numFmtId="3" fontId="30" fillId="0" borderId="42" xfId="0" applyNumberFormat="1" applyFont="1" applyBorder="1" applyAlignment="1">
      <alignment horizontal="center" vertical="center"/>
    </xf>
    <xf numFmtId="3" fontId="30" fillId="0" borderId="55" xfId="0" applyNumberFormat="1" applyFont="1" applyBorder="1" applyAlignment="1">
      <alignment horizontal="center" vertical="center"/>
    </xf>
    <xf numFmtId="3" fontId="30" fillId="0" borderId="10" xfId="0" applyNumberFormat="1" applyFont="1" applyBorder="1" applyAlignment="1">
      <alignment horizontal="center" vertical="center"/>
    </xf>
    <xf numFmtId="3" fontId="33" fillId="0" borderId="54" xfId="0" applyNumberFormat="1" applyFont="1" applyBorder="1" applyAlignment="1">
      <alignment horizontal="center" vertical="center"/>
    </xf>
    <xf numFmtId="3" fontId="33" fillId="0" borderId="1" xfId="0" applyNumberFormat="1" applyFont="1" applyBorder="1" applyAlignment="1">
      <alignment horizontal="center" vertical="center"/>
    </xf>
    <xf numFmtId="3" fontId="33" fillId="0" borderId="35" xfId="0" applyNumberFormat="1" applyFont="1" applyBorder="1" applyAlignment="1">
      <alignment horizontal="center" vertical="center"/>
    </xf>
    <xf numFmtId="3" fontId="33" fillId="0" borderId="38" xfId="0" applyNumberFormat="1" applyFont="1" applyBorder="1" applyAlignment="1">
      <alignment horizontal="center" vertical="center"/>
    </xf>
    <xf numFmtId="3" fontId="30" fillId="0" borderId="11" xfId="0" applyNumberFormat="1" applyFont="1" applyBorder="1" applyAlignment="1">
      <alignment horizontal="center" vertical="center"/>
    </xf>
    <xf numFmtId="3" fontId="30" fillId="4" borderId="16" xfId="0" applyNumberFormat="1" applyFont="1" applyFill="1" applyBorder="1" applyAlignment="1">
      <alignment horizontal="center" vertical="center"/>
    </xf>
    <xf numFmtId="3" fontId="30" fillId="4" borderId="22" xfId="0" applyNumberFormat="1" applyFont="1" applyFill="1" applyBorder="1" applyAlignment="1">
      <alignment horizontal="center" vertical="center"/>
    </xf>
    <xf numFmtId="3" fontId="30" fillId="2" borderId="22" xfId="0" applyNumberFormat="1" applyFont="1" applyFill="1" applyBorder="1" applyAlignment="1">
      <alignment horizontal="center" vertical="center"/>
    </xf>
    <xf numFmtId="0" fontId="22" fillId="0" borderId="16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4" fontId="10" fillId="0" borderId="16" xfId="0" applyNumberFormat="1" applyFont="1" applyBorder="1" applyAlignment="1">
      <alignment horizontal="center" vertical="center"/>
    </xf>
    <xf numFmtId="4" fontId="22" fillId="4" borderId="16" xfId="0" applyNumberFormat="1" applyFont="1" applyFill="1" applyBorder="1" applyAlignment="1">
      <alignment horizontal="center" vertical="center"/>
    </xf>
    <xf numFmtId="0" fontId="16" fillId="0" borderId="0" xfId="0" applyFont="1"/>
    <xf numFmtId="0" fontId="22" fillId="3" borderId="30" xfId="0" applyFont="1" applyFill="1" applyBorder="1" applyAlignment="1">
      <alignment horizontal="center" vertical="center"/>
    </xf>
    <xf numFmtId="0" fontId="22" fillId="3" borderId="16" xfId="0" applyFont="1" applyFill="1" applyBorder="1" applyAlignment="1">
      <alignment horizontal="center" vertical="center"/>
    </xf>
    <xf numFmtId="164" fontId="10" fillId="0" borderId="52" xfId="0" applyNumberFormat="1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164" fontId="22" fillId="0" borderId="61" xfId="0" applyNumberFormat="1" applyFont="1" applyBorder="1" applyAlignment="1">
      <alignment horizontal="center" vertical="center"/>
    </xf>
    <xf numFmtId="164" fontId="22" fillId="0" borderId="21" xfId="0" applyNumberFormat="1" applyFont="1" applyBorder="1" applyAlignment="1">
      <alignment horizontal="center" vertical="center"/>
    </xf>
    <xf numFmtId="3" fontId="22" fillId="2" borderId="20" xfId="0" applyNumberFormat="1" applyFont="1" applyFill="1" applyBorder="1" applyAlignment="1">
      <alignment horizontal="center" vertical="center"/>
    </xf>
    <xf numFmtId="164" fontId="9" fillId="4" borderId="43" xfId="0" applyNumberFormat="1" applyFont="1" applyFill="1" applyBorder="1" applyAlignment="1">
      <alignment horizontal="center"/>
    </xf>
    <xf numFmtId="164" fontId="0" fillId="0" borderId="0" xfId="0" applyNumberFormat="1"/>
    <xf numFmtId="164" fontId="9" fillId="0" borderId="12" xfId="0" applyNumberFormat="1" applyFont="1" applyBorder="1" applyAlignment="1">
      <alignment horizontal="center" vertical="center"/>
    </xf>
    <xf numFmtId="164" fontId="18" fillId="0" borderId="35" xfId="0" applyNumberFormat="1" applyFont="1" applyBorder="1" applyAlignment="1">
      <alignment horizontal="center" vertical="center"/>
    </xf>
    <xf numFmtId="3" fontId="18" fillId="0" borderId="44" xfId="0" applyNumberFormat="1" applyFont="1" applyBorder="1" applyAlignment="1">
      <alignment horizontal="center" vertical="center"/>
    </xf>
    <xf numFmtId="3" fontId="18" fillId="0" borderId="13" xfId="0" applyNumberFormat="1" applyFont="1" applyBorder="1" applyAlignment="1">
      <alignment horizontal="center" vertical="center"/>
    </xf>
    <xf numFmtId="3" fontId="18" fillId="0" borderId="14" xfId="0" applyNumberFormat="1" applyFont="1" applyBorder="1" applyAlignment="1">
      <alignment horizontal="center" vertical="center"/>
    </xf>
    <xf numFmtId="9" fontId="18" fillId="0" borderId="6" xfId="0" applyNumberFormat="1" applyFont="1" applyBorder="1" applyAlignment="1">
      <alignment horizontal="center" vertical="center"/>
    </xf>
    <xf numFmtId="9" fontId="18" fillId="0" borderId="52" xfId="0" applyNumberFormat="1" applyFont="1" applyBorder="1" applyAlignment="1">
      <alignment horizontal="center" vertical="center"/>
    </xf>
    <xf numFmtId="3" fontId="18" fillId="0" borderId="45" xfId="0" applyNumberFormat="1" applyFont="1" applyBorder="1" applyAlignment="1">
      <alignment horizontal="center" vertical="center"/>
    </xf>
    <xf numFmtId="3" fontId="18" fillId="0" borderId="4" xfId="0" applyNumberFormat="1" applyFont="1" applyBorder="1" applyAlignment="1">
      <alignment horizontal="center" vertical="center"/>
    </xf>
    <xf numFmtId="3" fontId="18" fillId="0" borderId="0" xfId="0" applyNumberFormat="1" applyFont="1" applyAlignment="1">
      <alignment horizontal="center" vertical="center"/>
    </xf>
    <xf numFmtId="9" fontId="18" fillId="0" borderId="24" xfId="0" applyNumberFormat="1" applyFont="1" applyBorder="1" applyAlignment="1">
      <alignment horizontal="center" vertical="center"/>
    </xf>
    <xf numFmtId="3" fontId="18" fillId="0" borderId="59" xfId="0" applyNumberFormat="1" applyFont="1" applyBorder="1" applyAlignment="1">
      <alignment horizontal="center" vertical="center"/>
    </xf>
    <xf numFmtId="3" fontId="18" fillId="0" borderId="9" xfId="0" applyNumberFormat="1" applyFont="1" applyBorder="1" applyAlignment="1">
      <alignment horizontal="center" vertical="center"/>
    </xf>
    <xf numFmtId="3" fontId="18" fillId="0" borderId="3" xfId="0" applyNumberFormat="1" applyFont="1" applyBorder="1" applyAlignment="1">
      <alignment horizontal="center" vertical="center"/>
    </xf>
    <xf numFmtId="9" fontId="18" fillId="0" borderId="26" xfId="0" applyNumberFormat="1" applyFont="1" applyBorder="1" applyAlignment="1">
      <alignment horizontal="center" vertical="center"/>
    </xf>
    <xf numFmtId="9" fontId="18" fillId="0" borderId="21" xfId="0" applyNumberFormat="1" applyFont="1" applyBorder="1" applyAlignment="1">
      <alignment horizontal="center" vertical="center"/>
    </xf>
    <xf numFmtId="9" fontId="18" fillId="0" borderId="32" xfId="0" applyNumberFormat="1" applyFont="1" applyBorder="1" applyAlignment="1">
      <alignment horizontal="center" vertical="center"/>
    </xf>
    <xf numFmtId="0" fontId="18" fillId="0" borderId="45" xfId="0" applyFont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9" fontId="18" fillId="0" borderId="4" xfId="0" applyNumberFormat="1" applyFont="1" applyBorder="1" applyAlignment="1">
      <alignment horizontal="center" vertical="center"/>
    </xf>
    <xf numFmtId="0" fontId="9" fillId="0" borderId="57" xfId="0" applyFont="1" applyBorder="1" applyAlignment="1">
      <alignment horizontal="center" vertical="center"/>
    </xf>
    <xf numFmtId="0" fontId="9" fillId="0" borderId="55" xfId="0" applyFont="1" applyBorder="1" applyAlignment="1">
      <alignment horizontal="center" vertical="center"/>
    </xf>
    <xf numFmtId="9" fontId="9" fillId="0" borderId="42" xfId="0" applyNumberFormat="1" applyFont="1" applyBorder="1" applyAlignment="1">
      <alignment horizontal="center" vertical="center"/>
    </xf>
    <xf numFmtId="9" fontId="18" fillId="0" borderId="8" xfId="0" applyNumberFormat="1" applyFont="1" applyBorder="1" applyAlignment="1">
      <alignment horizontal="center" vertical="center"/>
    </xf>
    <xf numFmtId="9" fontId="9" fillId="0" borderId="12" xfId="0" applyNumberFormat="1" applyFont="1" applyBorder="1" applyAlignment="1">
      <alignment horizontal="center" vertical="center"/>
    </xf>
    <xf numFmtId="3" fontId="9" fillId="0" borderId="57" xfId="0" applyNumberFormat="1" applyFont="1" applyBorder="1" applyAlignment="1">
      <alignment horizontal="center" vertical="center"/>
    </xf>
    <xf numFmtId="3" fontId="18" fillId="0" borderId="56" xfId="0" applyNumberFormat="1" applyFont="1" applyBorder="1" applyAlignment="1">
      <alignment horizontal="center" vertical="center"/>
    </xf>
    <xf numFmtId="3" fontId="18" fillId="0" borderId="35" xfId="0" applyNumberFormat="1" applyFont="1" applyBorder="1" applyAlignment="1">
      <alignment horizontal="center" vertical="center"/>
    </xf>
    <xf numFmtId="9" fontId="18" fillId="0" borderId="38" xfId="0" applyNumberFormat="1" applyFont="1" applyBorder="1" applyAlignment="1">
      <alignment horizontal="center" vertical="center"/>
    </xf>
    <xf numFmtId="3" fontId="18" fillId="0" borderId="27" xfId="0" applyNumberFormat="1" applyFont="1" applyBorder="1" applyAlignment="1">
      <alignment horizontal="center" vertical="center"/>
    </xf>
    <xf numFmtId="9" fontId="18" fillId="0" borderId="27" xfId="0" applyNumberFormat="1" applyFont="1" applyBorder="1" applyAlignment="1">
      <alignment horizontal="center" vertical="center"/>
    </xf>
    <xf numFmtId="9" fontId="9" fillId="0" borderId="25" xfId="0" applyNumberFormat="1" applyFont="1" applyBorder="1" applyAlignment="1">
      <alignment horizontal="center" vertical="center"/>
    </xf>
    <xf numFmtId="3" fontId="18" fillId="0" borderId="6" xfId="0" applyNumberFormat="1" applyFont="1" applyBorder="1" applyAlignment="1">
      <alignment horizontal="center" vertical="center"/>
    </xf>
    <xf numFmtId="3" fontId="18" fillId="0" borderId="8" xfId="0" applyNumberFormat="1" applyFont="1" applyBorder="1" applyAlignment="1">
      <alignment horizontal="center" vertical="center"/>
    </xf>
    <xf numFmtId="164" fontId="18" fillId="0" borderId="32" xfId="0" applyNumberFormat="1" applyFont="1" applyBorder="1" applyAlignment="1">
      <alignment horizontal="center" vertical="center"/>
    </xf>
    <xf numFmtId="164" fontId="9" fillId="0" borderId="22" xfId="0" applyNumberFormat="1" applyFont="1" applyBorder="1" applyAlignment="1">
      <alignment horizontal="center" vertical="center"/>
    </xf>
    <xf numFmtId="164" fontId="9" fillId="0" borderId="25" xfId="0" applyNumberFormat="1" applyFont="1" applyBorder="1" applyAlignment="1">
      <alignment horizontal="center" vertical="center"/>
    </xf>
    <xf numFmtId="164" fontId="9" fillId="0" borderId="55" xfId="0" applyNumberFormat="1" applyFont="1" applyBorder="1" applyAlignment="1">
      <alignment horizontal="center" vertical="center"/>
    </xf>
    <xf numFmtId="164" fontId="18" fillId="0" borderId="38" xfId="0" applyNumberFormat="1" applyFont="1" applyBorder="1" applyAlignment="1">
      <alignment horizontal="center" vertical="center"/>
    </xf>
    <xf numFmtId="164" fontId="9" fillId="4" borderId="16" xfId="0" applyNumberFormat="1" applyFont="1" applyFill="1" applyBorder="1" applyAlignment="1">
      <alignment horizontal="center"/>
    </xf>
    <xf numFmtId="164" fontId="9" fillId="4" borderId="20" xfId="0" applyNumberFormat="1" applyFont="1" applyFill="1" applyBorder="1" applyAlignment="1">
      <alignment horizontal="center" vertical="center"/>
    </xf>
    <xf numFmtId="164" fontId="18" fillId="0" borderId="28" xfId="0" applyNumberFormat="1" applyFont="1" applyBorder="1" applyAlignment="1">
      <alignment horizontal="center" vertical="center"/>
    </xf>
    <xf numFmtId="164" fontId="9" fillId="4" borderId="28" xfId="0" applyNumberFormat="1" applyFont="1" applyFill="1" applyBorder="1" applyAlignment="1">
      <alignment horizontal="center" vertical="center"/>
    </xf>
    <xf numFmtId="164" fontId="9" fillId="4" borderId="43" xfId="0" applyNumberFormat="1" applyFont="1" applyFill="1" applyBorder="1" applyAlignment="1">
      <alignment horizontal="center" vertical="center"/>
    </xf>
    <xf numFmtId="0" fontId="9" fillId="2" borderId="16" xfId="0" applyFont="1" applyFill="1" applyBorder="1" applyAlignment="1">
      <alignment horizontal="center" vertical="center"/>
    </xf>
    <xf numFmtId="164" fontId="9" fillId="2" borderId="16" xfId="0" applyNumberFormat="1" applyFont="1" applyFill="1" applyBorder="1" applyAlignment="1">
      <alignment horizontal="center" vertical="center"/>
    </xf>
    <xf numFmtId="164" fontId="9" fillId="2" borderId="20" xfId="0" applyNumberFormat="1" applyFont="1" applyFill="1" applyBorder="1" applyAlignment="1">
      <alignment horizontal="center" vertical="center"/>
    </xf>
    <xf numFmtId="0" fontId="9" fillId="2" borderId="21" xfId="0" applyFont="1" applyFill="1" applyBorder="1" applyAlignment="1">
      <alignment horizontal="center" vertical="center"/>
    </xf>
    <xf numFmtId="0" fontId="9" fillId="2" borderId="48" xfId="0" applyFont="1" applyFill="1" applyBorder="1" applyAlignment="1">
      <alignment horizontal="center" vertical="center"/>
    </xf>
    <xf numFmtId="164" fontId="9" fillId="2" borderId="48" xfId="0" applyNumberFormat="1" applyFont="1" applyFill="1" applyBorder="1" applyAlignment="1">
      <alignment horizontal="center" vertical="center"/>
    </xf>
    <xf numFmtId="164" fontId="9" fillId="2" borderId="21" xfId="0" applyNumberFormat="1" applyFont="1" applyFill="1" applyBorder="1" applyAlignment="1">
      <alignment horizontal="center" vertical="center"/>
    </xf>
    <xf numFmtId="164" fontId="9" fillId="0" borderId="57" xfId="0" applyNumberFormat="1" applyFont="1" applyBorder="1" applyAlignment="1">
      <alignment horizontal="center" vertical="center"/>
    </xf>
    <xf numFmtId="164" fontId="9" fillId="0" borderId="4" xfId="0" applyNumberFormat="1" applyFont="1" applyBorder="1" applyAlignment="1">
      <alignment horizontal="center" vertical="center"/>
    </xf>
    <xf numFmtId="3" fontId="9" fillId="2" borderId="16" xfId="0" applyNumberFormat="1" applyFont="1" applyFill="1" applyBorder="1" applyAlignment="1">
      <alignment horizontal="center" vertical="center"/>
    </xf>
    <xf numFmtId="9" fontId="18" fillId="0" borderId="39" xfId="0" applyNumberFormat="1" applyFont="1" applyBorder="1" applyAlignment="1">
      <alignment horizontal="center" vertical="center"/>
    </xf>
    <xf numFmtId="0" fontId="18" fillId="0" borderId="9" xfId="0" applyFont="1" applyBorder="1" applyAlignment="1">
      <alignment horizontal="center" vertical="center"/>
    </xf>
    <xf numFmtId="0" fontId="18" fillId="0" borderId="35" xfId="0" applyFont="1" applyBorder="1" applyAlignment="1">
      <alignment horizontal="center" vertical="center"/>
    </xf>
    <xf numFmtId="4" fontId="10" fillId="0" borderId="0" xfId="0" applyNumberFormat="1" applyFont="1" applyAlignment="1">
      <alignment horizontal="center" vertical="center"/>
    </xf>
    <xf numFmtId="3" fontId="7" fillId="0" borderId="0" xfId="0" applyNumberFormat="1" applyFont="1"/>
    <xf numFmtId="4" fontId="0" fillId="0" borderId="0" xfId="0" applyNumberFormat="1"/>
    <xf numFmtId="164" fontId="18" fillId="0" borderId="4" xfId="3" applyNumberFormat="1" applyFont="1" applyBorder="1" applyAlignment="1">
      <alignment horizontal="center" vertical="center"/>
    </xf>
    <xf numFmtId="164" fontId="18" fillId="0" borderId="9" xfId="3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9" fontId="18" fillId="0" borderId="27" xfId="4" applyFont="1" applyBorder="1" applyAlignment="1">
      <alignment horizontal="center" vertical="center"/>
    </xf>
    <xf numFmtId="9" fontId="9" fillId="0" borderId="12" xfId="4" applyFont="1" applyBorder="1" applyAlignment="1">
      <alignment horizontal="center" vertical="center"/>
    </xf>
    <xf numFmtId="166" fontId="18" fillId="0" borderId="4" xfId="0" applyNumberFormat="1" applyFont="1" applyBorder="1" applyAlignment="1">
      <alignment horizontal="center" vertical="center"/>
    </xf>
    <xf numFmtId="166" fontId="18" fillId="0" borderId="9" xfId="0" applyNumberFormat="1" applyFont="1" applyBorder="1" applyAlignment="1">
      <alignment horizontal="center" vertical="center"/>
    </xf>
    <xf numFmtId="166" fontId="9" fillId="0" borderId="12" xfId="0" applyNumberFormat="1" applyFont="1" applyBorder="1" applyAlignment="1">
      <alignment horizontal="center" vertical="center"/>
    </xf>
    <xf numFmtId="166" fontId="18" fillId="0" borderId="59" xfId="0" applyNumberFormat="1" applyFont="1" applyBorder="1" applyAlignment="1">
      <alignment horizontal="center" vertical="center"/>
    </xf>
    <xf numFmtId="164" fontId="18" fillId="0" borderId="27" xfId="3" applyNumberFormat="1" applyFont="1" applyBorder="1" applyAlignment="1">
      <alignment horizontal="center" vertical="center"/>
    </xf>
    <xf numFmtId="164" fontId="9" fillId="7" borderId="16" xfId="0" applyNumberFormat="1" applyFont="1" applyFill="1" applyBorder="1" applyAlignment="1">
      <alignment horizontal="center" vertical="center"/>
    </xf>
    <xf numFmtId="4" fontId="25" fillId="0" borderId="0" xfId="0" applyNumberFormat="1" applyFont="1"/>
    <xf numFmtId="0" fontId="2" fillId="0" borderId="0" xfId="0" applyFont="1" applyAlignment="1">
      <alignment vertical="center"/>
    </xf>
    <xf numFmtId="0" fontId="13" fillId="0" borderId="0" xfId="0" applyFont="1" applyAlignment="1">
      <alignment horizontal="right" vertical="center"/>
    </xf>
    <xf numFmtId="164" fontId="22" fillId="2" borderId="21" xfId="0" applyNumberFormat="1" applyFont="1" applyFill="1" applyBorder="1" applyAlignment="1">
      <alignment horizontal="center" vertical="center"/>
    </xf>
    <xf numFmtId="9" fontId="18" fillId="0" borderId="6" xfId="4" applyFont="1" applyBorder="1" applyAlignment="1" applyProtection="1">
      <alignment horizontal="center" vertical="center"/>
    </xf>
    <xf numFmtId="9" fontId="9" fillId="0" borderId="10" xfId="4" applyFont="1" applyBorder="1" applyAlignment="1" applyProtection="1">
      <alignment horizontal="center" vertical="center"/>
    </xf>
    <xf numFmtId="0" fontId="33" fillId="0" borderId="6" xfId="0" applyFont="1" applyBorder="1" applyAlignment="1">
      <alignment horizontal="center" vertical="center"/>
    </xf>
    <xf numFmtId="0" fontId="30" fillId="2" borderId="5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9" fillId="0" borderId="22" xfId="0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18" fillId="0" borderId="21" xfId="0" applyFont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3" fontId="22" fillId="5" borderId="19" xfId="3" applyNumberFormat="1" applyFont="1" applyFill="1" applyBorder="1" applyAlignment="1">
      <alignment horizontal="center"/>
    </xf>
    <xf numFmtId="3" fontId="22" fillId="5" borderId="16" xfId="3" applyNumberFormat="1" applyFont="1" applyFill="1" applyBorder="1" applyAlignment="1">
      <alignment horizontal="center"/>
    </xf>
    <xf numFmtId="0" fontId="33" fillId="0" borderId="0" xfId="0" applyFont="1" applyAlignment="1">
      <alignment horizontal="center" vertical="center"/>
    </xf>
    <xf numFmtId="164" fontId="33" fillId="0" borderId="0" xfId="0" applyNumberFormat="1" applyFont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166" fontId="9" fillId="0" borderId="57" xfId="0" applyNumberFormat="1" applyFont="1" applyBorder="1" applyAlignment="1">
      <alignment horizontal="center" vertical="center"/>
    </xf>
    <xf numFmtId="9" fontId="9" fillId="0" borderId="55" xfId="4" applyFont="1" applyBorder="1" applyAlignment="1">
      <alignment horizontal="center" vertical="center"/>
    </xf>
    <xf numFmtId="164" fontId="22" fillId="0" borderId="25" xfId="0" applyNumberFormat="1" applyFont="1" applyBorder="1" applyAlignment="1">
      <alignment horizontal="center" vertical="center"/>
    </xf>
    <xf numFmtId="0" fontId="36" fillId="0" borderId="0" xfId="0" applyFont="1" applyAlignment="1">
      <alignment vertical="center"/>
    </xf>
    <xf numFmtId="0" fontId="37" fillId="0" borderId="0" xfId="0" applyFont="1" applyAlignment="1">
      <alignment vertical="center"/>
    </xf>
    <xf numFmtId="164" fontId="37" fillId="0" borderId="0" xfId="0" applyNumberFormat="1" applyFont="1" applyAlignment="1">
      <alignment vertical="center"/>
    </xf>
    <xf numFmtId="0" fontId="36" fillId="0" borderId="0" xfId="0" applyFont="1" applyAlignment="1">
      <alignment horizontal="right" vertical="center"/>
    </xf>
    <xf numFmtId="0" fontId="25" fillId="0" borderId="0" xfId="0" applyFont="1" applyAlignment="1">
      <alignment horizontal="center" vertical="center"/>
    </xf>
    <xf numFmtId="3" fontId="9" fillId="0" borderId="0" xfId="0" applyNumberFormat="1" applyFont="1" applyAlignment="1">
      <alignment horizontal="center" vertical="center"/>
    </xf>
    <xf numFmtId="9" fontId="9" fillId="0" borderId="0" xfId="0" applyNumberFormat="1" applyFont="1" applyAlignment="1">
      <alignment horizontal="center" vertical="center"/>
    </xf>
    <xf numFmtId="164" fontId="9" fillId="0" borderId="0" xfId="0" applyNumberFormat="1" applyFont="1" applyAlignment="1">
      <alignment horizontal="center" vertical="center"/>
    </xf>
    <xf numFmtId="9" fontId="18" fillId="0" borderId="4" xfId="4" applyFont="1" applyBorder="1" applyAlignment="1">
      <alignment horizontal="center" vertical="center"/>
    </xf>
    <xf numFmtId="3" fontId="30" fillId="0" borderId="25" xfId="0" applyNumberFormat="1" applyFont="1" applyBorder="1" applyAlignment="1">
      <alignment horizontal="center" vertical="center"/>
    </xf>
    <xf numFmtId="164" fontId="4" fillId="0" borderId="0" xfId="0" applyNumberFormat="1" applyFont="1"/>
    <xf numFmtId="164" fontId="10" fillId="0" borderId="21" xfId="0" applyNumberFormat="1" applyFont="1" applyBorder="1" applyAlignment="1">
      <alignment horizontal="center"/>
    </xf>
    <xf numFmtId="164" fontId="10" fillId="0" borderId="38" xfId="0" applyNumberFormat="1" applyFont="1" applyBorder="1" applyAlignment="1">
      <alignment horizontal="center"/>
    </xf>
    <xf numFmtId="164" fontId="10" fillId="0" borderId="37" xfId="0" applyNumberFormat="1" applyFont="1" applyBorder="1" applyAlignment="1">
      <alignment horizontal="center"/>
    </xf>
    <xf numFmtId="164" fontId="10" fillId="0" borderId="26" xfId="0" applyNumberFormat="1" applyFont="1" applyBorder="1" applyAlignment="1">
      <alignment horizontal="center"/>
    </xf>
    <xf numFmtId="164" fontId="18" fillId="0" borderId="37" xfId="0" applyNumberFormat="1" applyFont="1" applyBorder="1" applyAlignment="1">
      <alignment horizontal="center"/>
    </xf>
    <xf numFmtId="165" fontId="0" fillId="0" borderId="0" xfId="0" applyNumberFormat="1"/>
    <xf numFmtId="165" fontId="7" fillId="0" borderId="0" xfId="0" applyNumberFormat="1" applyFont="1"/>
    <xf numFmtId="0" fontId="33" fillId="0" borderId="4" xfId="0" applyFont="1" applyBorder="1" applyAlignment="1">
      <alignment horizontal="center" vertical="center"/>
    </xf>
    <xf numFmtId="0" fontId="10" fillId="2" borderId="16" xfId="0" applyFont="1" applyFill="1" applyBorder="1" applyAlignment="1">
      <alignment horizontal="center" vertical="center" wrapText="1"/>
    </xf>
    <xf numFmtId="164" fontId="15" fillId="0" borderId="0" xfId="0" applyNumberFormat="1" applyFont="1" applyAlignment="1">
      <alignment vertical="center"/>
    </xf>
    <xf numFmtId="3" fontId="9" fillId="5" borderId="16" xfId="0" applyNumberFormat="1" applyFont="1" applyFill="1" applyBorder="1" applyAlignment="1">
      <alignment horizontal="center"/>
    </xf>
    <xf numFmtId="3" fontId="33" fillId="0" borderId="2" xfId="0" applyNumberFormat="1" applyFont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3" fillId="0" borderId="21" xfId="0" applyFont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4" fontId="6" fillId="0" borderId="16" xfId="0" applyNumberFormat="1" applyFont="1" applyBorder="1" applyAlignment="1">
      <alignment horizontal="center" vertical="center"/>
    </xf>
    <xf numFmtId="0" fontId="8" fillId="4" borderId="16" xfId="0" applyFont="1" applyFill="1" applyBorder="1" applyAlignment="1">
      <alignment horizontal="center" vertical="center"/>
    </xf>
    <xf numFmtId="4" fontId="8" fillId="4" borderId="16" xfId="0" applyNumberFormat="1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13" fillId="0" borderId="0" xfId="0" applyFont="1" applyAlignment="1">
      <alignment horizontal="right"/>
    </xf>
    <xf numFmtId="0" fontId="6" fillId="0" borderId="11" xfId="0" applyFont="1" applyBorder="1"/>
    <xf numFmtId="0" fontId="6" fillId="0" borderId="21" xfId="0" applyFont="1" applyBorder="1"/>
    <xf numFmtId="0" fontId="38" fillId="0" borderId="0" xfId="0" applyFont="1" applyAlignment="1">
      <alignment horizontal="center" vertical="center"/>
    </xf>
    <xf numFmtId="0" fontId="39" fillId="0" borderId="11" xfId="0" applyFont="1" applyBorder="1" applyAlignment="1">
      <alignment horizontal="center" vertical="center"/>
    </xf>
    <xf numFmtId="0" fontId="40" fillId="0" borderId="0" xfId="0" applyFont="1"/>
    <xf numFmtId="0" fontId="39" fillId="0" borderId="0" xfId="0" applyFont="1" applyAlignment="1">
      <alignment vertical="center"/>
    </xf>
    <xf numFmtId="0" fontId="39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29" fillId="0" borderId="22" xfId="0" applyFont="1" applyBorder="1" applyAlignment="1">
      <alignment horizontal="center" vertical="center"/>
    </xf>
    <xf numFmtId="0" fontId="39" fillId="9" borderId="16" xfId="0" applyFont="1" applyFill="1" applyBorder="1" applyAlignment="1">
      <alignment horizontal="center" vertical="center"/>
    </xf>
    <xf numFmtId="0" fontId="40" fillId="0" borderId="0" xfId="0" applyFont="1" applyAlignment="1">
      <alignment horizontal="center"/>
    </xf>
    <xf numFmtId="0" fontId="8" fillId="0" borderId="21" xfId="0" applyFont="1" applyBorder="1"/>
    <xf numFmtId="0" fontId="29" fillId="0" borderId="4" xfId="0" applyFont="1" applyBorder="1" applyAlignment="1">
      <alignment horizontal="center" vertical="center"/>
    </xf>
    <xf numFmtId="4" fontId="39" fillId="0" borderId="4" xfId="0" applyNumberFormat="1" applyFont="1" applyBorder="1" applyAlignment="1">
      <alignment horizontal="center" vertical="center"/>
    </xf>
    <xf numFmtId="4" fontId="39" fillId="0" borderId="6" xfId="0" applyNumberFormat="1" applyFont="1" applyBorder="1" applyAlignment="1">
      <alignment horizontal="center" vertical="center"/>
    </xf>
    <xf numFmtId="4" fontId="39" fillId="0" borderId="24" xfId="0" applyNumberFormat="1" applyFont="1" applyBorder="1" applyAlignment="1">
      <alignment horizontal="center" vertical="center"/>
    </xf>
    <xf numFmtId="0" fontId="39" fillId="0" borderId="48" xfId="0" applyFont="1" applyBorder="1"/>
    <xf numFmtId="168" fontId="29" fillId="0" borderId="4" xfId="0" applyNumberFormat="1" applyFont="1" applyBorder="1" applyAlignment="1">
      <alignment horizontal="center" vertical="center"/>
    </xf>
    <xf numFmtId="168" fontId="29" fillId="0" borderId="6" xfId="0" applyNumberFormat="1" applyFont="1" applyBorder="1" applyAlignment="1">
      <alignment horizontal="center" vertical="center"/>
    </xf>
    <xf numFmtId="168" fontId="29" fillId="0" borderId="24" xfId="0" applyNumberFormat="1" applyFont="1" applyBorder="1" applyAlignment="1">
      <alignment horizontal="center" vertical="center"/>
    </xf>
    <xf numFmtId="0" fontId="8" fillId="0" borderId="0" xfId="0" applyFont="1"/>
    <xf numFmtId="0" fontId="11" fillId="0" borderId="4" xfId="0" applyFont="1" applyBorder="1" applyAlignment="1">
      <alignment horizontal="center" vertical="center"/>
    </xf>
    <xf numFmtId="4" fontId="40" fillId="0" borderId="4" xfId="0" applyNumberFormat="1" applyFont="1" applyBorder="1" applyAlignment="1">
      <alignment horizontal="center" vertical="center"/>
    </xf>
    <xf numFmtId="4" fontId="40" fillId="0" borderId="6" xfId="0" applyNumberFormat="1" applyFont="1" applyBorder="1" applyAlignment="1">
      <alignment horizontal="center" vertical="center"/>
    </xf>
    <xf numFmtId="4" fontId="40" fillId="0" borderId="24" xfId="0" applyNumberFormat="1" applyFont="1" applyBorder="1" applyAlignment="1">
      <alignment horizontal="center" vertical="center"/>
    </xf>
    <xf numFmtId="0" fontId="40" fillId="0" borderId="48" xfId="0" applyFont="1" applyBorder="1"/>
    <xf numFmtId="168" fontId="11" fillId="0" borderId="4" xfId="0" applyNumberFormat="1" applyFont="1" applyBorder="1" applyAlignment="1">
      <alignment horizontal="center" vertical="center"/>
    </xf>
    <xf numFmtId="168" fontId="11" fillId="0" borderId="6" xfId="0" applyNumberFormat="1" applyFont="1" applyBorder="1" applyAlignment="1">
      <alignment horizontal="center" vertical="center"/>
    </xf>
    <xf numFmtId="168" fontId="11" fillId="0" borderId="24" xfId="0" applyNumberFormat="1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4" fontId="40" fillId="0" borderId="9" xfId="0" applyNumberFormat="1" applyFont="1" applyBorder="1" applyAlignment="1">
      <alignment horizontal="center" vertical="center"/>
    </xf>
    <xf numFmtId="4" fontId="40" fillId="0" borderId="8" xfId="0" applyNumberFormat="1" applyFont="1" applyBorder="1" applyAlignment="1">
      <alignment horizontal="center" vertical="center"/>
    </xf>
    <xf numFmtId="4" fontId="40" fillId="0" borderId="26" xfId="0" applyNumberFormat="1" applyFont="1" applyBorder="1" applyAlignment="1">
      <alignment horizontal="center" vertical="center"/>
    </xf>
    <xf numFmtId="168" fontId="11" fillId="0" borderId="9" xfId="0" applyNumberFormat="1" applyFont="1" applyBorder="1" applyAlignment="1">
      <alignment horizontal="center" vertical="center"/>
    </xf>
    <xf numFmtId="168" fontId="11" fillId="0" borderId="8" xfId="0" applyNumberFormat="1" applyFont="1" applyBorder="1" applyAlignment="1">
      <alignment horizontal="center" vertical="center"/>
    </xf>
    <xf numFmtId="168" fontId="11" fillId="0" borderId="26" xfId="0" applyNumberFormat="1" applyFont="1" applyBorder="1" applyAlignment="1">
      <alignment horizontal="center" vertical="center"/>
    </xf>
    <xf numFmtId="0" fontId="29" fillId="0" borderId="54" xfId="0" applyFont="1" applyBorder="1" applyAlignment="1">
      <alignment horizontal="center" vertical="center"/>
    </xf>
    <xf numFmtId="4" fontId="39" fillId="0" borderId="54" xfId="0" applyNumberFormat="1" applyFont="1" applyBorder="1" applyAlignment="1">
      <alignment horizontal="center" vertical="center"/>
    </xf>
    <xf numFmtId="4" fontId="39" fillId="0" borderId="2" xfId="0" applyNumberFormat="1" applyFont="1" applyBorder="1" applyAlignment="1">
      <alignment horizontal="center" vertical="center"/>
    </xf>
    <xf numFmtId="4" fontId="39" fillId="0" borderId="62" xfId="0" applyNumberFormat="1" applyFont="1" applyBorder="1" applyAlignment="1">
      <alignment horizontal="center" vertical="center"/>
    </xf>
    <xf numFmtId="168" fontId="29" fillId="0" borderId="63" xfId="0" applyNumberFormat="1" applyFont="1" applyBorder="1" applyAlignment="1">
      <alignment horizontal="center" vertical="center"/>
    </xf>
    <xf numFmtId="168" fontId="29" fillId="0" borderId="2" xfId="0" applyNumberFormat="1" applyFont="1" applyBorder="1" applyAlignment="1">
      <alignment horizontal="center" vertical="center"/>
    </xf>
    <xf numFmtId="168" fontId="29" fillId="0" borderId="62" xfId="0" applyNumberFormat="1" applyFont="1" applyBorder="1" applyAlignment="1">
      <alignment horizontal="center" vertical="center"/>
    </xf>
    <xf numFmtId="0" fontId="39" fillId="0" borderId="36" xfId="0" applyFont="1" applyBorder="1"/>
    <xf numFmtId="168" fontId="39" fillId="0" borderId="45" xfId="0" applyNumberFormat="1" applyFont="1" applyBorder="1" applyAlignment="1">
      <alignment horizontal="center" vertical="center"/>
    </xf>
    <xf numFmtId="168" fontId="39" fillId="0" borderId="6" xfId="0" applyNumberFormat="1" applyFont="1" applyBorder="1" applyAlignment="1">
      <alignment horizontal="center" vertical="center"/>
    </xf>
    <xf numFmtId="168" fontId="39" fillId="0" borderId="24" xfId="0" applyNumberFormat="1" applyFont="1" applyBorder="1" applyAlignment="1">
      <alignment horizontal="center" vertical="center"/>
    </xf>
    <xf numFmtId="0" fontId="40" fillId="0" borderId="36" xfId="0" applyFont="1" applyBorder="1"/>
    <xf numFmtId="168" fontId="40" fillId="0" borderId="45" xfId="0" applyNumberFormat="1" applyFont="1" applyBorder="1" applyAlignment="1">
      <alignment horizontal="center" vertical="center"/>
    </xf>
    <xf numFmtId="168" fontId="40" fillId="0" borderId="6" xfId="0" applyNumberFormat="1" applyFont="1" applyBorder="1" applyAlignment="1">
      <alignment horizontal="center" vertical="center"/>
    </xf>
    <xf numFmtId="168" fontId="40" fillId="0" borderId="24" xfId="0" applyNumberFormat="1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4" fontId="40" fillId="0" borderId="12" xfId="0" applyNumberFormat="1" applyFont="1" applyBorder="1" applyAlignment="1">
      <alignment horizontal="center" vertical="center"/>
    </xf>
    <xf numFmtId="4" fontId="40" fillId="0" borderId="15" xfId="0" applyNumberFormat="1" applyFont="1" applyBorder="1" applyAlignment="1">
      <alignment horizontal="center" vertical="center"/>
    </xf>
    <xf numFmtId="4" fontId="40" fillId="0" borderId="23" xfId="0" applyNumberFormat="1" applyFont="1" applyBorder="1" applyAlignment="1">
      <alignment horizontal="center" vertical="center"/>
    </xf>
    <xf numFmtId="168" fontId="40" fillId="0" borderId="46" xfId="0" applyNumberFormat="1" applyFont="1" applyBorder="1" applyAlignment="1">
      <alignment horizontal="center" vertical="center"/>
    </xf>
    <xf numFmtId="168" fontId="40" fillId="0" borderId="15" xfId="0" applyNumberFormat="1" applyFont="1" applyBorder="1" applyAlignment="1">
      <alignment horizontal="center" vertical="center"/>
    </xf>
    <xf numFmtId="168" fontId="40" fillId="0" borderId="23" xfId="0" applyNumberFormat="1" applyFont="1" applyBorder="1" applyAlignment="1">
      <alignment horizontal="center" vertical="center"/>
    </xf>
    <xf numFmtId="0" fontId="29" fillId="9" borderId="11" xfId="0" applyFont="1" applyFill="1" applyBorder="1" applyAlignment="1">
      <alignment horizontal="center" vertical="center"/>
    </xf>
    <xf numFmtId="4" fontId="39" fillId="9" borderId="16" xfId="0" applyNumberFormat="1" applyFont="1" applyFill="1" applyBorder="1" applyAlignment="1">
      <alignment horizontal="center" vertical="center"/>
    </xf>
    <xf numFmtId="0" fontId="39" fillId="0" borderId="0" xfId="0" applyFont="1"/>
    <xf numFmtId="168" fontId="29" fillId="9" borderId="22" xfId="0" applyNumberFormat="1" applyFont="1" applyFill="1" applyBorder="1" applyAlignment="1">
      <alignment horizontal="center" vertical="center"/>
    </xf>
    <xf numFmtId="168" fontId="29" fillId="9" borderId="53" xfId="0" applyNumberFormat="1" applyFont="1" applyFill="1" applyBorder="1" applyAlignment="1">
      <alignment horizontal="center" vertical="center"/>
    </xf>
    <xf numFmtId="0" fontId="40" fillId="0" borderId="14" xfId="0" applyFont="1" applyBorder="1"/>
    <xf numFmtId="0" fontId="29" fillId="0" borderId="9" xfId="0" applyFont="1" applyBorder="1" applyAlignment="1">
      <alignment horizontal="center" vertical="center"/>
    </xf>
    <xf numFmtId="4" fontId="39" fillId="0" borderId="9" xfId="0" applyNumberFormat="1" applyFont="1" applyBorder="1" applyAlignment="1">
      <alignment horizontal="center" vertical="center"/>
    </xf>
    <xf numFmtId="4" fontId="39" fillId="0" borderId="8" xfId="0" applyNumberFormat="1" applyFont="1" applyBorder="1" applyAlignment="1">
      <alignment horizontal="center" vertical="center"/>
    </xf>
    <xf numFmtId="4" fontId="39" fillId="0" borderId="26" xfId="0" applyNumberFormat="1" applyFont="1" applyBorder="1" applyAlignment="1">
      <alignment horizontal="center" vertical="center"/>
    </xf>
    <xf numFmtId="168" fontId="29" fillId="0" borderId="9" xfId="0" applyNumberFormat="1" applyFont="1" applyBorder="1" applyAlignment="1">
      <alignment horizontal="center" vertical="center"/>
    </xf>
    <xf numFmtId="168" fontId="29" fillId="0" borderId="8" xfId="0" applyNumberFormat="1" applyFont="1" applyBorder="1" applyAlignment="1">
      <alignment horizontal="center" vertical="center"/>
    </xf>
    <xf numFmtId="168" fontId="29" fillId="0" borderId="26" xfId="0" applyNumberFormat="1" applyFont="1" applyBorder="1" applyAlignment="1">
      <alignment horizontal="center" vertical="center"/>
    </xf>
    <xf numFmtId="165" fontId="29" fillId="0" borderId="54" xfId="0" applyNumberFormat="1" applyFont="1" applyBorder="1" applyAlignment="1">
      <alignment horizontal="center" vertical="center"/>
    </xf>
    <xf numFmtId="165" fontId="29" fillId="0" borderId="2" xfId="0" applyNumberFormat="1" applyFont="1" applyBorder="1" applyAlignment="1">
      <alignment horizontal="center" vertical="center"/>
    </xf>
    <xf numFmtId="165" fontId="29" fillId="0" borderId="62" xfId="0" applyNumberFormat="1" applyFont="1" applyBorder="1" applyAlignment="1">
      <alignment horizontal="center" vertical="center"/>
    </xf>
    <xf numFmtId="168" fontId="11" fillId="0" borderId="12" xfId="0" applyNumberFormat="1" applyFont="1" applyBorder="1" applyAlignment="1">
      <alignment horizontal="center" vertical="center"/>
    </xf>
    <xf numFmtId="168" fontId="11" fillId="0" borderId="15" xfId="0" applyNumberFormat="1" applyFont="1" applyBorder="1" applyAlignment="1">
      <alignment horizontal="center" vertical="center"/>
    </xf>
    <xf numFmtId="168" fontId="11" fillId="0" borderId="23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10" fillId="0" borderId="21" xfId="0" applyFont="1" applyBorder="1" applyAlignment="1">
      <alignment horizontal="center" vertical="center"/>
    </xf>
    <xf numFmtId="0" fontId="10" fillId="0" borderId="22" xfId="0" applyFont="1" applyBorder="1" applyAlignment="1">
      <alignment horizontal="center" vertical="center"/>
    </xf>
    <xf numFmtId="0" fontId="10" fillId="8" borderId="16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4" fontId="29" fillId="0" borderId="56" xfId="0" applyNumberFormat="1" applyFont="1" applyBorder="1" applyAlignment="1">
      <alignment horizontal="center" vertical="center"/>
    </xf>
    <xf numFmtId="4" fontId="29" fillId="0" borderId="27" xfId="0" applyNumberFormat="1" applyFont="1" applyBorder="1" applyAlignment="1">
      <alignment horizontal="center" vertical="center"/>
    </xf>
    <xf numFmtId="4" fontId="29" fillId="0" borderId="37" xfId="0" applyNumberFormat="1" applyFont="1" applyBorder="1" applyAlignment="1">
      <alignment horizontal="center" vertical="center"/>
    </xf>
    <xf numFmtId="0" fontId="10" fillId="9" borderId="16" xfId="0" applyFont="1" applyFill="1" applyBorder="1" applyAlignment="1">
      <alignment horizontal="center" vertical="center"/>
    </xf>
    <xf numFmtId="4" fontId="11" fillId="0" borderId="56" xfId="0" applyNumberFormat="1" applyFont="1" applyBorder="1" applyAlignment="1">
      <alignment horizontal="center" vertical="center"/>
    </xf>
    <xf numFmtId="4" fontId="11" fillId="0" borderId="27" xfId="0" applyNumberFormat="1" applyFont="1" applyBorder="1" applyAlignment="1">
      <alignment horizontal="center" vertical="center"/>
    </xf>
    <xf numFmtId="4" fontId="11" fillId="0" borderId="37" xfId="0" applyNumberFormat="1" applyFont="1" applyBorder="1" applyAlignment="1">
      <alignment horizontal="center" vertical="center"/>
    </xf>
    <xf numFmtId="0" fontId="22" fillId="9" borderId="48" xfId="0" applyFont="1" applyFill="1" applyBorder="1" applyAlignment="1">
      <alignment horizontal="center" vertical="center"/>
    </xf>
    <xf numFmtId="0" fontId="22" fillId="9" borderId="64" xfId="0" applyFont="1" applyFill="1" applyBorder="1" applyAlignment="1">
      <alignment horizontal="center" vertical="center"/>
    </xf>
    <xf numFmtId="0" fontId="22" fillId="9" borderId="65" xfId="0" applyFont="1" applyFill="1" applyBorder="1" applyAlignment="1">
      <alignment horizontal="center" vertical="center"/>
    </xf>
    <xf numFmtId="0" fontId="22" fillId="9" borderId="53" xfId="0" applyFont="1" applyFill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4" fontId="39" fillId="0" borderId="56" xfId="0" applyNumberFormat="1" applyFont="1" applyBorder="1" applyAlignment="1">
      <alignment horizontal="center" vertical="center"/>
    </xf>
    <xf numFmtId="4" fontId="39" fillId="0" borderId="27" xfId="0" applyNumberFormat="1" applyFont="1" applyBorder="1" applyAlignment="1">
      <alignment horizontal="center" vertical="center"/>
    </xf>
    <xf numFmtId="4" fontId="39" fillId="0" borderId="37" xfId="0" applyNumberFormat="1" applyFont="1" applyBorder="1" applyAlignment="1">
      <alignment horizontal="center" vertical="center"/>
    </xf>
    <xf numFmtId="4" fontId="11" fillId="0" borderId="17" xfId="0" applyNumberFormat="1" applyFont="1" applyBorder="1" applyAlignment="1">
      <alignment horizontal="center" vertical="center"/>
    </xf>
    <xf numFmtId="4" fontId="11" fillId="0" borderId="66" xfId="0" applyNumberFormat="1" applyFont="1" applyBorder="1" applyAlignment="1">
      <alignment horizontal="center" vertical="center"/>
    </xf>
    <xf numFmtId="4" fontId="11" fillId="0" borderId="18" xfId="0" applyNumberFormat="1" applyFont="1" applyBorder="1" applyAlignment="1">
      <alignment horizontal="center" vertical="center"/>
    </xf>
    <xf numFmtId="0" fontId="29" fillId="0" borderId="0" xfId="0" applyFont="1" applyAlignment="1">
      <alignment horizontal="left" vertical="center"/>
    </xf>
    <xf numFmtId="4" fontId="29" fillId="0" borderId="0" xfId="0" applyNumberFormat="1" applyFont="1" applyAlignment="1">
      <alignment horizontal="left" vertical="center"/>
    </xf>
    <xf numFmtId="0" fontId="6" fillId="0" borderId="36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40" xfId="0" applyFont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/>
    </xf>
    <xf numFmtId="0" fontId="10" fillId="0" borderId="43" xfId="0" applyFont="1" applyBorder="1" applyAlignment="1">
      <alignment horizontal="center" vertical="center"/>
    </xf>
    <xf numFmtId="3" fontId="40" fillId="0" borderId="44" xfId="0" applyNumberFormat="1" applyFont="1" applyBorder="1" applyAlignment="1">
      <alignment horizontal="center" vertical="center"/>
    </xf>
    <xf numFmtId="0" fontId="40" fillId="0" borderId="39" xfId="0" applyFont="1" applyBorder="1" applyAlignment="1">
      <alignment horizontal="center" vertical="center"/>
    </xf>
    <xf numFmtId="9" fontId="40" fillId="0" borderId="39" xfId="0" applyNumberFormat="1" applyFont="1" applyBorder="1" applyAlignment="1">
      <alignment horizontal="center" vertical="center"/>
    </xf>
    <xf numFmtId="164" fontId="40" fillId="0" borderId="39" xfId="0" applyNumberFormat="1" applyFont="1" applyBorder="1" applyAlignment="1">
      <alignment horizontal="center" vertical="center"/>
    </xf>
    <xf numFmtId="164" fontId="40" fillId="0" borderId="0" xfId="0" applyNumberFormat="1" applyFont="1" applyAlignment="1">
      <alignment horizontal="center" vertical="center"/>
    </xf>
    <xf numFmtId="164" fontId="40" fillId="0" borderId="13" xfId="0" applyNumberFormat="1" applyFont="1" applyBorder="1" applyAlignment="1">
      <alignment horizontal="center" vertical="center"/>
    </xf>
    <xf numFmtId="164" fontId="40" fillId="0" borderId="51" xfId="0" applyNumberFormat="1" applyFont="1" applyBorder="1" applyAlignment="1">
      <alignment horizontal="center" vertical="center"/>
    </xf>
    <xf numFmtId="164" fontId="40" fillId="0" borderId="28" xfId="0" applyNumberFormat="1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3" fontId="40" fillId="0" borderId="45" xfId="0" applyNumberFormat="1" applyFont="1" applyBorder="1" applyAlignment="1">
      <alignment horizontal="center" vertical="center"/>
    </xf>
    <xf numFmtId="0" fontId="40" fillId="0" borderId="6" xfId="0" applyFont="1" applyBorder="1" applyAlignment="1">
      <alignment horizontal="center" vertical="center"/>
    </xf>
    <xf numFmtId="9" fontId="40" fillId="0" borderId="6" xfId="0" applyNumberFormat="1" applyFont="1" applyBorder="1" applyAlignment="1">
      <alignment horizontal="center" vertical="center"/>
    </xf>
    <xf numFmtId="164" fontId="40" fillId="0" borderId="6" xfId="0" applyNumberFormat="1" applyFont="1" applyBorder="1" applyAlignment="1">
      <alignment horizontal="center" vertical="center"/>
    </xf>
    <xf numFmtId="164" fontId="40" fillId="0" borderId="4" xfId="0" applyNumberFormat="1" applyFont="1" applyBorder="1" applyAlignment="1">
      <alignment horizontal="center" vertical="center"/>
    </xf>
    <xf numFmtId="164" fontId="40" fillId="0" borderId="21" xfId="0" applyNumberFormat="1" applyFont="1" applyBorder="1" applyAlignment="1">
      <alignment horizontal="center" vertical="center"/>
    </xf>
    <xf numFmtId="3" fontId="40" fillId="0" borderId="59" xfId="0" applyNumberFormat="1" applyFont="1" applyBorder="1" applyAlignment="1">
      <alignment horizontal="center" vertical="center"/>
    </xf>
    <xf numFmtId="0" fontId="40" fillId="0" borderId="8" xfId="0" applyFont="1" applyBorder="1" applyAlignment="1">
      <alignment horizontal="center" vertical="center"/>
    </xf>
    <xf numFmtId="9" fontId="40" fillId="0" borderId="8" xfId="0" applyNumberFormat="1" applyFont="1" applyBorder="1" applyAlignment="1">
      <alignment horizontal="center" vertical="center"/>
    </xf>
    <xf numFmtId="164" fontId="40" fillId="0" borderId="8" xfId="0" applyNumberFormat="1" applyFont="1" applyBorder="1" applyAlignment="1">
      <alignment horizontal="center" vertical="center"/>
    </xf>
    <xf numFmtId="164" fontId="40" fillId="0" borderId="9" xfId="0" applyNumberFormat="1" applyFont="1" applyBorder="1" applyAlignment="1">
      <alignment horizontal="center" vertical="center"/>
    </xf>
    <xf numFmtId="164" fontId="40" fillId="0" borderId="32" xfId="0" applyNumberFormat="1" applyFont="1" applyBorder="1" applyAlignment="1">
      <alignment horizontal="center" vertical="center"/>
    </xf>
    <xf numFmtId="0" fontId="22" fillId="0" borderId="34" xfId="0" applyFont="1" applyBorder="1" applyAlignment="1">
      <alignment horizontal="center" vertical="center"/>
    </xf>
    <xf numFmtId="3" fontId="39" fillId="0" borderId="46" xfId="0" applyNumberFormat="1" applyFont="1" applyBorder="1" applyAlignment="1">
      <alignment horizontal="center" vertical="center"/>
    </xf>
    <xf numFmtId="0" fontId="39" fillId="0" borderId="15" xfId="0" applyFont="1" applyBorder="1" applyAlignment="1">
      <alignment horizontal="center" vertical="center"/>
    </xf>
    <xf numFmtId="9" fontId="39" fillId="0" borderId="15" xfId="0" applyNumberFormat="1" applyFont="1" applyBorder="1" applyAlignment="1">
      <alignment horizontal="center" vertical="center"/>
    </xf>
    <xf numFmtId="164" fontId="39" fillId="0" borderId="15" xfId="0" applyNumberFormat="1" applyFont="1" applyBorder="1" applyAlignment="1">
      <alignment horizontal="center" vertical="center"/>
    </xf>
    <xf numFmtId="164" fontId="39" fillId="0" borderId="12" xfId="0" applyNumberFormat="1" applyFont="1" applyBorder="1" applyAlignment="1">
      <alignment horizontal="center" vertical="center"/>
    </xf>
    <xf numFmtId="164" fontId="39" fillId="0" borderId="22" xfId="0" applyNumberFormat="1" applyFont="1" applyBorder="1" applyAlignment="1">
      <alignment horizontal="center" vertical="center"/>
    </xf>
    <xf numFmtId="0" fontId="10" fillId="0" borderId="58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3" fontId="39" fillId="0" borderId="57" xfId="0" applyNumberFormat="1" applyFont="1" applyBorder="1" applyAlignment="1">
      <alignment horizontal="center" vertical="center"/>
    </xf>
    <xf numFmtId="0" fontId="39" fillId="0" borderId="10" xfId="0" applyFont="1" applyBorder="1" applyAlignment="1">
      <alignment horizontal="center" vertical="center"/>
    </xf>
    <xf numFmtId="9" fontId="39" fillId="0" borderId="10" xfId="0" applyNumberFormat="1" applyFont="1" applyBorder="1" applyAlignment="1">
      <alignment horizontal="center" vertical="center"/>
    </xf>
    <xf numFmtId="164" fontId="39" fillId="0" borderId="10" xfId="0" applyNumberFormat="1" applyFont="1" applyBorder="1" applyAlignment="1">
      <alignment horizontal="center" vertical="center"/>
    </xf>
    <xf numFmtId="164" fontId="39" fillId="0" borderId="55" xfId="0" applyNumberFormat="1" applyFont="1" applyBorder="1" applyAlignment="1">
      <alignment horizontal="center" vertical="center"/>
    </xf>
    <xf numFmtId="164" fontId="39" fillId="0" borderId="25" xfId="0" applyNumberFormat="1" applyFont="1" applyBorder="1" applyAlignment="1">
      <alignment horizontal="center" vertical="center"/>
    </xf>
    <xf numFmtId="164" fontId="39" fillId="0" borderId="67" xfId="0" applyNumberFormat="1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10" fillId="0" borderId="33" xfId="0" applyFont="1" applyBorder="1" applyAlignment="1">
      <alignment horizontal="center" vertical="center"/>
    </xf>
    <xf numFmtId="3" fontId="40" fillId="0" borderId="56" xfId="0" applyNumberFormat="1" applyFont="1" applyBorder="1" applyAlignment="1">
      <alignment horizontal="center" vertical="center"/>
    </xf>
    <xf numFmtId="0" fontId="40" fillId="0" borderId="27" xfId="0" applyFont="1" applyBorder="1" applyAlignment="1">
      <alignment horizontal="center" vertical="center"/>
    </xf>
    <xf numFmtId="9" fontId="40" fillId="0" borderId="27" xfId="0" applyNumberFormat="1" applyFont="1" applyBorder="1" applyAlignment="1">
      <alignment horizontal="center" vertical="center"/>
    </xf>
    <xf numFmtId="164" fontId="40" fillId="0" borderId="27" xfId="0" applyNumberFormat="1" applyFont="1" applyBorder="1" applyAlignment="1">
      <alignment horizontal="center" vertical="center"/>
    </xf>
    <xf numFmtId="164" fontId="40" fillId="0" borderId="35" xfId="0" applyNumberFormat="1" applyFont="1" applyBorder="1" applyAlignment="1">
      <alignment horizontal="center" vertical="center"/>
    </xf>
    <xf numFmtId="164" fontId="40" fillId="0" borderId="38" xfId="0" applyNumberFormat="1" applyFont="1" applyBorder="1" applyAlignment="1">
      <alignment horizontal="center" vertical="center"/>
    </xf>
    <xf numFmtId="0" fontId="39" fillId="0" borderId="46" xfId="0" applyFont="1" applyBorder="1" applyAlignment="1">
      <alignment horizontal="center" vertical="center"/>
    </xf>
    <xf numFmtId="3" fontId="39" fillId="9" borderId="19" xfId="0" applyNumberFormat="1" applyFont="1" applyFill="1" applyBorder="1" applyAlignment="1">
      <alignment horizontal="center" vertical="center"/>
    </xf>
    <xf numFmtId="9" fontId="39" fillId="9" borderId="19" xfId="0" applyNumberFormat="1" applyFont="1" applyFill="1" applyBorder="1" applyAlignment="1">
      <alignment horizontal="center" vertical="center"/>
    </xf>
    <xf numFmtId="164" fontId="39" fillId="9" borderId="19" xfId="0" applyNumberFormat="1" applyFont="1" applyFill="1" applyBorder="1" applyAlignment="1">
      <alignment horizontal="center" vertical="center"/>
    </xf>
    <xf numFmtId="164" fontId="39" fillId="9" borderId="16" xfId="0" applyNumberFormat="1" applyFont="1" applyFill="1" applyBorder="1" applyAlignment="1">
      <alignment horizontal="center" vertical="center"/>
    </xf>
    <xf numFmtId="164" fontId="39" fillId="9" borderId="40" xfId="0" applyNumberFormat="1" applyFont="1" applyFill="1" applyBorder="1" applyAlignment="1">
      <alignment horizontal="center" vertical="center"/>
    </xf>
    <xf numFmtId="0" fontId="8" fillId="0" borderId="36" xfId="0" applyFont="1" applyBorder="1" applyAlignment="1">
      <alignment horizontal="center" vertical="center"/>
    </xf>
    <xf numFmtId="0" fontId="10" fillId="0" borderId="11" xfId="0" applyFont="1" applyBorder="1" applyAlignment="1">
      <alignment horizontal="center" vertical="center"/>
    </xf>
    <xf numFmtId="0" fontId="10" fillId="0" borderId="40" xfId="0" applyFont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10" fillId="0" borderId="28" xfId="0" applyFont="1" applyBorder="1" applyAlignment="1">
      <alignment horizontal="center" vertical="center"/>
    </xf>
    <xf numFmtId="164" fontId="40" fillId="0" borderId="44" xfId="0" applyNumberFormat="1" applyFont="1" applyBorder="1" applyAlignment="1">
      <alignment horizontal="center" vertical="center"/>
    </xf>
    <xf numFmtId="164" fontId="40" fillId="0" borderId="43" xfId="0" applyNumberFormat="1" applyFont="1" applyBorder="1" applyAlignment="1">
      <alignment horizontal="center" vertical="center"/>
    </xf>
    <xf numFmtId="164" fontId="40" fillId="0" borderId="45" xfId="0" applyNumberFormat="1" applyFont="1" applyBorder="1" applyAlignment="1">
      <alignment horizontal="center" vertical="center"/>
    </xf>
    <xf numFmtId="164" fontId="40" fillId="0" borderId="48" xfId="0" applyNumberFormat="1" applyFont="1" applyBorder="1" applyAlignment="1">
      <alignment horizontal="center" vertical="center"/>
    </xf>
    <xf numFmtId="164" fontId="40" fillId="0" borderId="59" xfId="0" applyNumberFormat="1" applyFont="1" applyBorder="1" applyAlignment="1">
      <alignment horizontal="center" vertical="center"/>
    </xf>
    <xf numFmtId="164" fontId="40" fillId="0" borderId="58" xfId="0" applyNumberFormat="1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164" fontId="39" fillId="0" borderId="46" xfId="0" applyNumberFormat="1" applyFont="1" applyBorder="1" applyAlignment="1">
      <alignment horizontal="center" vertical="center"/>
    </xf>
    <xf numFmtId="164" fontId="39" fillId="0" borderId="53" xfId="0" applyNumberFormat="1" applyFont="1" applyBorder="1" applyAlignment="1">
      <alignment horizontal="center" vertical="center"/>
    </xf>
    <xf numFmtId="164" fontId="22" fillId="0" borderId="0" xfId="0" applyNumberFormat="1" applyFont="1" applyAlignment="1">
      <alignment horizontal="center" vertical="center"/>
    </xf>
    <xf numFmtId="164" fontId="40" fillId="0" borderId="56" xfId="0" applyNumberFormat="1" applyFont="1" applyBorder="1" applyAlignment="1">
      <alignment horizontal="center" vertical="center"/>
    </xf>
    <xf numFmtId="164" fontId="40" fillId="0" borderId="33" xfId="0" applyNumberFormat="1" applyFont="1" applyBorder="1" applyAlignment="1">
      <alignment horizontal="center" vertical="center"/>
    </xf>
    <xf numFmtId="164" fontId="39" fillId="0" borderId="57" xfId="0" applyNumberFormat="1" applyFont="1" applyBorder="1" applyAlignment="1">
      <alignment horizontal="center" vertical="center"/>
    </xf>
    <xf numFmtId="164" fontId="39" fillId="0" borderId="34" xfId="0" applyNumberFormat="1" applyFont="1" applyBorder="1" applyAlignment="1">
      <alignment horizontal="center" vertical="center"/>
    </xf>
    <xf numFmtId="164" fontId="39" fillId="9" borderId="46" xfId="0" applyNumberFormat="1" applyFont="1" applyFill="1" applyBorder="1" applyAlignment="1">
      <alignment horizontal="center" vertical="center"/>
    </xf>
    <xf numFmtId="164" fontId="39" fillId="9" borderId="53" xfId="0" applyNumberFormat="1" applyFont="1" applyFill="1" applyBorder="1" applyAlignment="1">
      <alignment horizontal="center" vertical="center"/>
    </xf>
    <xf numFmtId="164" fontId="39" fillId="9" borderId="22" xfId="0" applyNumberFormat="1" applyFont="1" applyFill="1" applyBorder="1" applyAlignment="1">
      <alignment horizontal="center" vertical="center"/>
    </xf>
    <xf numFmtId="0" fontId="0" fillId="0" borderId="11" xfId="0" applyBorder="1"/>
    <xf numFmtId="0" fontId="10" fillId="8" borderId="19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 vertical="center"/>
    </xf>
    <xf numFmtId="0" fontId="38" fillId="8" borderId="40" xfId="0" applyFont="1" applyFill="1" applyBorder="1" applyAlignment="1">
      <alignment horizontal="center" vertical="center"/>
    </xf>
    <xf numFmtId="0" fontId="0" fillId="8" borderId="20" xfId="0" applyFill="1" applyBorder="1"/>
    <xf numFmtId="0" fontId="22" fillId="9" borderId="19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center" vertical="center"/>
    </xf>
    <xf numFmtId="0" fontId="22" fillId="10" borderId="16" xfId="0" applyFont="1" applyFill="1" applyBorder="1" applyAlignment="1">
      <alignment horizontal="center" vertical="center"/>
    </xf>
    <xf numFmtId="0" fontId="22" fillId="9" borderId="47" xfId="0" applyFon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9" fontId="18" fillId="0" borderId="13" xfId="0" applyNumberFormat="1" applyFont="1" applyBorder="1" applyAlignment="1">
      <alignment horizontal="center" vertical="center"/>
    </xf>
    <xf numFmtId="9" fontId="18" fillId="0" borderId="28" xfId="0" applyNumberFormat="1" applyFont="1" applyBorder="1" applyAlignment="1">
      <alignment horizontal="center" vertical="center"/>
    </xf>
    <xf numFmtId="164" fontId="6" fillId="0" borderId="0" xfId="0" applyNumberFormat="1" applyFont="1"/>
    <xf numFmtId="0" fontId="18" fillId="0" borderId="59" xfId="0" applyFont="1" applyBorder="1" applyAlignment="1">
      <alignment horizontal="center" vertical="center"/>
    </xf>
    <xf numFmtId="9" fontId="18" fillId="0" borderId="9" xfId="0" applyNumberFormat="1" applyFont="1" applyBorder="1" applyAlignment="1">
      <alignment horizontal="center" vertical="center"/>
    </xf>
    <xf numFmtId="9" fontId="9" fillId="0" borderId="15" xfId="0" applyNumberFormat="1" applyFont="1" applyBorder="1" applyAlignment="1">
      <alignment horizontal="center" vertical="center"/>
    </xf>
    <xf numFmtId="164" fontId="8" fillId="0" borderId="0" xfId="0" applyNumberFormat="1" applyFont="1"/>
    <xf numFmtId="9" fontId="9" fillId="0" borderId="55" xfId="0" applyNumberFormat="1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56" xfId="0" applyFont="1" applyBorder="1" applyAlignment="1">
      <alignment horizontal="center" vertical="center"/>
    </xf>
    <xf numFmtId="0" fontId="18" fillId="0" borderId="27" xfId="0" applyFont="1" applyBorder="1" applyAlignment="1">
      <alignment horizontal="center" vertical="center"/>
    </xf>
    <xf numFmtId="166" fontId="9" fillId="9" borderId="16" xfId="0" applyNumberFormat="1" applyFont="1" applyFill="1" applyBorder="1" applyAlignment="1">
      <alignment horizontal="center" vertical="center"/>
    </xf>
    <xf numFmtId="9" fontId="9" fillId="9" borderId="16" xfId="0" applyNumberFormat="1" applyFont="1" applyFill="1" applyBorder="1" applyAlignment="1">
      <alignment horizontal="center" vertical="center"/>
    </xf>
    <xf numFmtId="164" fontId="9" fillId="9" borderId="10" xfId="0" applyNumberFormat="1" applyFont="1" applyFill="1" applyBorder="1" applyAlignment="1">
      <alignment horizontal="center" vertical="center"/>
    </xf>
    <xf numFmtId="0" fontId="8" fillId="0" borderId="36" xfId="0" applyFont="1" applyBorder="1"/>
    <xf numFmtId="0" fontId="8" fillId="0" borderId="11" xfId="0" applyFont="1" applyBorder="1" applyAlignment="1">
      <alignment horizontal="center" vertical="center"/>
    </xf>
    <xf numFmtId="0" fontId="8" fillId="0" borderId="40" xfId="0" applyFont="1" applyBorder="1" applyAlignment="1">
      <alignment horizontal="center" vertical="center"/>
    </xf>
    <xf numFmtId="0" fontId="22" fillId="9" borderId="30" xfId="0" applyFont="1" applyFill="1" applyBorder="1" applyAlignment="1">
      <alignment horizontal="center"/>
    </xf>
    <xf numFmtId="0" fontId="22" fillId="9" borderId="53" xfId="0" applyFont="1" applyFill="1" applyBorder="1" applyAlignment="1">
      <alignment horizontal="center"/>
    </xf>
    <xf numFmtId="3" fontId="29" fillId="0" borderId="56" xfId="0" applyNumberFormat="1" applyFont="1" applyBorder="1" applyAlignment="1">
      <alignment horizontal="center" vertical="center"/>
    </xf>
    <xf numFmtId="3" fontId="29" fillId="0" borderId="38" xfId="0" applyNumberFormat="1" applyFont="1" applyBorder="1" applyAlignment="1">
      <alignment horizontal="center" vertical="center"/>
    </xf>
    <xf numFmtId="3" fontId="11" fillId="0" borderId="45" xfId="0" applyNumberFormat="1" applyFont="1" applyBorder="1" applyAlignment="1">
      <alignment horizontal="center" vertical="center"/>
    </xf>
    <xf numFmtId="3" fontId="11" fillId="0" borderId="21" xfId="0" applyNumberFormat="1" applyFont="1" applyBorder="1" applyAlignment="1">
      <alignment horizontal="center" vertical="center"/>
    </xf>
    <xf numFmtId="3" fontId="11" fillId="0" borderId="46" xfId="0" applyNumberFormat="1" applyFont="1" applyBorder="1" applyAlignment="1">
      <alignment horizontal="center" vertical="center"/>
    </xf>
    <xf numFmtId="3" fontId="11" fillId="0" borderId="22" xfId="0" applyNumberFormat="1" applyFont="1" applyBorder="1" applyAlignment="1">
      <alignment horizontal="center" vertical="center"/>
    </xf>
    <xf numFmtId="3" fontId="29" fillId="0" borderId="44" xfId="0" applyNumberFormat="1" applyFont="1" applyBorder="1" applyAlignment="1">
      <alignment horizontal="center" vertical="center"/>
    </xf>
    <xf numFmtId="3" fontId="11" fillId="0" borderId="68" xfId="0" applyNumberFormat="1" applyFont="1" applyBorder="1" applyAlignment="1">
      <alignment horizontal="center" vertical="center"/>
    </xf>
    <xf numFmtId="3" fontId="29" fillId="0" borderId="21" xfId="0" applyNumberFormat="1" applyFont="1" applyBorder="1" applyAlignment="1">
      <alignment horizontal="center" vertical="center"/>
    </xf>
    <xf numFmtId="3" fontId="11" fillId="0" borderId="69" xfId="0" applyNumberFormat="1" applyFont="1" applyBorder="1" applyAlignment="1">
      <alignment horizontal="center" vertical="center"/>
    </xf>
    <xf numFmtId="3" fontId="29" fillId="9" borderId="16" xfId="0" applyNumberFormat="1" applyFont="1" applyFill="1" applyBorder="1" applyAlignment="1">
      <alignment horizontal="center" vertical="center"/>
    </xf>
    <xf numFmtId="3" fontId="29" fillId="9" borderId="22" xfId="0" applyNumberFormat="1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30" fillId="0" borderId="11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9" borderId="20" xfId="0" applyFont="1" applyFill="1" applyBorder="1" applyAlignment="1">
      <alignment horizontal="center" vertical="center"/>
    </xf>
    <xf numFmtId="0" fontId="30" fillId="10" borderId="16" xfId="0" applyFont="1" applyFill="1" applyBorder="1" applyAlignment="1">
      <alignment horizontal="center" vertical="center"/>
    </xf>
    <xf numFmtId="0" fontId="30" fillId="10" borderId="40" xfId="0" applyFont="1" applyFill="1" applyBorder="1" applyAlignment="1">
      <alignment horizontal="center" vertical="center"/>
    </xf>
    <xf numFmtId="0" fontId="33" fillId="0" borderId="43" xfId="0" applyFont="1" applyBorder="1" applyAlignment="1">
      <alignment horizontal="center" vertical="center"/>
    </xf>
    <xf numFmtId="3" fontId="40" fillId="0" borderId="39" xfId="0" applyNumberFormat="1" applyFont="1" applyBorder="1" applyAlignment="1">
      <alignment horizontal="center" vertical="center"/>
    </xf>
    <xf numFmtId="9" fontId="40" fillId="0" borderId="21" xfId="0" applyNumberFormat="1" applyFont="1" applyBorder="1" applyAlignment="1">
      <alignment horizontal="center" vertical="center"/>
    </xf>
    <xf numFmtId="0" fontId="33" fillId="0" borderId="48" xfId="0" applyFont="1" applyBorder="1" applyAlignment="1">
      <alignment horizontal="center" vertical="center"/>
    </xf>
    <xf numFmtId="3" fontId="40" fillId="0" borderId="6" xfId="0" applyNumberFormat="1" applyFont="1" applyBorder="1" applyAlignment="1">
      <alignment horizontal="center" vertical="center"/>
    </xf>
    <xf numFmtId="0" fontId="33" fillId="0" borderId="58" xfId="0" applyFont="1" applyBorder="1" applyAlignment="1">
      <alignment horizontal="center" vertical="center"/>
    </xf>
    <xf numFmtId="3" fontId="40" fillId="0" borderId="8" xfId="0" applyNumberFormat="1" applyFont="1" applyBorder="1" applyAlignment="1">
      <alignment horizontal="center" vertical="center"/>
    </xf>
    <xf numFmtId="9" fontId="40" fillId="0" borderId="32" xfId="0" applyNumberFormat="1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3" fontId="39" fillId="0" borderId="15" xfId="0" applyNumberFormat="1" applyFont="1" applyBorder="1" applyAlignment="1">
      <alignment horizontal="center" vertical="center"/>
    </xf>
    <xf numFmtId="9" fontId="39" fillId="0" borderId="22" xfId="0" applyNumberFormat="1" applyFont="1" applyBorder="1" applyAlignment="1">
      <alignment horizontal="center" vertical="center"/>
    </xf>
    <xf numFmtId="0" fontId="33" fillId="0" borderId="33" xfId="0" applyFont="1" applyBorder="1" applyAlignment="1">
      <alignment horizontal="center" vertical="center"/>
    </xf>
    <xf numFmtId="3" fontId="40" fillId="0" borderId="27" xfId="0" applyNumberFormat="1" applyFont="1" applyBorder="1" applyAlignment="1">
      <alignment horizontal="center" vertical="center"/>
    </xf>
    <xf numFmtId="9" fontId="40" fillId="0" borderId="38" xfId="0" applyNumberFormat="1" applyFont="1" applyBorder="1" applyAlignment="1">
      <alignment horizontal="center" vertical="center"/>
    </xf>
    <xf numFmtId="9" fontId="39" fillId="9" borderId="16" xfId="0" applyNumberFormat="1" applyFont="1" applyFill="1" applyBorder="1" applyAlignment="1">
      <alignment horizontal="center" vertical="center"/>
    </xf>
    <xf numFmtId="0" fontId="10" fillId="10" borderId="16" xfId="0" applyFont="1" applyFill="1" applyBorder="1" applyAlignment="1">
      <alignment horizontal="center" vertical="center" wrapText="1"/>
    </xf>
    <xf numFmtId="3" fontId="11" fillId="0" borderId="44" xfId="0" applyNumberFormat="1" applyFont="1" applyBorder="1" applyAlignment="1">
      <alignment horizontal="center" vertical="center"/>
    </xf>
    <xf numFmtId="3" fontId="11" fillId="0" borderId="39" xfId="0" applyNumberFormat="1" applyFont="1" applyBorder="1" applyAlignment="1">
      <alignment horizontal="center" vertical="center"/>
    </xf>
    <xf numFmtId="9" fontId="11" fillId="0" borderId="39" xfId="0" applyNumberFormat="1" applyFont="1" applyBorder="1" applyAlignment="1">
      <alignment horizontal="center" vertical="center"/>
    </xf>
    <xf numFmtId="164" fontId="11" fillId="0" borderId="39" xfId="0" applyNumberFormat="1" applyFont="1" applyBorder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164" fontId="11" fillId="0" borderId="13" xfId="0" applyNumberFormat="1" applyFont="1" applyBorder="1" applyAlignment="1">
      <alignment horizontal="center" vertical="center"/>
    </xf>
    <xf numFmtId="164" fontId="11" fillId="0" borderId="51" xfId="0" applyNumberFormat="1" applyFont="1" applyBorder="1" applyAlignment="1">
      <alignment horizontal="center" vertical="center"/>
    </xf>
    <xf numFmtId="164" fontId="11" fillId="0" borderId="28" xfId="0" applyNumberFormat="1" applyFont="1" applyBorder="1" applyAlignment="1">
      <alignment horizontal="center" vertical="center"/>
    </xf>
    <xf numFmtId="3" fontId="11" fillId="0" borderId="6" xfId="0" applyNumberFormat="1" applyFont="1" applyBorder="1" applyAlignment="1">
      <alignment horizontal="center" vertical="center"/>
    </xf>
    <xf numFmtId="9" fontId="11" fillId="0" borderId="6" xfId="0" applyNumberFormat="1" applyFont="1" applyBorder="1" applyAlignment="1">
      <alignment horizontal="center" vertical="center"/>
    </xf>
    <xf numFmtId="164" fontId="11" fillId="0" borderId="6" xfId="0" applyNumberFormat="1" applyFont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 vertical="center"/>
    </xf>
    <xf numFmtId="164" fontId="11" fillId="0" borderId="21" xfId="0" applyNumberFormat="1" applyFont="1" applyBorder="1" applyAlignment="1">
      <alignment horizontal="center" vertical="center"/>
    </xf>
    <xf numFmtId="3" fontId="11" fillId="0" borderId="59" xfId="0" applyNumberFormat="1" applyFont="1" applyBorder="1" applyAlignment="1">
      <alignment horizontal="center" vertical="center"/>
    </xf>
    <xf numFmtId="3" fontId="11" fillId="0" borderId="8" xfId="0" applyNumberFormat="1" applyFont="1" applyBorder="1" applyAlignment="1">
      <alignment horizontal="center" vertical="center"/>
    </xf>
    <xf numFmtId="9" fontId="11" fillId="0" borderId="8" xfId="0" applyNumberFormat="1" applyFont="1" applyBorder="1" applyAlignment="1">
      <alignment horizontal="center" vertical="center"/>
    </xf>
    <xf numFmtId="164" fontId="11" fillId="0" borderId="8" xfId="0" applyNumberFormat="1" applyFont="1" applyBorder="1" applyAlignment="1">
      <alignment horizontal="center" vertical="center"/>
    </xf>
    <xf numFmtId="164" fontId="11" fillId="0" borderId="9" xfId="0" applyNumberFormat="1" applyFont="1" applyBorder="1" applyAlignment="1">
      <alignment horizontal="center" vertical="center"/>
    </xf>
    <xf numFmtId="3" fontId="29" fillId="0" borderId="46" xfId="0" applyNumberFormat="1" applyFont="1" applyBorder="1" applyAlignment="1">
      <alignment horizontal="center" vertical="center"/>
    </xf>
    <xf numFmtId="3" fontId="29" fillId="0" borderId="15" xfId="0" applyNumberFormat="1" applyFont="1" applyBorder="1" applyAlignment="1">
      <alignment horizontal="center" vertical="center"/>
    </xf>
    <xf numFmtId="9" fontId="29" fillId="0" borderId="15" xfId="0" applyNumberFormat="1" applyFont="1" applyBorder="1" applyAlignment="1">
      <alignment horizontal="center" vertical="center"/>
    </xf>
    <xf numFmtId="164" fontId="29" fillId="0" borderId="15" xfId="0" applyNumberFormat="1" applyFont="1" applyBorder="1" applyAlignment="1">
      <alignment horizontal="center" vertical="center"/>
    </xf>
    <xf numFmtId="164" fontId="29" fillId="0" borderId="12" xfId="0" applyNumberFormat="1" applyFont="1" applyBorder="1" applyAlignment="1">
      <alignment horizontal="center" vertical="center"/>
    </xf>
    <xf numFmtId="164" fontId="29" fillId="0" borderId="10" xfId="0" applyNumberFormat="1" applyFont="1" applyBorder="1" applyAlignment="1">
      <alignment horizontal="center" vertical="center"/>
    </xf>
    <xf numFmtId="164" fontId="29" fillId="0" borderId="55" xfId="0" applyNumberFormat="1" applyFont="1" applyBorder="1" applyAlignment="1">
      <alignment horizontal="center" vertical="center"/>
    </xf>
    <xf numFmtId="164" fontId="29" fillId="0" borderId="42" xfId="0" applyNumberFormat="1" applyFont="1" applyBorder="1" applyAlignment="1">
      <alignment horizontal="center" vertical="center"/>
    </xf>
    <xf numFmtId="164" fontId="11" fillId="0" borderId="32" xfId="0" applyNumberFormat="1" applyFont="1" applyBorder="1" applyAlignment="1">
      <alignment horizontal="center" vertical="center"/>
    </xf>
    <xf numFmtId="164" fontId="29" fillId="0" borderId="22" xfId="0" applyNumberFormat="1" applyFont="1" applyBorder="1" applyAlignment="1">
      <alignment horizontal="center" vertical="center"/>
    </xf>
    <xf numFmtId="3" fontId="29" fillId="0" borderId="57" xfId="0" applyNumberFormat="1" applyFont="1" applyBorder="1" applyAlignment="1">
      <alignment horizontal="center" vertical="center"/>
    </xf>
    <xf numFmtId="3" fontId="29" fillId="0" borderId="10" xfId="0" applyNumberFormat="1" applyFont="1" applyBorder="1" applyAlignment="1">
      <alignment horizontal="center" vertical="center"/>
    </xf>
    <xf numFmtId="9" fontId="29" fillId="0" borderId="10" xfId="0" applyNumberFormat="1" applyFont="1" applyBorder="1" applyAlignment="1">
      <alignment horizontal="center" vertical="center"/>
    </xf>
    <xf numFmtId="164" fontId="29" fillId="0" borderId="25" xfId="0" applyNumberFormat="1" applyFont="1" applyBorder="1" applyAlignment="1">
      <alignment horizontal="center" vertical="center"/>
    </xf>
    <xf numFmtId="0" fontId="11" fillId="0" borderId="59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164" fontId="29" fillId="0" borderId="67" xfId="0" applyNumberFormat="1" applyFont="1" applyBorder="1" applyAlignment="1">
      <alignment horizontal="center" vertical="center"/>
    </xf>
    <xf numFmtId="3" fontId="11" fillId="0" borderId="56" xfId="0" applyNumberFormat="1" applyFont="1" applyBorder="1" applyAlignment="1">
      <alignment horizontal="center" vertical="center"/>
    </xf>
    <xf numFmtId="3" fontId="11" fillId="0" borderId="27" xfId="0" applyNumberFormat="1" applyFont="1" applyBorder="1" applyAlignment="1">
      <alignment horizontal="center" vertical="center"/>
    </xf>
    <xf numFmtId="9" fontId="11" fillId="0" borderId="27" xfId="0" applyNumberFormat="1" applyFont="1" applyBorder="1" applyAlignment="1">
      <alignment horizontal="center" vertical="center"/>
    </xf>
    <xf numFmtId="164" fontId="11" fillId="0" borderId="27" xfId="0" applyNumberFormat="1" applyFont="1" applyBorder="1" applyAlignment="1">
      <alignment horizontal="center" vertical="center"/>
    </xf>
    <xf numFmtId="164" fontId="11" fillId="0" borderId="35" xfId="0" applyNumberFormat="1" applyFont="1" applyBorder="1" applyAlignment="1">
      <alignment horizontal="center" vertical="center"/>
    </xf>
    <xf numFmtId="164" fontId="11" fillId="0" borderId="38" xfId="0" applyNumberFormat="1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3" fontId="29" fillId="9" borderId="19" xfId="0" applyNumberFormat="1" applyFont="1" applyFill="1" applyBorder="1" applyAlignment="1">
      <alignment horizontal="center" vertical="center"/>
    </xf>
    <xf numFmtId="9" fontId="29" fillId="9" borderId="19" xfId="0" applyNumberFormat="1" applyFont="1" applyFill="1" applyBorder="1" applyAlignment="1">
      <alignment horizontal="center" vertical="center"/>
    </xf>
    <xf numFmtId="164" fontId="29" fillId="9" borderId="19" xfId="0" applyNumberFormat="1" applyFont="1" applyFill="1" applyBorder="1" applyAlignment="1">
      <alignment horizontal="center" vertical="center"/>
    </xf>
    <xf numFmtId="164" fontId="29" fillId="9" borderId="16" xfId="0" applyNumberFormat="1" applyFont="1" applyFill="1" applyBorder="1" applyAlignment="1">
      <alignment horizontal="center" vertical="center"/>
    </xf>
    <xf numFmtId="164" fontId="29" fillId="9" borderId="40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0" fillId="11" borderId="0" xfId="0" applyFill="1"/>
    <xf numFmtId="0" fontId="42" fillId="0" borderId="0" xfId="0" applyFont="1" applyAlignment="1">
      <alignment vertical="center"/>
    </xf>
    <xf numFmtId="0" fontId="42" fillId="11" borderId="0" xfId="0" applyFont="1" applyFill="1" applyAlignment="1">
      <alignment horizontal="center" vertical="center"/>
    </xf>
    <xf numFmtId="0" fontId="43" fillId="11" borderId="0" xfId="0" applyFont="1" applyFill="1" applyAlignment="1">
      <alignment horizontal="center" vertical="center"/>
    </xf>
    <xf numFmtId="0" fontId="44" fillId="11" borderId="0" xfId="0" applyFont="1" applyFill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0" xfId="0" applyFont="1" applyAlignment="1">
      <alignment horizontal="left" vertical="center"/>
    </xf>
    <xf numFmtId="0" fontId="45" fillId="11" borderId="0" xfId="0" applyFont="1" applyFill="1" applyAlignment="1">
      <alignment vertical="center"/>
    </xf>
    <xf numFmtId="0" fontId="41" fillId="11" borderId="0" xfId="6" applyFill="1" applyAlignment="1">
      <alignment vertical="center"/>
    </xf>
    <xf numFmtId="0" fontId="47" fillId="11" borderId="0" xfId="0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32" fillId="0" borderId="71" xfId="0" applyFont="1" applyBorder="1" applyAlignment="1">
      <alignment horizontal="left" vertical="center" indent="1"/>
    </xf>
    <xf numFmtId="164" fontId="35" fillId="12" borderId="33" xfId="0" applyNumberFormat="1" applyFont="1" applyFill="1" applyBorder="1" applyAlignment="1">
      <alignment horizontal="center" vertical="center"/>
    </xf>
    <xf numFmtId="164" fontId="35" fillId="0" borderId="50" xfId="0" applyNumberFormat="1" applyFont="1" applyBorder="1" applyAlignment="1">
      <alignment horizontal="center" vertical="center"/>
    </xf>
    <xf numFmtId="164" fontId="13" fillId="0" borderId="33" xfId="7" applyNumberFormat="1" applyFont="1" applyBorder="1" applyAlignment="1">
      <alignment horizontal="center" vertical="center"/>
    </xf>
    <xf numFmtId="164" fontId="13" fillId="0" borderId="38" xfId="0" applyNumberFormat="1" applyFont="1" applyBorder="1" applyAlignment="1">
      <alignment horizontal="center" vertical="center"/>
    </xf>
    <xf numFmtId="0" fontId="32" fillId="0" borderId="72" xfId="0" applyFont="1" applyBorder="1" applyAlignment="1">
      <alignment horizontal="left" vertical="center" indent="1"/>
    </xf>
    <xf numFmtId="164" fontId="35" fillId="0" borderId="65" xfId="0" applyNumberFormat="1" applyFont="1" applyBorder="1" applyAlignment="1">
      <alignment horizontal="center" vertical="center"/>
    </xf>
    <xf numFmtId="164" fontId="35" fillId="0" borderId="1" xfId="0" applyNumberFormat="1" applyFont="1" applyBorder="1" applyAlignment="1">
      <alignment horizontal="center" vertical="center"/>
    </xf>
    <xf numFmtId="164" fontId="13" fillId="0" borderId="58" xfId="7" applyNumberFormat="1" applyFont="1" applyBorder="1" applyAlignment="1">
      <alignment horizontal="center" vertical="center"/>
    </xf>
    <xf numFmtId="164" fontId="13" fillId="0" borderId="32" xfId="0" applyNumberFormat="1" applyFont="1" applyBorder="1" applyAlignment="1">
      <alignment horizontal="center" vertical="center"/>
    </xf>
    <xf numFmtId="164" fontId="13" fillId="0" borderId="73" xfId="7" applyNumberFormat="1" applyFont="1" applyBorder="1" applyAlignment="1">
      <alignment horizontal="center" vertical="center"/>
    </xf>
    <xf numFmtId="164" fontId="13" fillId="0" borderId="73" xfId="0" applyNumberFormat="1" applyFont="1" applyBorder="1" applyAlignment="1">
      <alignment horizontal="center" vertical="center"/>
    </xf>
    <xf numFmtId="164" fontId="13" fillId="0" borderId="58" xfId="0" applyNumberFormat="1" applyFont="1" applyBorder="1" applyAlignment="1">
      <alignment horizontal="center" vertical="center"/>
    </xf>
    <xf numFmtId="164" fontId="48" fillId="13" borderId="65" xfId="0" applyNumberFormat="1" applyFont="1" applyFill="1" applyBorder="1" applyAlignment="1">
      <alignment horizontal="center" vertical="center"/>
    </xf>
    <xf numFmtId="164" fontId="48" fillId="13" borderId="1" xfId="0" applyNumberFormat="1" applyFont="1" applyFill="1" applyBorder="1" applyAlignment="1">
      <alignment horizontal="center" vertical="center"/>
    </xf>
    <xf numFmtId="0" fontId="32" fillId="0" borderId="29" xfId="0" applyFont="1" applyBorder="1" applyAlignment="1">
      <alignment horizontal="left" vertical="center" indent="1"/>
    </xf>
    <xf numFmtId="164" fontId="35" fillId="0" borderId="34" xfId="0" applyNumberFormat="1" applyFont="1" applyBorder="1" applyAlignment="1">
      <alignment horizontal="center" vertical="center"/>
    </xf>
    <xf numFmtId="164" fontId="48" fillId="13" borderId="74" xfId="0" applyNumberFormat="1" applyFont="1" applyFill="1" applyBorder="1" applyAlignment="1">
      <alignment horizontal="center" vertical="center"/>
    </xf>
    <xf numFmtId="164" fontId="13" fillId="0" borderId="53" xfId="0" applyNumberFormat="1" applyFont="1" applyBorder="1" applyAlignment="1">
      <alignment horizontal="center" vertical="center"/>
    </xf>
    <xf numFmtId="164" fontId="13" fillId="0" borderId="25" xfId="0" applyNumberFormat="1" applyFont="1" applyBorder="1" applyAlignment="1">
      <alignment horizontal="center" vertical="center"/>
    </xf>
    <xf numFmtId="0" fontId="0" fillId="0" borderId="0" xfId="0" applyAlignment="1">
      <alignment horizontal="left" indent="1"/>
    </xf>
    <xf numFmtId="0" fontId="48" fillId="0" borderId="0" xfId="0" applyFont="1" applyAlignment="1">
      <alignment horizontal="center" vertical="center"/>
    </xf>
    <xf numFmtId="164" fontId="35" fillId="12" borderId="46" xfId="0" applyNumberFormat="1" applyFont="1" applyFill="1" applyBorder="1" applyAlignment="1">
      <alignment horizontal="center" vertical="center"/>
    </xf>
    <xf numFmtId="164" fontId="49" fillId="0" borderId="34" xfId="7" applyNumberFormat="1" applyFont="1" applyBorder="1" applyAlignment="1">
      <alignment horizontal="center" vertical="center"/>
    </xf>
    <xf numFmtId="0" fontId="0" fillId="14" borderId="0" xfId="0" applyFill="1" applyAlignment="1">
      <alignment horizontal="left" indent="1"/>
    </xf>
    <xf numFmtId="0" fontId="50" fillId="0" borderId="0" xfId="0" applyFont="1"/>
    <xf numFmtId="0" fontId="51" fillId="0" borderId="0" xfId="0" applyFont="1"/>
    <xf numFmtId="0" fontId="51" fillId="0" borderId="0" xfId="0" applyFont="1" applyAlignment="1">
      <alignment horizontal="right" vertical="center"/>
    </xf>
    <xf numFmtId="164" fontId="9" fillId="0" borderId="0" xfId="0" applyNumberFormat="1" applyFont="1" applyAlignment="1">
      <alignment horizontal="left" vertical="center"/>
    </xf>
    <xf numFmtId="0" fontId="6" fillId="0" borderId="48" xfId="0" applyFont="1" applyBorder="1"/>
    <xf numFmtId="0" fontId="0" fillId="0" borderId="48" xfId="0" applyBorder="1"/>
    <xf numFmtId="0" fontId="25" fillId="15" borderId="19" xfId="0" applyFont="1" applyFill="1" applyBorder="1" applyAlignment="1">
      <alignment horizontal="center" vertical="center"/>
    </xf>
    <xf numFmtId="0" fontId="25" fillId="15" borderId="16" xfId="0" applyFont="1" applyFill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165" fontId="0" fillId="0" borderId="21" xfId="0" applyNumberFormat="1" applyBorder="1"/>
    <xf numFmtId="165" fontId="35" fillId="0" borderId="76" xfId="0" applyNumberFormat="1" applyFont="1" applyBorder="1" applyAlignment="1">
      <alignment horizontal="center" vertical="center"/>
    </xf>
    <xf numFmtId="164" fontId="35" fillId="0" borderId="33" xfId="7" applyNumberFormat="1" applyFont="1" applyBorder="1" applyAlignment="1">
      <alignment horizontal="center" vertical="center"/>
    </xf>
    <xf numFmtId="165" fontId="35" fillId="0" borderId="77" xfId="0" applyNumberFormat="1" applyFont="1" applyBorder="1" applyAlignment="1">
      <alignment horizontal="center" vertical="center"/>
    </xf>
    <xf numFmtId="0" fontId="30" fillId="0" borderId="65" xfId="0" applyFont="1" applyBorder="1" applyAlignment="1">
      <alignment horizontal="center" vertical="center"/>
    </xf>
    <xf numFmtId="165" fontId="35" fillId="0" borderId="71" xfId="0" applyNumberFormat="1" applyFont="1" applyBorder="1" applyAlignment="1">
      <alignment horizontal="center" vertical="center"/>
    </xf>
    <xf numFmtId="169" fontId="0" fillId="0" borderId="21" xfId="0" applyNumberFormat="1" applyBorder="1"/>
    <xf numFmtId="170" fontId="0" fillId="0" borderId="21" xfId="0" applyNumberFormat="1" applyBorder="1"/>
    <xf numFmtId="0" fontId="30" fillId="0" borderId="34" xfId="0" applyFont="1" applyBorder="1" applyAlignment="1">
      <alignment horizontal="center" vertical="center"/>
    </xf>
    <xf numFmtId="165" fontId="9" fillId="0" borderId="78" xfId="0" applyNumberFormat="1" applyFont="1" applyBorder="1" applyAlignment="1">
      <alignment horizontal="center" vertical="center"/>
    </xf>
    <xf numFmtId="165" fontId="9" fillId="0" borderId="29" xfId="0" applyNumberFormat="1" applyFont="1" applyBorder="1" applyAlignment="1">
      <alignment horizontal="center" vertical="center"/>
    </xf>
    <xf numFmtId="165" fontId="9" fillId="0" borderId="79" xfId="0" applyNumberFormat="1" applyFont="1" applyBorder="1" applyAlignment="1">
      <alignment horizontal="center" vertical="center"/>
    </xf>
    <xf numFmtId="0" fontId="52" fillId="0" borderId="0" xfId="0" applyFont="1" applyAlignment="1">
      <alignment horizontal="center" vertical="center"/>
    </xf>
    <xf numFmtId="164" fontId="49" fillId="12" borderId="46" xfId="0" applyNumberFormat="1" applyFont="1" applyFill="1" applyBorder="1" applyAlignment="1">
      <alignment horizontal="center" vertical="center"/>
    </xf>
    <xf numFmtId="165" fontId="53" fillId="0" borderId="80" xfId="0" applyNumberFormat="1" applyFont="1" applyBorder="1" applyAlignment="1">
      <alignment horizontal="center" vertical="center"/>
    </xf>
    <xf numFmtId="165" fontId="53" fillId="0" borderId="81" xfId="0" applyNumberFormat="1" applyFont="1" applyBorder="1" applyAlignment="1">
      <alignment horizontal="center" vertical="center"/>
    </xf>
    <xf numFmtId="171" fontId="0" fillId="0" borderId="0" xfId="0" applyNumberFormat="1"/>
    <xf numFmtId="170" fontId="0" fillId="0" borderId="0" xfId="0" applyNumberFormat="1"/>
    <xf numFmtId="165" fontId="35" fillId="0" borderId="85" xfId="0" applyNumberFormat="1" applyFont="1" applyBorder="1" applyAlignment="1">
      <alignment horizontal="center" vertical="center"/>
    </xf>
    <xf numFmtId="0" fontId="0" fillId="0" borderId="14" xfId="0" applyBorder="1"/>
    <xf numFmtId="0" fontId="54" fillId="15" borderId="16" xfId="0" applyFont="1" applyFill="1" applyBorder="1" applyAlignment="1">
      <alignment horizontal="center" vertical="center"/>
    </xf>
    <xf numFmtId="0" fontId="30" fillId="15" borderId="16" xfId="0" applyFont="1" applyFill="1" applyBorder="1" applyAlignment="1">
      <alignment horizontal="center" vertical="center"/>
    </xf>
    <xf numFmtId="0" fontId="55" fillId="15" borderId="16" xfId="0" applyFont="1" applyFill="1" applyBorder="1" applyAlignment="1">
      <alignment horizontal="center" vertical="center" wrapText="1"/>
    </xf>
    <xf numFmtId="164" fontId="56" fillId="0" borderId="33" xfId="0" applyNumberFormat="1" applyFont="1" applyBorder="1" applyAlignment="1">
      <alignment horizontal="center"/>
    </xf>
    <xf numFmtId="164" fontId="13" fillId="0" borderId="33" xfId="0" applyNumberFormat="1" applyFont="1" applyBorder="1" applyAlignment="1">
      <alignment horizontal="center"/>
    </xf>
    <xf numFmtId="164" fontId="57" fillId="0" borderId="33" xfId="0" applyNumberFormat="1" applyFont="1" applyBorder="1" applyAlignment="1">
      <alignment horizontal="center"/>
    </xf>
    <xf numFmtId="164" fontId="13" fillId="2" borderId="33" xfId="0" applyNumberFormat="1" applyFont="1" applyFill="1" applyBorder="1" applyAlignment="1">
      <alignment horizontal="center"/>
    </xf>
    <xf numFmtId="164" fontId="56" fillId="0" borderId="65" xfId="0" applyNumberFormat="1" applyFont="1" applyBorder="1" applyAlignment="1">
      <alignment horizontal="center"/>
    </xf>
    <xf numFmtId="164" fontId="13" fillId="0" borderId="65" xfId="0" applyNumberFormat="1" applyFont="1" applyBorder="1" applyAlignment="1">
      <alignment horizontal="center"/>
    </xf>
    <xf numFmtId="164" fontId="57" fillId="0" borderId="65" xfId="0" applyNumberFormat="1" applyFont="1" applyBorder="1" applyAlignment="1">
      <alignment horizontal="center"/>
    </xf>
    <xf numFmtId="164" fontId="13" fillId="2" borderId="65" xfId="0" applyNumberFormat="1" applyFont="1" applyFill="1" applyBorder="1" applyAlignment="1">
      <alignment horizontal="center"/>
    </xf>
    <xf numFmtId="10" fontId="0" fillId="0" borderId="0" xfId="4" applyNumberFormat="1" applyFont="1"/>
    <xf numFmtId="164" fontId="56" fillId="0" borderId="34" xfId="0" applyNumberFormat="1" applyFont="1" applyBorder="1" applyAlignment="1">
      <alignment horizontal="center"/>
    </xf>
    <xf numFmtId="164" fontId="13" fillId="0" borderId="34" xfId="0" applyNumberFormat="1" applyFont="1" applyBorder="1" applyAlignment="1">
      <alignment horizontal="center"/>
    </xf>
    <xf numFmtId="164" fontId="57" fillId="0" borderId="34" xfId="0" applyNumberFormat="1" applyFont="1" applyBorder="1" applyAlignment="1">
      <alignment horizontal="center"/>
    </xf>
    <xf numFmtId="164" fontId="13" fillId="2" borderId="34" xfId="0" applyNumberFormat="1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0" fillId="16" borderId="0" xfId="0" applyFill="1"/>
    <xf numFmtId="164" fontId="30" fillId="0" borderId="56" xfId="0" applyNumberFormat="1" applyFont="1" applyBorder="1" applyAlignment="1">
      <alignment horizontal="center" vertical="center"/>
    </xf>
    <xf numFmtId="164" fontId="30" fillId="0" borderId="8" xfId="0" applyNumberFormat="1" applyFont="1" applyBorder="1" applyAlignment="1">
      <alignment horizontal="center" vertical="center"/>
    </xf>
    <xf numFmtId="164" fontId="30" fillId="0" borderId="9" xfId="0" applyNumberFormat="1" applyFont="1" applyBorder="1" applyAlignment="1">
      <alignment horizontal="center" vertical="center"/>
    </xf>
    <xf numFmtId="164" fontId="30" fillId="0" borderId="3" xfId="0" applyNumberFormat="1" applyFont="1" applyBorder="1" applyAlignment="1">
      <alignment horizontal="center" vertical="center"/>
    </xf>
    <xf numFmtId="164" fontId="30" fillId="0" borderId="63" xfId="0" applyNumberFormat="1" applyFont="1" applyBorder="1" applyAlignment="1">
      <alignment horizontal="center" vertical="center"/>
    </xf>
    <xf numFmtId="164" fontId="30" fillId="0" borderId="2" xfId="0" applyNumberFormat="1" applyFont="1" applyBorder="1" applyAlignment="1">
      <alignment horizontal="center" vertical="center"/>
    </xf>
    <xf numFmtId="164" fontId="30" fillId="0" borderId="54" xfId="0" applyNumberFormat="1" applyFont="1" applyBorder="1" applyAlignment="1">
      <alignment horizontal="center" vertical="center"/>
    </xf>
    <xf numFmtId="164" fontId="30" fillId="0" borderId="73" xfId="0" applyNumberFormat="1" applyFont="1" applyBorder="1" applyAlignment="1">
      <alignment horizontal="center" vertical="center"/>
    </xf>
    <xf numFmtId="164" fontId="33" fillId="17" borderId="63" xfId="0" applyNumberFormat="1" applyFont="1" applyFill="1" applyBorder="1" applyAlignment="1">
      <alignment horizontal="center" vertical="center"/>
    </xf>
    <xf numFmtId="164" fontId="33" fillId="17" borderId="2" xfId="0" applyNumberFormat="1" applyFont="1" applyFill="1" applyBorder="1" applyAlignment="1">
      <alignment horizontal="center" vertical="center"/>
    </xf>
    <xf numFmtId="164" fontId="33" fillId="17" borderId="54" xfId="0" applyNumberFormat="1" applyFont="1" applyFill="1" applyBorder="1" applyAlignment="1">
      <alignment horizontal="center" vertical="center"/>
    </xf>
    <xf numFmtId="164" fontId="33" fillId="17" borderId="73" xfId="0" applyNumberFormat="1" applyFont="1" applyFill="1" applyBorder="1" applyAlignment="1">
      <alignment horizontal="center" vertical="center"/>
    </xf>
    <xf numFmtId="164" fontId="33" fillId="17" borderId="21" xfId="0" applyNumberFormat="1" applyFont="1" applyFill="1" applyBorder="1" applyAlignment="1">
      <alignment horizontal="center" vertical="center"/>
    </xf>
    <xf numFmtId="164" fontId="33" fillId="17" borderId="62" xfId="0" applyNumberFormat="1" applyFont="1" applyFill="1" applyBorder="1" applyAlignment="1">
      <alignment horizontal="center" vertical="center"/>
    </xf>
    <xf numFmtId="164" fontId="33" fillId="17" borderId="46" xfId="0" applyNumberFormat="1" applyFont="1" applyFill="1" applyBorder="1" applyAlignment="1">
      <alignment horizontal="center" vertical="center"/>
    </xf>
    <xf numFmtId="164" fontId="33" fillId="17" borderId="15" xfId="0" applyNumberFormat="1" applyFont="1" applyFill="1" applyBorder="1" applyAlignment="1">
      <alignment horizontal="center" vertical="center"/>
    </xf>
    <xf numFmtId="164" fontId="33" fillId="17" borderId="11" xfId="0" applyNumberFormat="1" applyFont="1" applyFill="1" applyBorder="1" applyAlignment="1">
      <alignment horizontal="center" vertical="center"/>
    </xf>
    <xf numFmtId="164" fontId="33" fillId="17" borderId="22" xfId="0" applyNumberFormat="1" applyFont="1" applyFill="1" applyBorder="1" applyAlignment="1">
      <alignment horizontal="center" vertical="center"/>
    </xf>
    <xf numFmtId="0" fontId="31" fillId="0" borderId="28" xfId="0" applyFont="1" applyBorder="1"/>
    <xf numFmtId="164" fontId="30" fillId="15" borderId="19" xfId="0" applyNumberFormat="1" applyFont="1" applyFill="1" applyBorder="1" applyAlignment="1">
      <alignment horizontal="center"/>
    </xf>
    <xf numFmtId="172" fontId="0" fillId="0" borderId="0" xfId="0" applyNumberFormat="1"/>
    <xf numFmtId="164" fontId="32" fillId="0" borderId="56" xfId="0" applyNumberFormat="1" applyFont="1" applyBorder="1" applyAlignment="1">
      <alignment horizontal="center" vertical="center"/>
    </xf>
    <xf numFmtId="164" fontId="32" fillId="0" borderId="8" xfId="0" applyNumberFormat="1" applyFont="1" applyBorder="1" applyAlignment="1">
      <alignment horizontal="center" vertical="center"/>
    </xf>
    <xf numFmtId="164" fontId="32" fillId="0" borderId="9" xfId="0" applyNumberFormat="1" applyFont="1" applyBorder="1" applyAlignment="1">
      <alignment horizontal="center" vertical="center"/>
    </xf>
    <xf numFmtId="164" fontId="32" fillId="0" borderId="3" xfId="0" applyNumberFormat="1" applyFont="1" applyBorder="1" applyAlignment="1">
      <alignment horizontal="center" vertical="center"/>
    </xf>
    <xf numFmtId="164" fontId="32" fillId="0" borderId="63" xfId="0" applyNumberFormat="1" applyFont="1" applyBorder="1" applyAlignment="1">
      <alignment horizontal="center" vertical="center"/>
    </xf>
    <xf numFmtId="164" fontId="32" fillId="0" borderId="2" xfId="0" applyNumberFormat="1" applyFont="1" applyBorder="1" applyAlignment="1">
      <alignment horizontal="center" vertical="center"/>
    </xf>
    <xf numFmtId="164" fontId="32" fillId="0" borderId="54" xfId="0" applyNumberFormat="1" applyFont="1" applyBorder="1" applyAlignment="1">
      <alignment horizontal="center" vertical="center"/>
    </xf>
    <xf numFmtId="164" fontId="32" fillId="0" borderId="73" xfId="0" applyNumberFormat="1" applyFont="1" applyBorder="1" applyAlignment="1">
      <alignment horizontal="center" vertical="center"/>
    </xf>
    <xf numFmtId="164" fontId="32" fillId="0" borderId="46" xfId="0" applyNumberFormat="1" applyFont="1" applyBorder="1" applyAlignment="1">
      <alignment horizontal="center" vertical="center"/>
    </xf>
    <xf numFmtId="164" fontId="32" fillId="0" borderId="15" xfId="0" applyNumberFormat="1" applyFont="1" applyBorder="1" applyAlignment="1">
      <alignment horizontal="center" vertical="center"/>
    </xf>
    <xf numFmtId="164" fontId="32" fillId="0" borderId="11" xfId="0" applyNumberFormat="1" applyFont="1" applyBorder="1" applyAlignment="1">
      <alignment horizontal="center" vertical="center"/>
    </xf>
    <xf numFmtId="0" fontId="58" fillId="0" borderId="28" xfId="0" applyFont="1" applyBorder="1"/>
    <xf numFmtId="164" fontId="32" fillId="15" borderId="19" xfId="0" applyNumberFormat="1" applyFont="1" applyFill="1" applyBorder="1" applyAlignment="1">
      <alignment horizontal="center"/>
    </xf>
    <xf numFmtId="164" fontId="59" fillId="15" borderId="16" xfId="0" applyNumberFormat="1" applyFont="1" applyFill="1" applyBorder="1" applyAlignment="1">
      <alignment horizontal="center"/>
    </xf>
    <xf numFmtId="0" fontId="30" fillId="0" borderId="0" xfId="0" applyFont="1" applyAlignment="1">
      <alignment horizontal="center" vertical="center"/>
    </xf>
    <xf numFmtId="164" fontId="30" fillId="0" borderId="33" xfId="0" applyNumberFormat="1" applyFont="1" applyBorder="1" applyAlignment="1">
      <alignment horizontal="center" vertical="center"/>
    </xf>
    <xf numFmtId="164" fontId="30" fillId="0" borderId="58" xfId="0" applyNumberFormat="1" applyFont="1" applyBorder="1" applyAlignment="1">
      <alignment horizontal="center" vertical="center"/>
    </xf>
    <xf numFmtId="164" fontId="30" fillId="0" borderId="65" xfId="0" applyNumberFormat="1" applyFont="1" applyBorder="1" applyAlignment="1">
      <alignment horizontal="center" vertical="center"/>
    </xf>
    <xf numFmtId="164" fontId="30" fillId="0" borderId="53" xfId="0" applyNumberFormat="1" applyFont="1" applyBorder="1" applyAlignment="1">
      <alignment horizontal="center" vertical="center"/>
    </xf>
    <xf numFmtId="164" fontId="37" fillId="0" borderId="14" xfId="0" applyNumberFormat="1" applyFont="1" applyBorder="1" applyAlignment="1">
      <alignment horizontal="center"/>
    </xf>
    <xf numFmtId="164" fontId="37" fillId="0" borderId="0" xfId="0" applyNumberFormat="1" applyFont="1" applyAlignment="1">
      <alignment horizontal="center"/>
    </xf>
    <xf numFmtId="164" fontId="30" fillId="0" borderId="37" xfId="0" applyNumberFormat="1" applyFont="1" applyBorder="1" applyAlignment="1">
      <alignment horizontal="center" vertical="center"/>
    </xf>
    <xf numFmtId="164" fontId="30" fillId="0" borderId="34" xfId="0" applyNumberFormat="1" applyFont="1" applyBorder="1" applyAlignment="1">
      <alignment horizontal="center" vertical="center"/>
    </xf>
    <xf numFmtId="164" fontId="30" fillId="0" borderId="25" xfId="0" applyNumberFormat="1" applyFont="1" applyBorder="1" applyAlignment="1">
      <alignment horizontal="center" vertical="center"/>
    </xf>
    <xf numFmtId="164" fontId="30" fillId="11" borderId="33" xfId="0" applyNumberFormat="1" applyFont="1" applyFill="1" applyBorder="1" applyAlignment="1">
      <alignment horizontal="center" vertical="center"/>
    </xf>
    <xf numFmtId="164" fontId="30" fillId="11" borderId="65" xfId="0" applyNumberFormat="1" applyFont="1" applyFill="1" applyBorder="1" applyAlignment="1">
      <alignment horizontal="center" vertical="center"/>
    </xf>
    <xf numFmtId="164" fontId="32" fillId="0" borderId="65" xfId="0" applyNumberFormat="1" applyFont="1" applyBorder="1" applyAlignment="1">
      <alignment horizontal="center" vertical="center"/>
    </xf>
    <xf numFmtId="0" fontId="30" fillId="11" borderId="16" xfId="0" applyFont="1" applyFill="1" applyBorder="1" applyAlignment="1">
      <alignment horizontal="center" vertical="center"/>
    </xf>
    <xf numFmtId="0" fontId="30" fillId="3" borderId="16" xfId="0" applyFont="1" applyFill="1" applyBorder="1" applyAlignment="1">
      <alignment horizontal="center" vertical="center" wrapText="1"/>
    </xf>
    <xf numFmtId="164" fontId="32" fillId="0" borderId="58" xfId="0" applyNumberFormat="1" applyFont="1" applyBorder="1" applyAlignment="1">
      <alignment horizontal="center" vertical="center"/>
    </xf>
    <xf numFmtId="164" fontId="32" fillId="0" borderId="33" xfId="1" applyNumberFormat="1" applyFont="1" applyBorder="1" applyAlignment="1">
      <alignment horizontal="center" vertical="center"/>
    </xf>
    <xf numFmtId="168" fontId="32" fillId="3" borderId="33" xfId="4" applyNumberFormat="1" applyFont="1" applyFill="1" applyBorder="1" applyAlignment="1">
      <alignment horizontal="center"/>
    </xf>
    <xf numFmtId="164" fontId="32" fillId="0" borderId="58" xfId="1" applyNumberFormat="1" applyFont="1" applyBorder="1" applyAlignment="1">
      <alignment horizontal="center" vertical="center"/>
    </xf>
    <xf numFmtId="168" fontId="32" fillId="3" borderId="65" xfId="4" applyNumberFormat="1" applyFont="1" applyFill="1" applyBorder="1" applyAlignment="1">
      <alignment horizontal="center"/>
    </xf>
    <xf numFmtId="164" fontId="32" fillId="0" borderId="53" xfId="0" applyNumberFormat="1" applyFont="1" applyBorder="1" applyAlignment="1">
      <alignment horizontal="center" vertical="center"/>
    </xf>
    <xf numFmtId="164" fontId="32" fillId="0" borderId="53" xfId="1" applyNumberFormat="1" applyFont="1" applyBorder="1" applyAlignment="1">
      <alignment horizontal="center" vertical="center"/>
    </xf>
    <xf numFmtId="168" fontId="32" fillId="3" borderId="34" xfId="4" applyNumberFormat="1" applyFont="1" applyFill="1" applyBorder="1" applyAlignment="1">
      <alignment horizontal="center"/>
    </xf>
    <xf numFmtId="164" fontId="32" fillId="0" borderId="33" xfId="0" applyNumberFormat="1" applyFont="1" applyBorder="1" applyAlignment="1">
      <alignment horizontal="center" vertical="center"/>
    </xf>
    <xf numFmtId="164" fontId="32" fillId="0" borderId="34" xfId="0" applyNumberFormat="1" applyFont="1" applyBorder="1" applyAlignment="1">
      <alignment horizontal="center" vertical="center"/>
    </xf>
    <xf numFmtId="0" fontId="8" fillId="16" borderId="0" xfId="0" applyFont="1" applyFill="1"/>
    <xf numFmtId="0" fontId="60" fillId="16" borderId="0" xfId="0" applyFont="1" applyFill="1"/>
    <xf numFmtId="165" fontId="60" fillId="16" borderId="0" xfId="0" applyNumberFormat="1" applyFont="1" applyFill="1"/>
    <xf numFmtId="0" fontId="22" fillId="2" borderId="0" xfId="0" applyFont="1" applyFill="1" applyAlignment="1">
      <alignment horizontal="right" vertical="center"/>
    </xf>
    <xf numFmtId="168" fontId="32" fillId="18" borderId="0" xfId="4" applyNumberFormat="1" applyFont="1" applyFill="1" applyAlignment="1">
      <alignment horizontal="left"/>
    </xf>
    <xf numFmtId="0" fontId="8" fillId="2" borderId="0" xfId="0" applyFont="1" applyFill="1" applyAlignment="1">
      <alignment horizontal="left" vertical="center"/>
    </xf>
    <xf numFmtId="2" fontId="8" fillId="0" borderId="0" xfId="0" applyNumberFormat="1" applyFont="1" applyAlignment="1">
      <alignment horizontal="left" vertical="center"/>
    </xf>
    <xf numFmtId="0" fontId="22" fillId="2" borderId="0" xfId="0" applyFont="1" applyFill="1" applyAlignment="1">
      <alignment horizontal="left" vertical="center"/>
    </xf>
    <xf numFmtId="0" fontId="22" fillId="2" borderId="0" xfId="0" applyFont="1" applyFill="1" applyAlignment="1">
      <alignment horizontal="right"/>
    </xf>
    <xf numFmtId="43" fontId="0" fillId="0" borderId="0" xfId="3" applyFont="1" applyAlignment="1"/>
    <xf numFmtId="43" fontId="22" fillId="2" borderId="0" xfId="3" applyFont="1" applyFill="1" applyAlignment="1">
      <alignment vertical="center"/>
    </xf>
    <xf numFmtId="2" fontId="32" fillId="18" borderId="0" xfId="4" applyNumberFormat="1" applyFont="1" applyFill="1" applyAlignment="1">
      <alignment horizontal="left"/>
    </xf>
    <xf numFmtId="0" fontId="12" fillId="0" borderId="0" xfId="0" applyFont="1" applyAlignment="1">
      <alignment horizontal="center" vertical="center" wrapText="1"/>
    </xf>
    <xf numFmtId="0" fontId="9" fillId="0" borderId="43" xfId="0" applyFont="1" applyBorder="1" applyAlignment="1">
      <alignment horizontal="center" vertical="center"/>
    </xf>
    <xf numFmtId="0" fontId="9" fillId="0" borderId="53" xfId="0" applyFont="1" applyBorder="1" applyAlignment="1">
      <alignment horizontal="center" vertical="center"/>
    </xf>
    <xf numFmtId="0" fontId="9" fillId="12" borderId="43" xfId="0" applyFont="1" applyFill="1" applyBorder="1" applyAlignment="1">
      <alignment horizontal="center" vertical="center"/>
    </xf>
    <xf numFmtId="0" fontId="9" fillId="12" borderId="53" xfId="0" applyFont="1" applyFill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0" fontId="22" fillId="0" borderId="40" xfId="0" applyFont="1" applyBorder="1" applyAlignment="1">
      <alignment horizontal="center" vertical="center"/>
    </xf>
    <xf numFmtId="0" fontId="22" fillId="0" borderId="20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0" fontId="30" fillId="15" borderId="75" xfId="0" applyFont="1" applyFill="1" applyBorder="1" applyAlignment="1">
      <alignment horizontal="center" vertical="center"/>
    </xf>
    <xf numFmtId="0" fontId="30" fillId="15" borderId="53" xfId="0" applyFont="1" applyFill="1" applyBorder="1" applyAlignment="1">
      <alignment horizontal="center" vertical="center"/>
    </xf>
    <xf numFmtId="0" fontId="22" fillId="15" borderId="43" xfId="0" applyFont="1" applyFill="1" applyBorder="1" applyAlignment="1">
      <alignment horizontal="center" vertical="center"/>
    </xf>
    <xf numFmtId="0" fontId="22" fillId="15" borderId="53" xfId="0" applyFont="1" applyFill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164" fontId="35" fillId="0" borderId="82" xfId="0" applyNumberFormat="1" applyFont="1" applyBorder="1" applyAlignment="1">
      <alignment horizontal="center" vertical="center"/>
    </xf>
    <xf numFmtId="164" fontId="35" fillId="0" borderId="83" xfId="0" applyNumberFormat="1" applyFont="1" applyBorder="1" applyAlignment="1">
      <alignment horizontal="center" vertical="center"/>
    </xf>
    <xf numFmtId="164" fontId="35" fillId="0" borderId="84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8" fillId="0" borderId="0" xfId="0" applyFont="1" applyAlignment="1">
      <alignment horizontal="center" vertical="center"/>
    </xf>
    <xf numFmtId="0" fontId="42" fillId="0" borderId="0" xfId="0" applyFont="1" applyAlignment="1">
      <alignment horizontal="center" vertical="center" wrapText="1"/>
    </xf>
    <xf numFmtId="0" fontId="16" fillId="0" borderId="0" xfId="0" applyFont="1" applyAlignment="1">
      <alignment horizontal="left" vertical="center" wrapText="1"/>
    </xf>
    <xf numFmtId="0" fontId="7" fillId="11" borderId="0" xfId="0" applyFont="1" applyFill="1" applyAlignment="1">
      <alignment horizontal="left" vertical="center" wrapText="1"/>
    </xf>
    <xf numFmtId="0" fontId="35" fillId="0" borderId="11" xfId="0" applyFont="1" applyBorder="1" applyAlignment="1">
      <alignment horizontal="center" vertical="center"/>
    </xf>
    <xf numFmtId="0" fontId="30" fillId="0" borderId="0" xfId="0" applyFont="1" applyAlignment="1">
      <alignment horizontal="center"/>
    </xf>
    <xf numFmtId="49" fontId="19" fillId="0" borderId="0" xfId="0" applyNumberFormat="1" applyFont="1" applyAlignment="1">
      <alignment horizontal="center" vertical="center" wrapText="1"/>
    </xf>
    <xf numFmtId="0" fontId="13" fillId="0" borderId="11" xfId="0" applyFont="1" applyBorder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13" fillId="0" borderId="0" xfId="0" applyFont="1" applyAlignment="1">
      <alignment horizontal="right" vertical="center"/>
    </xf>
    <xf numFmtId="0" fontId="30" fillId="0" borderId="0" xfId="0" applyFont="1" applyAlignment="1">
      <alignment horizontal="center" vertical="center"/>
    </xf>
    <xf numFmtId="0" fontId="13" fillId="11" borderId="0" xfId="0" applyFont="1" applyFill="1" applyAlignment="1">
      <alignment horizontal="center" vertical="center"/>
    </xf>
    <xf numFmtId="0" fontId="13" fillId="0" borderId="1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8" fillId="16" borderId="0" xfId="0" applyFont="1" applyFill="1" applyAlignment="1">
      <alignment horizontal="center"/>
    </xf>
    <xf numFmtId="0" fontId="13" fillId="0" borderId="0" xfId="0" applyFont="1" applyAlignment="1">
      <alignment horizontal="right"/>
    </xf>
    <xf numFmtId="0" fontId="9" fillId="0" borderId="28" xfId="0" applyFont="1" applyBorder="1" applyAlignment="1">
      <alignment horizontal="center" vertical="center" wrapText="1"/>
    </xf>
    <xf numFmtId="0" fontId="27" fillId="0" borderId="21" xfId="0" applyFont="1" applyBorder="1" applyAlignment="1">
      <alignment horizontal="center" vertical="center" wrapText="1"/>
    </xf>
    <xf numFmtId="0" fontId="9" fillId="0" borderId="28" xfId="0" applyFont="1" applyBorder="1" applyAlignment="1">
      <alignment horizontal="center" vertical="center"/>
    </xf>
    <xf numFmtId="0" fontId="27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/>
    </xf>
    <xf numFmtId="0" fontId="37" fillId="0" borderId="0" xfId="0" applyFont="1" applyAlignment="1">
      <alignment horizontal="left" vertical="center"/>
    </xf>
    <xf numFmtId="0" fontId="27" fillId="0" borderId="53" xfId="0" applyFont="1" applyBorder="1" applyAlignment="1">
      <alignment horizontal="center" vertical="center"/>
    </xf>
    <xf numFmtId="0" fontId="22" fillId="4" borderId="19" xfId="0" applyFont="1" applyFill="1" applyBorder="1" applyAlignment="1">
      <alignment horizontal="center" vertical="center"/>
    </xf>
    <xf numFmtId="0" fontId="25" fillId="4" borderId="20" xfId="0" applyFont="1" applyFill="1" applyBorder="1" applyAlignment="1">
      <alignment horizontal="center" vertical="center"/>
    </xf>
    <xf numFmtId="0" fontId="9" fillId="0" borderId="21" xfId="0" applyFont="1" applyBorder="1" applyAlignment="1">
      <alignment horizontal="center" vertical="center"/>
    </xf>
    <xf numFmtId="0" fontId="27" fillId="0" borderId="22" xfId="0" applyFont="1" applyBorder="1" applyAlignment="1">
      <alignment horizontal="center" vertical="center" wrapText="1"/>
    </xf>
    <xf numFmtId="0" fontId="22" fillId="4" borderId="28" xfId="0" applyFont="1" applyFill="1" applyBorder="1" applyAlignment="1">
      <alignment horizontal="center" vertical="center" wrapText="1"/>
    </xf>
    <xf numFmtId="0" fontId="22" fillId="4" borderId="21" xfId="0" applyFont="1" applyFill="1" applyBorder="1" applyAlignment="1">
      <alignment horizontal="center" vertical="center" wrapText="1"/>
    </xf>
    <xf numFmtId="0" fontId="25" fillId="4" borderId="22" xfId="0" applyFont="1" applyFill="1" applyBorder="1" applyAlignment="1">
      <alignment horizontal="center" vertical="center" wrapText="1"/>
    </xf>
    <xf numFmtId="0" fontId="22" fillId="4" borderId="0" xfId="0" applyFont="1" applyFill="1" applyAlignment="1">
      <alignment horizontal="center" vertical="center"/>
    </xf>
    <xf numFmtId="0" fontId="25" fillId="4" borderId="11" xfId="0" applyFont="1" applyFill="1" applyBorder="1" applyAlignment="1">
      <alignment horizontal="center" vertical="center"/>
    </xf>
    <xf numFmtId="0" fontId="22" fillId="4" borderId="47" xfId="0" applyFont="1" applyFill="1" applyBorder="1" applyAlignment="1">
      <alignment horizontal="center" vertical="center"/>
    </xf>
    <xf numFmtId="0" fontId="22" fillId="4" borderId="14" xfId="0" applyFont="1" applyFill="1" applyBorder="1" applyAlignment="1">
      <alignment horizontal="center" vertical="center"/>
    </xf>
    <xf numFmtId="0" fontId="22" fillId="4" borderId="28" xfId="0" applyFont="1" applyFill="1" applyBorder="1" applyAlignment="1">
      <alignment horizontal="center" vertical="center"/>
    </xf>
    <xf numFmtId="0" fontId="22" fillId="4" borderId="30" xfId="0" applyFont="1" applyFill="1" applyBorder="1" applyAlignment="1">
      <alignment horizontal="center" vertical="center"/>
    </xf>
    <xf numFmtId="0" fontId="22" fillId="4" borderId="11" xfId="0" applyFont="1" applyFill="1" applyBorder="1" applyAlignment="1">
      <alignment horizontal="center" vertical="center"/>
    </xf>
    <xf numFmtId="0" fontId="22" fillId="4" borderId="22" xfId="0" applyFont="1" applyFill="1" applyBorder="1" applyAlignment="1">
      <alignment horizontal="center" vertical="center"/>
    </xf>
    <xf numFmtId="0" fontId="22" fillId="4" borderId="31" xfId="0" applyFont="1" applyFill="1" applyBorder="1" applyAlignment="1">
      <alignment horizontal="center" vertical="center" wrapText="1"/>
    </xf>
    <xf numFmtId="0" fontId="22" fillId="4" borderId="36" xfId="0" applyFont="1" applyFill="1" applyBorder="1" applyAlignment="1">
      <alignment horizontal="center" vertical="center" wrapText="1"/>
    </xf>
    <xf numFmtId="0" fontId="26" fillId="4" borderId="29" xfId="0" applyFont="1" applyFill="1" applyBorder="1" applyAlignment="1">
      <alignment horizontal="center" vertical="center" wrapText="1"/>
    </xf>
    <xf numFmtId="0" fontId="22" fillId="4" borderId="33" xfId="0" applyFont="1" applyFill="1" applyBorder="1" applyAlignment="1">
      <alignment horizontal="center" vertical="center" wrapText="1"/>
    </xf>
    <xf numFmtId="0" fontId="22" fillId="4" borderId="48" xfId="0" applyFont="1" applyFill="1" applyBorder="1" applyAlignment="1">
      <alignment horizontal="center" vertical="center" wrapText="1"/>
    </xf>
    <xf numFmtId="0" fontId="26" fillId="4" borderId="34" xfId="0" applyFont="1" applyFill="1" applyBorder="1" applyAlignment="1">
      <alignment horizontal="center" vertical="center" wrapText="1"/>
    </xf>
    <xf numFmtId="0" fontId="30" fillId="0" borderId="0" xfId="0" applyFont="1" applyAlignment="1">
      <alignment horizontal="right" vertical="center"/>
    </xf>
    <xf numFmtId="0" fontId="31" fillId="0" borderId="0" xfId="0" applyFont="1" applyAlignment="1">
      <alignment horizontal="right" vertical="center"/>
    </xf>
    <xf numFmtId="0" fontId="9" fillId="4" borderId="19" xfId="0" applyFont="1" applyFill="1" applyBorder="1" applyAlignment="1">
      <alignment horizontal="center" vertical="center"/>
    </xf>
    <xf numFmtId="0" fontId="28" fillId="4" borderId="20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0" fontId="31" fillId="0" borderId="0" xfId="0" applyFont="1" applyAlignment="1">
      <alignment vertical="center"/>
    </xf>
    <xf numFmtId="0" fontId="12" fillId="0" borderId="11" xfId="0" applyFont="1" applyBorder="1" applyAlignment="1">
      <alignment horizontal="center" vertical="center" wrapText="1"/>
    </xf>
    <xf numFmtId="0" fontId="16" fillId="0" borderId="0" xfId="0" applyFont="1" applyAlignment="1">
      <alignment horizontal="right" vertical="center"/>
    </xf>
    <xf numFmtId="0" fontId="9" fillId="0" borderId="14" xfId="0" applyFont="1" applyBorder="1" applyAlignment="1">
      <alignment horizontal="center" vertical="center"/>
    </xf>
    <xf numFmtId="0" fontId="27" fillId="0" borderId="11" xfId="0" applyFont="1" applyBorder="1" applyAlignment="1">
      <alignment horizontal="center" vertical="center"/>
    </xf>
    <xf numFmtId="0" fontId="18" fillId="0" borderId="48" xfId="0" applyFont="1" applyBorder="1" applyAlignment="1">
      <alignment horizontal="center" vertical="center"/>
    </xf>
    <xf numFmtId="0" fontId="18" fillId="0" borderId="53" xfId="0" applyFont="1" applyBorder="1" applyAlignment="1">
      <alignment horizontal="center" vertical="center"/>
    </xf>
    <xf numFmtId="0" fontId="9" fillId="0" borderId="48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4" borderId="40" xfId="0" applyFont="1" applyFill="1" applyBorder="1" applyAlignment="1">
      <alignment horizontal="center" vertical="center"/>
    </xf>
    <xf numFmtId="0" fontId="9" fillId="4" borderId="20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/>
    </xf>
    <xf numFmtId="0" fontId="18" fillId="0" borderId="21" xfId="0" applyFont="1" applyBorder="1" applyAlignment="1">
      <alignment horizontal="center" vertical="center"/>
    </xf>
    <xf numFmtId="0" fontId="18" fillId="0" borderId="22" xfId="0" applyFont="1" applyBorder="1" applyAlignment="1">
      <alignment horizontal="center" vertical="center"/>
    </xf>
    <xf numFmtId="0" fontId="22" fillId="4" borderId="40" xfId="0" applyFont="1" applyFill="1" applyBorder="1" applyAlignment="1">
      <alignment horizontal="center" vertical="center"/>
    </xf>
    <xf numFmtId="0" fontId="22" fillId="4" borderId="20" xfId="0" applyFont="1" applyFill="1" applyBorder="1" applyAlignment="1">
      <alignment horizontal="center" vertical="center"/>
    </xf>
    <xf numFmtId="0" fontId="10" fillId="2" borderId="19" xfId="0" applyFont="1" applyFill="1" applyBorder="1" applyAlignment="1">
      <alignment horizontal="center" vertical="center"/>
    </xf>
    <xf numFmtId="0" fontId="10" fillId="2" borderId="20" xfId="0" applyFont="1" applyFill="1" applyBorder="1" applyAlignment="1">
      <alignment horizontal="center" vertical="center"/>
    </xf>
    <xf numFmtId="0" fontId="18" fillId="2" borderId="40" xfId="0" applyFont="1" applyFill="1" applyBorder="1" applyAlignment="1">
      <alignment horizontal="center" vertical="center"/>
    </xf>
    <xf numFmtId="0" fontId="18" fillId="2" borderId="20" xfId="0" applyFont="1" applyFill="1" applyBorder="1" applyAlignment="1">
      <alignment horizontal="center" vertical="center"/>
    </xf>
    <xf numFmtId="0" fontId="29" fillId="0" borderId="0" xfId="0" applyFont="1" applyAlignment="1">
      <alignment horizontal="center" vertical="center"/>
    </xf>
    <xf numFmtId="3" fontId="29" fillId="0" borderId="0" xfId="0" applyNumberFormat="1" applyFont="1" applyAlignment="1">
      <alignment vertical="center"/>
    </xf>
    <xf numFmtId="3" fontId="7" fillId="0" borderId="0" xfId="0" applyNumberFormat="1" applyFont="1" applyAlignment="1">
      <alignment vertical="center"/>
    </xf>
    <xf numFmtId="0" fontId="29" fillId="0" borderId="0" xfId="0" applyFont="1" applyAlignment="1">
      <alignment vertical="center"/>
    </xf>
    <xf numFmtId="0" fontId="7" fillId="0" borderId="0" xfId="0" applyFont="1"/>
    <xf numFmtId="0" fontId="15" fillId="0" borderId="0" xfId="0" applyFont="1" applyAlignment="1">
      <alignment horizontal="right"/>
    </xf>
    <xf numFmtId="0" fontId="26" fillId="4" borderId="14" xfId="0" applyFont="1" applyFill="1" applyBorder="1" applyAlignment="1">
      <alignment horizontal="center" vertical="center"/>
    </xf>
    <xf numFmtId="3" fontId="9" fillId="5" borderId="19" xfId="0" applyNumberFormat="1" applyFont="1" applyFill="1" applyBorder="1" applyAlignment="1">
      <alignment horizontal="center" vertical="center"/>
    </xf>
    <xf numFmtId="3" fontId="28" fillId="5" borderId="20" xfId="0" applyNumberFormat="1" applyFont="1" applyFill="1" applyBorder="1"/>
    <xf numFmtId="0" fontId="27" fillId="0" borderId="48" xfId="0" applyFont="1" applyBorder="1" applyAlignment="1">
      <alignment horizontal="center" vertical="center"/>
    </xf>
    <xf numFmtId="0" fontId="26" fillId="4" borderId="20" xfId="0" applyFont="1" applyFill="1" applyBorder="1" applyAlignment="1">
      <alignment horizontal="center" vertical="center"/>
    </xf>
    <xf numFmtId="0" fontId="26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center"/>
    </xf>
    <xf numFmtId="0" fontId="22" fillId="4" borderId="60" xfId="0" applyFont="1" applyFill="1" applyBorder="1" applyAlignment="1">
      <alignment horizontal="center" vertical="center"/>
    </xf>
    <xf numFmtId="0" fontId="22" fillId="4" borderId="18" xfId="0" applyFont="1" applyFill="1" applyBorder="1" applyAlignment="1">
      <alignment horizontal="center" vertical="center"/>
    </xf>
    <xf numFmtId="0" fontId="22" fillId="2" borderId="60" xfId="0" applyFont="1" applyFill="1" applyBorder="1" applyAlignment="1">
      <alignment horizontal="center" vertical="center"/>
    </xf>
    <xf numFmtId="0" fontId="22" fillId="2" borderId="18" xfId="0" applyFont="1" applyFill="1" applyBorder="1" applyAlignment="1">
      <alignment horizontal="center" vertical="center"/>
    </xf>
    <xf numFmtId="0" fontId="22" fillId="4" borderId="17" xfId="0" applyFont="1" applyFill="1" applyBorder="1" applyAlignment="1">
      <alignment horizontal="center" vertical="center"/>
    </xf>
    <xf numFmtId="0" fontId="22" fillId="0" borderId="0" xfId="0" applyFont="1" applyAlignment="1">
      <alignment vertical="center"/>
    </xf>
    <xf numFmtId="0" fontId="14" fillId="0" borderId="0" xfId="0" applyFont="1" applyAlignment="1">
      <alignment horizontal="center" vertical="center" wrapText="1"/>
    </xf>
    <xf numFmtId="0" fontId="35" fillId="2" borderId="19" xfId="0" applyFont="1" applyFill="1" applyBorder="1" applyAlignment="1">
      <alignment horizontal="center" vertical="center"/>
    </xf>
    <xf numFmtId="0" fontId="35" fillId="2" borderId="40" xfId="0" applyFont="1" applyFill="1" applyBorder="1" applyAlignment="1">
      <alignment horizontal="center" vertical="center"/>
    </xf>
    <xf numFmtId="0" fontId="35" fillId="2" borderId="20" xfId="0" applyFont="1" applyFill="1" applyBorder="1" applyAlignment="1">
      <alignment horizontal="center" vertical="center"/>
    </xf>
    <xf numFmtId="0" fontId="22" fillId="4" borderId="16" xfId="0" applyFont="1" applyFill="1" applyBorder="1" applyAlignment="1">
      <alignment horizontal="center" vertical="center"/>
    </xf>
    <xf numFmtId="0" fontId="26" fillId="4" borderId="16" xfId="0" applyFont="1" applyFill="1" applyBorder="1" applyAlignment="1">
      <alignment horizontal="center" vertical="center"/>
    </xf>
    <xf numFmtId="0" fontId="22" fillId="2" borderId="40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0" fontId="9" fillId="4" borderId="60" xfId="0" applyFont="1" applyFill="1" applyBorder="1" applyAlignment="1">
      <alignment horizontal="center" vertical="center"/>
    </xf>
    <xf numFmtId="0" fontId="9" fillId="4" borderId="18" xfId="0" applyFont="1" applyFill="1" applyBorder="1" applyAlignment="1">
      <alignment horizontal="center" vertical="center"/>
    </xf>
    <xf numFmtId="0" fontId="9" fillId="2" borderId="60" xfId="0" applyFont="1" applyFill="1" applyBorder="1" applyAlignment="1">
      <alignment horizontal="center" vertical="center"/>
    </xf>
    <xf numFmtId="0" fontId="9" fillId="2" borderId="18" xfId="0" applyFont="1" applyFill="1" applyBorder="1" applyAlignment="1">
      <alignment horizontal="center" vertical="center"/>
    </xf>
    <xf numFmtId="0" fontId="9" fillId="2" borderId="19" xfId="0" applyFont="1" applyFill="1" applyBorder="1" applyAlignment="1">
      <alignment horizontal="center" vertical="center"/>
    </xf>
    <xf numFmtId="0" fontId="9" fillId="2" borderId="20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22" xfId="0" applyFont="1" applyBorder="1" applyAlignment="1">
      <alignment horizontal="center" vertical="center"/>
    </xf>
    <xf numFmtId="0" fontId="32" fillId="0" borderId="21" xfId="0" applyFont="1" applyBorder="1" applyAlignment="1">
      <alignment horizontal="center" vertical="center"/>
    </xf>
    <xf numFmtId="0" fontId="30" fillId="4" borderId="60" xfId="0" applyFont="1" applyFill="1" applyBorder="1" applyAlignment="1">
      <alignment horizontal="center" vertical="center"/>
    </xf>
    <xf numFmtId="0" fontId="30" fillId="4" borderId="18" xfId="0" applyFont="1" applyFill="1" applyBorder="1" applyAlignment="1">
      <alignment horizontal="center" vertical="center"/>
    </xf>
    <xf numFmtId="0" fontId="30" fillId="2" borderId="17" xfId="0" applyFont="1" applyFill="1" applyBorder="1" applyAlignment="1">
      <alignment horizontal="center" vertical="center"/>
    </xf>
    <xf numFmtId="0" fontId="30" fillId="2" borderId="18" xfId="0" applyFont="1" applyFill="1" applyBorder="1" applyAlignment="1">
      <alignment horizontal="center" vertical="center"/>
    </xf>
    <xf numFmtId="0" fontId="30" fillId="4" borderId="17" xfId="0" applyFont="1" applyFill="1" applyBorder="1" applyAlignment="1">
      <alignment horizontal="center" vertical="center"/>
    </xf>
    <xf numFmtId="0" fontId="22" fillId="0" borderId="0" xfId="0" applyFont="1" applyAlignment="1">
      <alignment vertical="center" wrapText="1"/>
    </xf>
    <xf numFmtId="0" fontId="26" fillId="0" borderId="0" xfId="0" applyFont="1" applyAlignment="1">
      <alignment vertical="center" wrapText="1"/>
    </xf>
    <xf numFmtId="0" fontId="34" fillId="0" borderId="21" xfId="0" applyFont="1" applyBorder="1" applyAlignment="1">
      <alignment horizontal="center" vertical="center"/>
    </xf>
    <xf numFmtId="0" fontId="34" fillId="0" borderId="22" xfId="0" applyFont="1" applyBorder="1" applyAlignment="1">
      <alignment horizontal="center" vertical="center"/>
    </xf>
    <xf numFmtId="0" fontId="32" fillId="0" borderId="43" xfId="0" applyFont="1" applyBorder="1" applyAlignment="1">
      <alignment horizontal="center" vertical="center"/>
    </xf>
    <xf numFmtId="0" fontId="34" fillId="0" borderId="48" xfId="0" applyFont="1" applyBorder="1" applyAlignment="1">
      <alignment horizontal="center" vertical="center"/>
    </xf>
    <xf numFmtId="0" fontId="34" fillId="0" borderId="53" xfId="0" applyFont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 wrapText="1"/>
    </xf>
    <xf numFmtId="0" fontId="30" fillId="4" borderId="11" xfId="0" applyFont="1" applyFill="1" applyBorder="1" applyAlignment="1">
      <alignment horizontal="center" vertical="center" wrapText="1"/>
    </xf>
    <xf numFmtId="0" fontId="30" fillId="4" borderId="43" xfId="0" applyFont="1" applyFill="1" applyBorder="1" applyAlignment="1">
      <alignment horizontal="center" vertical="center"/>
    </xf>
    <xf numFmtId="0" fontId="30" fillId="4" borderId="53" xfId="0" applyFont="1" applyFill="1" applyBorder="1" applyAlignment="1">
      <alignment horizontal="center" vertical="center"/>
    </xf>
    <xf numFmtId="0" fontId="30" fillId="4" borderId="47" xfId="0" applyFont="1" applyFill="1" applyBorder="1" applyAlignment="1">
      <alignment horizontal="center" vertical="center"/>
    </xf>
    <xf numFmtId="0" fontId="30" fillId="4" borderId="14" xfId="0" applyFont="1" applyFill="1" applyBorder="1" applyAlignment="1">
      <alignment horizontal="center" vertical="center"/>
    </xf>
    <xf numFmtId="0" fontId="30" fillId="4" borderId="28" xfId="0" applyFont="1" applyFill="1" applyBorder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29" fillId="0" borderId="0" xfId="0" applyFont="1" applyAlignment="1">
      <alignment horizontal="left" vertical="center"/>
    </xf>
    <xf numFmtId="0" fontId="35" fillId="8" borderId="19" xfId="0" applyFont="1" applyFill="1" applyBorder="1" applyAlignment="1">
      <alignment horizontal="center" vertical="center"/>
    </xf>
    <xf numFmtId="0" fontId="35" fillId="8" borderId="40" xfId="0" applyFont="1" applyFill="1" applyBorder="1" applyAlignment="1">
      <alignment horizontal="center" vertical="center"/>
    </xf>
    <xf numFmtId="0" fontId="35" fillId="8" borderId="20" xfId="0" applyFont="1" applyFill="1" applyBorder="1" applyAlignment="1">
      <alignment horizontal="center" vertical="center"/>
    </xf>
    <xf numFmtId="0" fontId="38" fillId="0" borderId="11" xfId="0" applyFont="1" applyBorder="1" applyAlignment="1">
      <alignment horizontal="center" vertical="center"/>
    </xf>
    <xf numFmtId="0" fontId="22" fillId="9" borderId="19" xfId="0" applyFont="1" applyFill="1" applyBorder="1" applyAlignment="1">
      <alignment horizontal="center" vertical="center"/>
    </xf>
    <xf numFmtId="0" fontId="22" fillId="9" borderId="20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/>
    </xf>
    <xf numFmtId="0" fontId="22" fillId="9" borderId="53" xfId="0" applyFont="1" applyFill="1" applyBorder="1" applyAlignment="1">
      <alignment horizontal="center" vertical="center"/>
    </xf>
    <xf numFmtId="0" fontId="22" fillId="9" borderId="43" xfId="0" applyFont="1" applyFill="1" applyBorder="1" applyAlignment="1">
      <alignment horizontal="center" vertical="center" wrapText="1"/>
    </xf>
    <xf numFmtId="0" fontId="22" fillId="9" borderId="53" xfId="0" applyFont="1" applyFill="1" applyBorder="1" applyAlignment="1">
      <alignment horizontal="center" vertical="center" wrapText="1"/>
    </xf>
    <xf numFmtId="0" fontId="22" fillId="0" borderId="28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9" borderId="40" xfId="0" applyFont="1" applyFill="1" applyBorder="1" applyAlignment="1">
      <alignment horizontal="center" vertical="center"/>
    </xf>
    <xf numFmtId="0" fontId="22" fillId="8" borderId="16" xfId="0" applyFont="1" applyFill="1" applyBorder="1" applyAlignment="1">
      <alignment horizontal="center" vertical="center" wrapText="1"/>
    </xf>
    <xf numFmtId="0" fontId="22" fillId="8" borderId="16" xfId="0" applyFont="1" applyFill="1" applyBorder="1" applyAlignment="1">
      <alignment horizontal="center" vertical="center"/>
    </xf>
    <xf numFmtId="0" fontId="22" fillId="0" borderId="43" xfId="0" applyFont="1" applyBorder="1" applyAlignment="1">
      <alignment horizontal="center" vertical="center"/>
    </xf>
    <xf numFmtId="0" fontId="22" fillId="0" borderId="48" xfId="0" applyFont="1" applyBorder="1" applyAlignment="1">
      <alignment horizontal="center" vertical="center"/>
    </xf>
    <xf numFmtId="0" fontId="22" fillId="0" borderId="53" xfId="0" applyFont="1" applyBorder="1" applyAlignment="1">
      <alignment horizontal="center" vertical="center"/>
    </xf>
    <xf numFmtId="0" fontId="22" fillId="9" borderId="48" xfId="0" applyFont="1" applyFill="1" applyBorder="1" applyAlignment="1">
      <alignment horizontal="center" vertical="center" wrapText="1"/>
    </xf>
    <xf numFmtId="0" fontId="22" fillId="9" borderId="48" xfId="0" applyFont="1" applyFill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/>
    </xf>
    <xf numFmtId="0" fontId="22" fillId="9" borderId="16" xfId="0" applyFont="1" applyFill="1" applyBorder="1" applyAlignment="1">
      <alignment horizontal="center" vertical="center" wrapText="1"/>
    </xf>
    <xf numFmtId="0" fontId="22" fillId="9" borderId="19" xfId="0" applyFont="1" applyFill="1" applyBorder="1" applyAlignment="1">
      <alignment horizontal="center" vertical="center" wrapText="1"/>
    </xf>
    <xf numFmtId="0" fontId="22" fillId="0" borderId="11" xfId="0" applyFont="1" applyBorder="1" applyAlignment="1">
      <alignment horizontal="center" vertical="center"/>
    </xf>
    <xf numFmtId="164" fontId="13" fillId="0" borderId="0" xfId="0" applyNumberFormat="1" applyFont="1" applyAlignment="1">
      <alignment horizontal="left" vertical="center"/>
    </xf>
    <xf numFmtId="0" fontId="22" fillId="9" borderId="47" xfId="0" applyFont="1" applyFill="1" applyBorder="1" applyAlignment="1">
      <alignment horizontal="center" vertical="center"/>
    </xf>
    <xf numFmtId="0" fontId="22" fillId="9" borderId="14" xfId="0" applyFont="1" applyFill="1" applyBorder="1" applyAlignment="1">
      <alignment horizontal="center" vertical="center"/>
    </xf>
    <xf numFmtId="0" fontId="22" fillId="9" borderId="28" xfId="0" applyFont="1" applyFill="1" applyBorder="1" applyAlignment="1">
      <alignment horizontal="center" vertical="center"/>
    </xf>
    <xf numFmtId="0" fontId="22" fillId="10" borderId="19" xfId="0" applyFont="1" applyFill="1" applyBorder="1" applyAlignment="1">
      <alignment horizontal="center" vertical="center"/>
    </xf>
    <xf numFmtId="0" fontId="22" fillId="10" borderId="20" xfId="0" applyFont="1" applyFill="1" applyBorder="1" applyAlignment="1">
      <alignment horizontal="center" vertical="center"/>
    </xf>
    <xf numFmtId="0" fontId="22" fillId="8" borderId="50" xfId="0" applyFont="1" applyFill="1" applyBorder="1" applyAlignment="1">
      <alignment vertical="center"/>
    </xf>
    <xf numFmtId="0" fontId="22" fillId="8" borderId="38" xfId="0" applyFont="1" applyFill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1" xfId="0" applyFont="1" applyBorder="1" applyAlignment="1">
      <alignment vertical="center"/>
    </xf>
    <xf numFmtId="0" fontId="10" fillId="0" borderId="22" xfId="0" applyFont="1" applyBorder="1" applyAlignment="1">
      <alignment vertical="center"/>
    </xf>
    <xf numFmtId="0" fontId="22" fillId="8" borderId="0" xfId="0" applyFont="1" applyFill="1" applyAlignment="1">
      <alignment vertical="center"/>
    </xf>
    <xf numFmtId="0" fontId="10" fillId="0" borderId="70" xfId="0" applyFont="1" applyBorder="1" applyAlignment="1">
      <alignment vertical="center"/>
    </xf>
    <xf numFmtId="0" fontId="10" fillId="0" borderId="69" xfId="0" applyFont="1" applyBorder="1" applyAlignment="1">
      <alignment vertical="center"/>
    </xf>
    <xf numFmtId="0" fontId="22" fillId="9" borderId="11" xfId="0" applyFont="1" applyFill="1" applyBorder="1" applyAlignment="1">
      <alignment horizontal="center" vertical="center"/>
    </xf>
    <xf numFmtId="0" fontId="22" fillId="0" borderId="0" xfId="0" applyFont="1" applyAlignment="1">
      <alignment horizontal="left" vertical="center" wrapText="1"/>
    </xf>
    <xf numFmtId="0" fontId="13" fillId="8" borderId="30" xfId="0" applyFont="1" applyFill="1" applyBorder="1" applyAlignment="1">
      <alignment horizontal="center" vertical="center"/>
    </xf>
    <xf numFmtId="0" fontId="13" fillId="8" borderId="11" xfId="0" applyFont="1" applyFill="1" applyBorder="1" applyAlignment="1">
      <alignment horizontal="center" vertical="center"/>
    </xf>
    <xf numFmtId="0" fontId="13" fillId="8" borderId="22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22" fillId="9" borderId="22" xfId="0" applyFont="1" applyFill="1" applyBorder="1" applyAlignment="1">
      <alignment horizontal="center" vertical="center"/>
    </xf>
    <xf numFmtId="0" fontId="10" fillId="0" borderId="21" xfId="0" applyFont="1" applyBorder="1" applyAlignment="1">
      <alignment vertical="center"/>
    </xf>
    <xf numFmtId="0" fontId="30" fillId="0" borderId="28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9" borderId="19" xfId="0" applyFont="1" applyFill="1" applyBorder="1" applyAlignment="1">
      <alignment horizontal="center" vertical="center"/>
    </xf>
    <xf numFmtId="0" fontId="30" fillId="9" borderId="20" xfId="0" applyFont="1" applyFill="1" applyBorder="1" applyAlignment="1">
      <alignment horizontal="center" vertical="center"/>
    </xf>
    <xf numFmtId="0" fontId="30" fillId="9" borderId="40" xfId="0" applyFont="1" applyFill="1" applyBorder="1" applyAlignment="1">
      <alignment horizontal="center" vertical="center"/>
    </xf>
    <xf numFmtId="0" fontId="30" fillId="9" borderId="14" xfId="0" applyFont="1" applyFill="1" applyBorder="1" applyAlignment="1">
      <alignment horizontal="center" vertical="center"/>
    </xf>
    <xf numFmtId="0" fontId="30" fillId="9" borderId="28" xfId="0" applyFont="1" applyFill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8" xfId="0" applyFont="1" applyBorder="1" applyAlignment="1">
      <alignment horizontal="center" vertical="center"/>
    </xf>
    <xf numFmtId="0" fontId="30" fillId="0" borderId="53" xfId="0" applyFont="1" applyBorder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0" xfId="0" applyFont="1" applyAlignment="1">
      <alignment horizontal="right" vertical="center"/>
    </xf>
    <xf numFmtId="0" fontId="22" fillId="8" borderId="43" xfId="0" applyFont="1" applyFill="1" applyBorder="1" applyAlignment="1">
      <alignment horizontal="center" vertical="center" wrapText="1"/>
    </xf>
    <xf numFmtId="0" fontId="22" fillId="8" borderId="53" xfId="0" applyFont="1" applyFill="1" applyBorder="1" applyAlignment="1">
      <alignment horizontal="center" vertical="center" wrapText="1"/>
    </xf>
    <xf numFmtId="0" fontId="22" fillId="8" borderId="19" xfId="0" applyFont="1" applyFill="1" applyBorder="1" applyAlignment="1">
      <alignment horizontal="center" vertical="center"/>
    </xf>
    <xf numFmtId="0" fontId="22" fillId="8" borderId="40" xfId="0" applyFont="1" applyFill="1" applyBorder="1" applyAlignment="1">
      <alignment horizontal="center" vertical="center"/>
    </xf>
    <xf numFmtId="0" fontId="22" fillId="8" borderId="20" xfId="0" applyFont="1" applyFill="1" applyBorder="1" applyAlignment="1">
      <alignment horizontal="center" vertical="center"/>
    </xf>
  </cellXfs>
  <cellStyles count="8">
    <cellStyle name="Hipervínculo" xfId="6" builtinId="8"/>
    <cellStyle name="Millares" xfId="3" builtinId="3"/>
    <cellStyle name="Normal" xfId="0" builtinId="0"/>
    <cellStyle name="Normal 2" xfId="1" xr:uid="{00000000-0005-0000-0000-000002000000}"/>
    <cellStyle name="Normal 3" xfId="2" xr:uid="{00000000-0005-0000-0000-000003000000}"/>
    <cellStyle name="Normal 4" xfId="5" xr:uid="{00000000-0005-0000-0000-000004000000}"/>
    <cellStyle name="Normal 5" xfId="7" xr:uid="{9B7880B6-04C1-47A5-A231-A87FDF9E7D0F}"/>
    <cellStyle name="Porcentaje" xfId="4" builtinId="5"/>
  </cellStyles>
  <dxfs count="28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theme="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00B050"/>
      </font>
    </dxf>
  </dxfs>
  <tableStyles count="0" defaultTableStyle="TableStyleMedium2" defaultPivotStyle="PivotStyleLight16"/>
  <colors>
    <mruColors>
      <color rgb="FF99FF99"/>
      <color rgb="FFFC0CEB"/>
      <color rgb="FF66FF66"/>
      <color rgb="FF2EFEF4"/>
      <color rgb="FFFFFF66"/>
      <color rgb="FF996633"/>
      <color rgb="FFFFFFCC"/>
      <color rgb="FFFFFF99"/>
      <color rgb="FFCCECFF"/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_rels/chart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8122770224890415E-2"/>
          <c:y val="8.6505336466899035E-2"/>
          <c:w val="0.72797071055344253"/>
          <c:h val="0.60207714180961724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CAMP.'!$C$25:$C$36</c:f>
              <c:numCache>
                <c:formatCode>#,##0.0</c:formatCode>
                <c:ptCount val="12"/>
                <c:pt idx="0">
                  <c:v>12.69769</c:v>
                </c:pt>
                <c:pt idx="1">
                  <c:v>18.94698</c:v>
                </c:pt>
                <c:pt idx="2">
                  <c:v>35.594239999999999</c:v>
                </c:pt>
                <c:pt idx="3">
                  <c:v>12.83714</c:v>
                </c:pt>
                <c:pt idx="4">
                  <c:v>17.419599999999999</c:v>
                </c:pt>
                <c:pt idx="5">
                  <c:v>12.03758</c:v>
                </c:pt>
                <c:pt idx="6">
                  <c:v>21.93187</c:v>
                </c:pt>
                <c:pt idx="7">
                  <c:v>20.429549999999999</c:v>
                </c:pt>
                <c:pt idx="8">
                  <c:v>16.474689999999999</c:v>
                </c:pt>
                <c:pt idx="9">
                  <c:v>12.6548</c:v>
                </c:pt>
                <c:pt idx="10">
                  <c:v>20.247869999999999</c:v>
                </c:pt>
                <c:pt idx="11">
                  <c:v>11.521409999999999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34-4BAB-8504-6C138B448BAB}"/>
            </c:ext>
          </c:extLst>
        </c:ser>
        <c:ser>
          <c:idx val="3"/>
          <c:order val="1"/>
          <c:tx>
            <c:strRef>
              <c:f>'02_CUADRYGRÁF.COMP.ÚLT.5 CAMP.'!$D$24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CAMP.'!$D$25:$D$36</c:f>
              <c:numCache>
                <c:formatCode>#,##0.0</c:formatCode>
                <c:ptCount val="12"/>
                <c:pt idx="0">
                  <c:v>13.250510999999999</c:v>
                </c:pt>
                <c:pt idx="1">
                  <c:v>22.196355000000001</c:v>
                </c:pt>
                <c:pt idx="2">
                  <c:v>35.413638999999996</c:v>
                </c:pt>
                <c:pt idx="3">
                  <c:v>13.040041</c:v>
                </c:pt>
                <c:pt idx="4">
                  <c:v>19.216601999999998</c:v>
                </c:pt>
                <c:pt idx="5">
                  <c:v>17.429421999999999</c:v>
                </c:pt>
                <c:pt idx="6">
                  <c:v>10.323653999999999</c:v>
                </c:pt>
                <c:pt idx="7">
                  <c:v>14.328992999999999</c:v>
                </c:pt>
                <c:pt idx="8">
                  <c:v>16.168545000000002</c:v>
                </c:pt>
                <c:pt idx="9">
                  <c:v>19.188001</c:v>
                </c:pt>
                <c:pt idx="10">
                  <c:v>14.861437000000002</c:v>
                </c:pt>
                <c:pt idx="11">
                  <c:v>19.744251999999999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34-4BAB-8504-6C138B448BAB}"/>
            </c:ext>
          </c:extLst>
        </c:ser>
        <c:ser>
          <c:idx val="4"/>
          <c:order val="2"/>
          <c:tx>
            <c:strRef>
              <c:f>'02_CUADRYGRÁF.COMP.ÚLT.5 CAMP.'!$E$24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CAMP.'!$E$25:$E$36</c:f>
              <c:numCache>
                <c:formatCode>#,##0.0</c:formatCode>
                <c:ptCount val="12"/>
                <c:pt idx="0">
                  <c:v>14.465849000000002</c:v>
                </c:pt>
                <c:pt idx="1">
                  <c:v>28.280684999999998</c:v>
                </c:pt>
                <c:pt idx="2">
                  <c:v>26.757531999999998</c:v>
                </c:pt>
                <c:pt idx="3">
                  <c:v>18.214635000000001</c:v>
                </c:pt>
                <c:pt idx="4">
                  <c:v>20.514472000000001</c:v>
                </c:pt>
                <c:pt idx="5">
                  <c:v>21.408030999999998</c:v>
                </c:pt>
                <c:pt idx="6">
                  <c:v>23.6309</c:v>
                </c:pt>
                <c:pt idx="7">
                  <c:v>20.321337000000003</c:v>
                </c:pt>
                <c:pt idx="8">
                  <c:v>17.351096999999999</c:v>
                </c:pt>
                <c:pt idx="9">
                  <c:v>21.684970999999997</c:v>
                </c:pt>
                <c:pt idx="10">
                  <c:v>15.398775999999998</c:v>
                </c:pt>
                <c:pt idx="11">
                  <c:v>15.206740000000002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34-4BAB-8504-6C138B448BAB}"/>
            </c:ext>
          </c:extLst>
        </c:ser>
        <c:ser>
          <c:idx val="0"/>
          <c:order val="3"/>
          <c:tx>
            <c:strRef>
              <c:f>'02_CUADRYGRÁF.COMP.ÚLT.5 CAMP.'!$F$24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CAMP.'!$F$25:$F$36</c:f>
              <c:numCache>
                <c:formatCode>#,##0.0</c:formatCode>
                <c:ptCount val="12"/>
                <c:pt idx="0">
                  <c:v>15.916</c:v>
                </c:pt>
                <c:pt idx="1">
                  <c:v>23.576000000000001</c:v>
                </c:pt>
                <c:pt idx="2">
                  <c:v>30.591999999999999</c:v>
                </c:pt>
                <c:pt idx="3">
                  <c:v>17.385000000000002</c:v>
                </c:pt>
                <c:pt idx="4">
                  <c:v>19.042000000000002</c:v>
                </c:pt>
                <c:pt idx="5">
                  <c:v>22.052</c:v>
                </c:pt>
                <c:pt idx="6">
                  <c:v>16.635000000000002</c:v>
                </c:pt>
                <c:pt idx="7">
                  <c:v>15.276999999999999</c:v>
                </c:pt>
                <c:pt idx="8">
                  <c:v>14.541</c:v>
                </c:pt>
                <c:pt idx="9">
                  <c:v>13.11</c:v>
                </c:pt>
                <c:pt idx="10">
                  <c:v>6.7649999999999997</c:v>
                </c:pt>
                <c:pt idx="11">
                  <c:v>11.167999999999999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34-4BAB-8504-6C138B448BAB}"/>
            </c:ext>
          </c:extLst>
        </c:ser>
        <c:ser>
          <c:idx val="1"/>
          <c:order val="4"/>
          <c:tx>
            <c:strRef>
              <c:f>'02_CUADRYGRÁF.COMP.ÚLT.5 CAMP.'!$G$24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CAMP.'!$B$25:$B$36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CAMP.'!$G$25:$G$36</c:f>
              <c:numCache>
                <c:formatCode>#,##0.0</c:formatCode>
                <c:ptCount val="12"/>
                <c:pt idx="0">
                  <c:v>9.1419999999999995</c:v>
                </c:pt>
                <c:pt idx="1">
                  <c:v>25.175999999999998</c:v>
                </c:pt>
                <c:pt idx="2">
                  <c:v>27.878</c:v>
                </c:pt>
                <c:pt idx="3">
                  <c:v>18.731000000000002</c:v>
                </c:pt>
                <c:pt idx="4">
                  <c:v>21.02</c:v>
                </c:pt>
                <c:pt idx="5">
                  <c:v>27.547000000000001</c:v>
                </c:pt>
                <c:pt idx="6">
                  <c:v>23.062000000000001</c:v>
                </c:pt>
                <c:pt idx="7">
                  <c:v>24.994</c:v>
                </c:pt>
                <c:pt idx="8">
                  <c:v>23.635999999999999</c:v>
                </c:pt>
                <c:pt idx="9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34-4BAB-8504-6C138B448B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91921024"/>
        <c:axId val="-191920480"/>
      </c:lineChart>
      <c:catAx>
        <c:axId val="-19192102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048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9192048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91921024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145365047362159"/>
          <c:w val="0.147509779668346"/>
          <c:h val="0.33218065734862717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>
      <c:oddHeader>&amp;Z&amp;G&amp;D&amp;"Arial,Normal"&amp;9CAMPAÑA: 2020/2021. MES: JUNIO
Fecha de emisión de datos:  26/07/2021</c:oddHeader>
    </c:headerFooter>
    <c:pageMargins b="0.75" l="0.7" r="0.7" t="0.75" header="0.3" footer="0.3"/>
    <c:pageSetup paperSize="9" orientation="landscape" verticalDpi="12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095256873617696"/>
          <c:y val="8.9965549925574997E-2"/>
          <c:w val="0.68762032667471484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CAMP.'!$C$42:$C$53</c:f>
              <c:numCache>
                <c:formatCode>#,##0.0</c:formatCode>
                <c:ptCount val="12"/>
                <c:pt idx="0">
                  <c:v>83.497780000000006</c:v>
                </c:pt>
                <c:pt idx="1">
                  <c:v>83.408450000000002</c:v>
                </c:pt>
                <c:pt idx="2">
                  <c:v>81.426829999999995</c:v>
                </c:pt>
                <c:pt idx="3">
                  <c:v>73.745919999999998</c:v>
                </c:pt>
                <c:pt idx="4">
                  <c:v>88.329570000000004</c:v>
                </c:pt>
                <c:pt idx="5">
                  <c:v>78.297970000000007</c:v>
                </c:pt>
                <c:pt idx="6">
                  <c:v>107.33327</c:v>
                </c:pt>
                <c:pt idx="7">
                  <c:v>117.81834000000001</c:v>
                </c:pt>
                <c:pt idx="8">
                  <c:v>103.44632</c:v>
                </c:pt>
                <c:pt idx="9">
                  <c:v>90.426969999999997</c:v>
                </c:pt>
                <c:pt idx="10">
                  <c:v>83.145229999999998</c:v>
                </c:pt>
                <c:pt idx="11">
                  <c:v>89.365840000000006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560-4875-B441-B350F1C4E6DC}"/>
            </c:ext>
          </c:extLst>
        </c:ser>
        <c:ser>
          <c:idx val="2"/>
          <c:order val="1"/>
          <c:tx>
            <c:strRef>
              <c:f>'02_CUADRYGRÁF.COMP.ÚLT.5 CAMP.'!$D$41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CAMP.'!$D$42:$D$53</c:f>
              <c:numCache>
                <c:formatCode>#,##0.0</c:formatCode>
                <c:ptCount val="12"/>
                <c:pt idx="0">
                  <c:v>88.527711999999994</c:v>
                </c:pt>
                <c:pt idx="1">
                  <c:v>67.690599000000006</c:v>
                </c:pt>
                <c:pt idx="2">
                  <c:v>63.568779999999997</c:v>
                </c:pt>
                <c:pt idx="3">
                  <c:v>55.971190999999997</c:v>
                </c:pt>
                <c:pt idx="4">
                  <c:v>48.263340999999997</c:v>
                </c:pt>
                <c:pt idx="5">
                  <c:v>64.195955999999995</c:v>
                </c:pt>
                <c:pt idx="6">
                  <c:v>51.589895999999996</c:v>
                </c:pt>
                <c:pt idx="7">
                  <c:v>68.252665999999991</c:v>
                </c:pt>
                <c:pt idx="8">
                  <c:v>65.064920000000001</c:v>
                </c:pt>
                <c:pt idx="9">
                  <c:v>58.873540999999996</c:v>
                </c:pt>
                <c:pt idx="10">
                  <c:v>48.126509000000006</c:v>
                </c:pt>
                <c:pt idx="11">
                  <c:v>58.72625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560-4875-B441-B350F1C4E6DC}"/>
            </c:ext>
          </c:extLst>
        </c:ser>
        <c:ser>
          <c:idx val="3"/>
          <c:order val="2"/>
          <c:tx>
            <c:strRef>
              <c:f>'02_CUADRYGRÁF.COMP.ÚLT.5 CAMP.'!$E$41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CAMP.'!$E$42:$E$53</c:f>
              <c:numCache>
                <c:formatCode>#,##0.0</c:formatCode>
                <c:ptCount val="12"/>
                <c:pt idx="0">
                  <c:v>55.755136</c:v>
                </c:pt>
                <c:pt idx="1">
                  <c:v>52.714599</c:v>
                </c:pt>
                <c:pt idx="2">
                  <c:v>59.829063000000005</c:v>
                </c:pt>
                <c:pt idx="3">
                  <c:v>69.545023999999998</c:v>
                </c:pt>
                <c:pt idx="4">
                  <c:v>64.995784</c:v>
                </c:pt>
                <c:pt idx="5">
                  <c:v>60.610639999999997</c:v>
                </c:pt>
                <c:pt idx="6">
                  <c:v>74.409193999999999</c:v>
                </c:pt>
                <c:pt idx="7">
                  <c:v>72.284805000000006</c:v>
                </c:pt>
                <c:pt idx="8">
                  <c:v>66.577892000000006</c:v>
                </c:pt>
                <c:pt idx="9">
                  <c:v>59.465797999999999</c:v>
                </c:pt>
                <c:pt idx="10">
                  <c:v>55.070331999999993</c:v>
                </c:pt>
                <c:pt idx="11">
                  <c:v>69.067084000000008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560-4875-B441-B350F1C4E6DC}"/>
            </c:ext>
          </c:extLst>
        </c:ser>
        <c:ser>
          <c:idx val="4"/>
          <c:order val="3"/>
          <c:tx>
            <c:strRef>
              <c:f>'02_CUADRYGRÁF.COMP.ÚLT.5 CAMP.'!$F$41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CAMP.'!$F$42:$F$53</c:f>
              <c:numCache>
                <c:formatCode>#,##0.0</c:formatCode>
                <c:ptCount val="12"/>
                <c:pt idx="0">
                  <c:v>60.277999999999999</c:v>
                </c:pt>
                <c:pt idx="1">
                  <c:v>59.936999999999998</c:v>
                </c:pt>
                <c:pt idx="2">
                  <c:v>69.722999999999999</c:v>
                </c:pt>
                <c:pt idx="3">
                  <c:v>89.304000000000002</c:v>
                </c:pt>
                <c:pt idx="4">
                  <c:v>90.628</c:v>
                </c:pt>
                <c:pt idx="5">
                  <c:v>96.980999999999995</c:v>
                </c:pt>
                <c:pt idx="6">
                  <c:v>98.778000000000006</c:v>
                </c:pt>
                <c:pt idx="7">
                  <c:v>99.323999999999998</c:v>
                </c:pt>
                <c:pt idx="8">
                  <c:v>94.483000000000004</c:v>
                </c:pt>
                <c:pt idx="9">
                  <c:v>110.997</c:v>
                </c:pt>
                <c:pt idx="10">
                  <c:v>76.051000000000002</c:v>
                </c:pt>
                <c:pt idx="11">
                  <c:v>95.087000000000003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560-4875-B441-B350F1C4E6DC}"/>
            </c:ext>
          </c:extLst>
        </c:ser>
        <c:ser>
          <c:idx val="0"/>
          <c:order val="4"/>
          <c:tx>
            <c:strRef>
              <c:f>'02_CUADRYGRÁF.COMP.ÚLT.5 CAMP.'!$G$41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CAMP.'!$B$42:$B$53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CAMP.'!$G$42:$G$53</c:f>
              <c:numCache>
                <c:formatCode>#,##0.0</c:formatCode>
                <c:ptCount val="12"/>
                <c:pt idx="0">
                  <c:v>77.968000000000004</c:v>
                </c:pt>
                <c:pt idx="1">
                  <c:v>72.296999999999997</c:v>
                </c:pt>
                <c:pt idx="2">
                  <c:v>72.191999999999993</c:v>
                </c:pt>
                <c:pt idx="3">
                  <c:v>79.191000000000003</c:v>
                </c:pt>
                <c:pt idx="4">
                  <c:v>89.275999999999996</c:v>
                </c:pt>
                <c:pt idx="5">
                  <c:v>97.917000000000002</c:v>
                </c:pt>
                <c:pt idx="6">
                  <c:v>86.625</c:v>
                </c:pt>
                <c:pt idx="7">
                  <c:v>85.094999999999999</c:v>
                </c:pt>
                <c:pt idx="8">
                  <c:v>83.879000000000005</c:v>
                </c:pt>
                <c:pt idx="9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560-4875-B441-B350F1C4E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356800448"/>
        <c:axId val="-140617600"/>
      </c:lineChart>
      <c:catAx>
        <c:axId val="-3568004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60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600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356800448"/>
        <c:crosses val="autoZero"/>
        <c:crossBetween val="between"/>
        <c:majorUnit val="10"/>
        <c:min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2873140857392"/>
          <c:y val="0.17993115912414062"/>
          <c:w val="0.14666686664166972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655172413793102E-2"/>
          <c:w val="0.68582503783719062"/>
          <c:h val="0.6344827586206897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CAMP.'!$C$58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CAMP.'!$C$59:$C$70</c:f>
              <c:numCache>
                <c:formatCode>#,##0.0</c:formatCode>
                <c:ptCount val="12"/>
                <c:pt idx="0">
                  <c:v>39.580289999999991</c:v>
                </c:pt>
                <c:pt idx="1">
                  <c:v>47.737710000000106</c:v>
                </c:pt>
                <c:pt idx="2">
                  <c:v>51.740049999999883</c:v>
                </c:pt>
                <c:pt idx="3">
                  <c:v>54.079529999999977</c:v>
                </c:pt>
                <c:pt idx="4">
                  <c:v>44.300939999999855</c:v>
                </c:pt>
                <c:pt idx="5">
                  <c:v>70.669459999999845</c:v>
                </c:pt>
                <c:pt idx="6">
                  <c:v>56.208309999999756</c:v>
                </c:pt>
                <c:pt idx="7">
                  <c:v>40.9214300000001</c:v>
                </c:pt>
                <c:pt idx="8">
                  <c:v>53.415010000000166</c:v>
                </c:pt>
                <c:pt idx="9">
                  <c:v>33.554689999999937</c:v>
                </c:pt>
                <c:pt idx="10">
                  <c:v>53.860740000000078</c:v>
                </c:pt>
                <c:pt idx="11">
                  <c:v>48.50745999999998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4A-4D2C-A62D-5D0D7E052D2D}"/>
            </c:ext>
          </c:extLst>
        </c:ser>
        <c:ser>
          <c:idx val="2"/>
          <c:order val="1"/>
          <c:tx>
            <c:strRef>
              <c:f>'02_CUADRYGRÁF.COMP.ÚLT.5 CAMP.'!$D$58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CAMP.'!$D$59:$D$70</c:f>
              <c:numCache>
                <c:formatCode>#,##0.0</c:formatCode>
                <c:ptCount val="12"/>
                <c:pt idx="0">
                  <c:v>42.192538999999968</c:v>
                </c:pt>
                <c:pt idx="1">
                  <c:v>39.500586000000069</c:v>
                </c:pt>
                <c:pt idx="2">
                  <c:v>23.514308999999976</c:v>
                </c:pt>
                <c:pt idx="3">
                  <c:v>14.338199999999894</c:v>
                </c:pt>
                <c:pt idx="4">
                  <c:v>30.050971000000089</c:v>
                </c:pt>
                <c:pt idx="5">
                  <c:v>30.523865999999913</c:v>
                </c:pt>
                <c:pt idx="6">
                  <c:v>21.662618000000137</c:v>
                </c:pt>
                <c:pt idx="7">
                  <c:v>24.30773699999996</c:v>
                </c:pt>
                <c:pt idx="8">
                  <c:v>26.220445000000069</c:v>
                </c:pt>
                <c:pt idx="9">
                  <c:v>33.425129999999903</c:v>
                </c:pt>
                <c:pt idx="10">
                  <c:v>29.022998000000023</c:v>
                </c:pt>
                <c:pt idx="11">
                  <c:v>33.929872000000039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4A-4D2C-A62D-5D0D7E052D2D}"/>
            </c:ext>
          </c:extLst>
        </c:ser>
        <c:ser>
          <c:idx val="3"/>
          <c:order val="2"/>
          <c:tx>
            <c:strRef>
              <c:f>'02_CUADRYGRÁF.COMP.ÚLT.5 CAMP.'!$E$58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CAMP.'!$E$59:$E$70</c:f>
              <c:numCache>
                <c:formatCode>#,##0.0</c:formatCode>
                <c:ptCount val="12"/>
                <c:pt idx="0">
                  <c:v>25.320353000000004</c:v>
                </c:pt>
                <c:pt idx="1">
                  <c:v>46.902145999999981</c:v>
                </c:pt>
                <c:pt idx="2">
                  <c:v>37.019948999999897</c:v>
                </c:pt>
                <c:pt idx="3">
                  <c:v>38.703651000000164</c:v>
                </c:pt>
                <c:pt idx="4">
                  <c:v>31.149568000000116</c:v>
                </c:pt>
                <c:pt idx="5">
                  <c:v>29.476640999999852</c:v>
                </c:pt>
                <c:pt idx="6">
                  <c:v>33.780936000000068</c:v>
                </c:pt>
                <c:pt idx="7">
                  <c:v>33.620891999999913</c:v>
                </c:pt>
                <c:pt idx="8">
                  <c:v>26.832244999999958</c:v>
                </c:pt>
                <c:pt idx="9">
                  <c:v>34.862613000000017</c:v>
                </c:pt>
                <c:pt idx="10">
                  <c:v>30.873044000000007</c:v>
                </c:pt>
                <c:pt idx="11">
                  <c:v>31.315436000000048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4A-4D2C-A62D-5D0D7E052D2D}"/>
            </c:ext>
          </c:extLst>
        </c:ser>
        <c:ser>
          <c:idx val="4"/>
          <c:order val="3"/>
          <c:tx>
            <c:strRef>
              <c:f>'02_CUADRYGRÁF.COMP.ÚLT.5 CAMP.'!$F$58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CAMP.'!$F$59:$F$70</c:f>
              <c:numCache>
                <c:formatCode>#,##0.0</c:formatCode>
                <c:ptCount val="12"/>
                <c:pt idx="0">
                  <c:v>38.408901540294202</c:v>
                </c:pt>
                <c:pt idx="1">
                  <c:v>40.438747368009544</c:v>
                </c:pt>
                <c:pt idx="2">
                  <c:v>54.225039957053212</c:v>
                </c:pt>
                <c:pt idx="3">
                  <c:v>49.430284128360796</c:v>
                </c:pt>
                <c:pt idx="4">
                  <c:v>40.568916641591116</c:v>
                </c:pt>
                <c:pt idx="5">
                  <c:v>43.606513839920041</c:v>
                </c:pt>
                <c:pt idx="6">
                  <c:v>35.672966110545204</c:v>
                </c:pt>
                <c:pt idx="7">
                  <c:v>36.885763834672744</c:v>
                </c:pt>
                <c:pt idx="8">
                  <c:v>37.955560000000105</c:v>
                </c:pt>
                <c:pt idx="9">
                  <c:v>37.736179999999948</c:v>
                </c:pt>
                <c:pt idx="10">
                  <c:v>35.512659999999983</c:v>
                </c:pt>
                <c:pt idx="11">
                  <c:v>32.33750000000002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14A-4D2C-A62D-5D0D7E052D2D}"/>
            </c:ext>
          </c:extLst>
        </c:ser>
        <c:ser>
          <c:idx val="0"/>
          <c:order val="4"/>
          <c:tx>
            <c:strRef>
              <c:f>'02_CUADRYGRÁF.COMP.ÚLT.5 CAMP.'!$G$58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CAMP.'!$B$59:$B$70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CAMP.'!$G$59:$G$70</c:f>
              <c:numCache>
                <c:formatCode>#,##0.0</c:formatCode>
                <c:ptCount val="12"/>
                <c:pt idx="0">
                  <c:v>37.725166850769099</c:v>
                </c:pt>
                <c:pt idx="1">
                  <c:v>46.12420188141212</c:v>
                </c:pt>
                <c:pt idx="2">
                  <c:v>46.919312737470037</c:v>
                </c:pt>
                <c:pt idx="3">
                  <c:v>41.017115359283281</c:v>
                </c:pt>
                <c:pt idx="4">
                  <c:v>45.61591451636771</c:v>
                </c:pt>
                <c:pt idx="5">
                  <c:v>48.161457483305782</c:v>
                </c:pt>
                <c:pt idx="6">
                  <c:v>32.422952344741702</c:v>
                </c:pt>
                <c:pt idx="7">
                  <c:v>30.781538826650518</c:v>
                </c:pt>
                <c:pt idx="8">
                  <c:v>34.923590000000004</c:v>
                </c:pt>
                <c:pt idx="9">
                  <c:v>41.375130000000013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14A-4D2C-A62D-5D0D7E052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0528"/>
        <c:axId val="-140614336"/>
      </c:lineChart>
      <c:catAx>
        <c:axId val="-14061052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33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4336"/>
        <c:scaling>
          <c:orientation val="minMax"/>
          <c:max val="10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2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0528"/>
        <c:crosses val="autoZero"/>
        <c:crossBetween val="between"/>
        <c:majorUnit val="1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8275862068965518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0153275699824331"/>
          <c:y val="8.9965549925574997E-2"/>
          <c:w val="0.66666791387525792"/>
          <c:h val="0.63321906293770092"/>
        </c:manualLayout>
      </c:layout>
      <c:lineChart>
        <c:grouping val="standard"/>
        <c:varyColors val="0"/>
        <c:ser>
          <c:idx val="1"/>
          <c:order val="0"/>
          <c:tx>
            <c:strRef>
              <c:f>'02_CUADRYGRÁF.COMP.ÚLT.5 CAMP.'!$C$75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CAMP.'!$C$76:$C$87</c:f>
              <c:numCache>
                <c:formatCode>#,##0.0</c:formatCode>
                <c:ptCount val="12"/>
                <c:pt idx="0">
                  <c:v>123.07807</c:v>
                </c:pt>
                <c:pt idx="1">
                  <c:v>131.14616000000012</c:v>
                </c:pt>
                <c:pt idx="2">
                  <c:v>133.16687999999988</c:v>
                </c:pt>
                <c:pt idx="3">
                  <c:v>127.82544999999998</c:v>
                </c:pt>
                <c:pt idx="4">
                  <c:v>132.63050999999984</c:v>
                </c:pt>
                <c:pt idx="5">
                  <c:v>148.96742999999987</c:v>
                </c:pt>
                <c:pt idx="6">
                  <c:v>163.54157999999975</c:v>
                </c:pt>
                <c:pt idx="7">
                  <c:v>158.73977000000011</c:v>
                </c:pt>
                <c:pt idx="8">
                  <c:v>156.86133000000018</c:v>
                </c:pt>
                <c:pt idx="9">
                  <c:v>123.98165999999993</c:v>
                </c:pt>
                <c:pt idx="10">
                  <c:v>137.00597000000008</c:v>
                </c:pt>
                <c:pt idx="11">
                  <c:v>137.87329999999997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831-4020-905F-80FDCE349053}"/>
            </c:ext>
          </c:extLst>
        </c:ser>
        <c:ser>
          <c:idx val="2"/>
          <c:order val="1"/>
          <c:tx>
            <c:strRef>
              <c:f>'02_CUADRYGRÁF.COMP.ÚLT.5 CAMP.'!$D$75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CAMP.'!$D$76:$D$87</c:f>
              <c:numCache>
                <c:formatCode>#,##0.0</c:formatCode>
                <c:ptCount val="12"/>
                <c:pt idx="0">
                  <c:v>130.72025099999996</c:v>
                </c:pt>
                <c:pt idx="1">
                  <c:v>107.19118500000008</c:v>
                </c:pt>
                <c:pt idx="2">
                  <c:v>87.083088999999973</c:v>
                </c:pt>
                <c:pt idx="3">
                  <c:v>70.309390999999891</c:v>
                </c:pt>
                <c:pt idx="4">
                  <c:v>78.314312000000086</c:v>
                </c:pt>
                <c:pt idx="5">
                  <c:v>94.719821999999908</c:v>
                </c:pt>
                <c:pt idx="6">
                  <c:v>73.252514000000133</c:v>
                </c:pt>
                <c:pt idx="7">
                  <c:v>92.560402999999951</c:v>
                </c:pt>
                <c:pt idx="8">
                  <c:v>91.28536500000007</c:v>
                </c:pt>
                <c:pt idx="9">
                  <c:v>92.298670999999899</c:v>
                </c:pt>
                <c:pt idx="10">
                  <c:v>77.149507000000028</c:v>
                </c:pt>
                <c:pt idx="11">
                  <c:v>92.656122000000039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831-4020-905F-80FDCE349053}"/>
            </c:ext>
          </c:extLst>
        </c:ser>
        <c:ser>
          <c:idx val="3"/>
          <c:order val="2"/>
          <c:tx>
            <c:strRef>
              <c:f>'02_CUADRYGRÁF.COMP.ÚLT.5 CAMP.'!$E$75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0000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CAMP.'!$E$76:$E$87</c:f>
              <c:numCache>
                <c:formatCode>#,##0.0</c:formatCode>
                <c:ptCount val="12"/>
                <c:pt idx="0">
                  <c:v>81.075489000000005</c:v>
                </c:pt>
                <c:pt idx="1">
                  <c:v>99.61674499999998</c:v>
                </c:pt>
                <c:pt idx="2">
                  <c:v>96.849011999999902</c:v>
                </c:pt>
                <c:pt idx="3">
                  <c:v>108.24867500000016</c:v>
                </c:pt>
                <c:pt idx="4">
                  <c:v>96.145352000000116</c:v>
                </c:pt>
                <c:pt idx="5">
                  <c:v>90.087280999999848</c:v>
                </c:pt>
                <c:pt idx="6">
                  <c:v>108.19013000000007</c:v>
                </c:pt>
                <c:pt idx="7">
                  <c:v>105.90569699999992</c:v>
                </c:pt>
                <c:pt idx="8">
                  <c:v>93.410136999999963</c:v>
                </c:pt>
                <c:pt idx="9">
                  <c:v>94.328411000000017</c:v>
                </c:pt>
                <c:pt idx="10">
                  <c:v>85.943376000000001</c:v>
                </c:pt>
                <c:pt idx="11">
                  <c:v>100.38252000000006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831-4020-905F-80FDCE349053}"/>
            </c:ext>
          </c:extLst>
        </c:ser>
        <c:ser>
          <c:idx val="4"/>
          <c:order val="3"/>
          <c:tx>
            <c:strRef>
              <c:f>'02_CUADRYGRÁF.COMP.ÚLT.5 CAMP.'!$F$75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CAMP.'!$F$76:$F$87</c:f>
              <c:numCache>
                <c:formatCode>#,##0.0</c:formatCode>
                <c:ptCount val="12"/>
                <c:pt idx="0">
                  <c:v>98.686901540294201</c:v>
                </c:pt>
                <c:pt idx="1">
                  <c:v>100.37574736800954</c:v>
                </c:pt>
                <c:pt idx="2">
                  <c:v>123.94803995705321</c:v>
                </c:pt>
                <c:pt idx="3">
                  <c:v>138.7342841283608</c:v>
                </c:pt>
                <c:pt idx="4">
                  <c:v>131.19691664159112</c:v>
                </c:pt>
                <c:pt idx="5">
                  <c:v>140.58751383992004</c:v>
                </c:pt>
                <c:pt idx="6">
                  <c:v>134.45096611054521</c:v>
                </c:pt>
                <c:pt idx="7">
                  <c:v>136.20976383467274</c:v>
                </c:pt>
                <c:pt idx="8">
                  <c:v>132.43856000000011</c:v>
                </c:pt>
                <c:pt idx="9">
                  <c:v>148.73317999999995</c:v>
                </c:pt>
                <c:pt idx="10">
                  <c:v>111.56365999999998</c:v>
                </c:pt>
                <c:pt idx="11">
                  <c:v>127.42450000000002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831-4020-905F-80FDCE349053}"/>
            </c:ext>
          </c:extLst>
        </c:ser>
        <c:ser>
          <c:idx val="0"/>
          <c:order val="4"/>
          <c:tx>
            <c:strRef>
              <c:f>'02_CUADRYGRÁF.COMP.ÚLT.5 CAMP.'!$G$75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CAMP.'!$B$76:$B$87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CAMP.'!$G$76:$G$87</c:f>
              <c:numCache>
                <c:formatCode>#,##0.0</c:formatCode>
                <c:ptCount val="12"/>
                <c:pt idx="0">
                  <c:v>115.6931668507691</c:v>
                </c:pt>
                <c:pt idx="1">
                  <c:v>118.42120188141212</c:v>
                </c:pt>
                <c:pt idx="2">
                  <c:v>119.11131273747003</c:v>
                </c:pt>
                <c:pt idx="3">
                  <c:v>120.20811535928328</c:v>
                </c:pt>
                <c:pt idx="4">
                  <c:v>134.89191451636771</c:v>
                </c:pt>
                <c:pt idx="5">
                  <c:v>146.07845748330578</c:v>
                </c:pt>
                <c:pt idx="6">
                  <c:v>119.0479523447417</c:v>
                </c:pt>
                <c:pt idx="7">
                  <c:v>115.87653882665052</c:v>
                </c:pt>
                <c:pt idx="8">
                  <c:v>118.80259000000001</c:v>
                </c:pt>
                <c:pt idx="9">
                  <c:v>130.37513000000001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831-4020-905F-80FDCE3490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20320"/>
        <c:axId val="-140615424"/>
      </c:lineChart>
      <c:catAx>
        <c:axId val="-140620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542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5424"/>
        <c:scaling>
          <c:orientation val="minMax"/>
          <c:max val="180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20320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333494232761129"/>
          <c:y val="0.17993115912414062"/>
          <c:w val="0.147509779668346"/>
          <c:h val="0.3321806573486272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9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9617044602050037E-2"/>
          <c:y val="8.6206896551724144E-2"/>
          <c:w val="0.71647643617628298"/>
          <c:h val="0.60344827586206895"/>
        </c:manualLayout>
      </c:layout>
      <c:lineChart>
        <c:grouping val="standard"/>
        <c:varyColors val="0"/>
        <c:ser>
          <c:idx val="2"/>
          <c:order val="0"/>
          <c:tx>
            <c:strRef>
              <c:f>'02_CUADRYGRÁF.COMP.ÚLT.5 CAMP.'!$C$7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00FFFF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CAMP.'!$C$8:$C$19</c:f>
              <c:numCache>
                <c:formatCode>#,##0.0</c:formatCode>
                <c:ptCount val="12"/>
                <c:pt idx="0">
                  <c:v>51.3461</c:v>
                </c:pt>
                <c:pt idx="1">
                  <c:v>288.16980000000001</c:v>
                </c:pt>
                <c:pt idx="2">
                  <c:v>542.71</c:v>
                </c:pt>
                <c:pt idx="3">
                  <c:v>471.18740000000003</c:v>
                </c:pt>
                <c:pt idx="4">
                  <c:v>108.80719999999999</c:v>
                </c:pt>
                <c:pt idx="5">
                  <c:v>20.7576</c:v>
                </c:pt>
                <c:pt idx="6">
                  <c:v>7.1166999999999998</c:v>
                </c:pt>
                <c:pt idx="7">
                  <c:v>2.9136000000000002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F7-4B73-9126-3E7904E12195}"/>
            </c:ext>
          </c:extLst>
        </c:ser>
        <c:ser>
          <c:idx val="3"/>
          <c:order val="1"/>
          <c:tx>
            <c:strRef>
              <c:f>'02_CUADRYGRÁF.COMP.ÚLT.5 CAMP.'!$D$7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CAMP.'!$D$8:$D$19</c:f>
              <c:numCache>
                <c:formatCode>#,##0.0</c:formatCode>
                <c:ptCount val="12"/>
                <c:pt idx="0">
                  <c:v>30.671399999999998</c:v>
                </c:pt>
                <c:pt idx="1">
                  <c:v>169.01759999999999</c:v>
                </c:pt>
                <c:pt idx="2">
                  <c:v>238.86349999999999</c:v>
                </c:pt>
                <c:pt idx="3">
                  <c:v>182.35240000000002</c:v>
                </c:pt>
                <c:pt idx="4">
                  <c:v>36.077399999999997</c:v>
                </c:pt>
                <c:pt idx="5">
                  <c:v>8.0173000000000005</c:v>
                </c:pt>
                <c:pt idx="6">
                  <c:v>0.97220000000000006</c:v>
                </c:pt>
                <c:pt idx="7">
                  <c:v>4.0899999999999999E-2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F7-4B73-9126-3E7904E12195}"/>
            </c:ext>
          </c:extLst>
        </c:ser>
        <c:ser>
          <c:idx val="4"/>
          <c:order val="2"/>
          <c:tx>
            <c:strRef>
              <c:f>'02_CUADRYGRÁF.COMP.ÚLT.5 CAMP.'!$E$7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rgbClr val="333333"/>
              </a:solidFill>
              <a:prstDash val="solid"/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333333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CAMP.'!$E$8:$E$19</c:f>
              <c:numCache>
                <c:formatCode>#,##0.0</c:formatCode>
                <c:ptCount val="12"/>
                <c:pt idx="0">
                  <c:v>38.6693</c:v>
                </c:pt>
                <c:pt idx="1">
                  <c:v>230.01429999999999</c:v>
                </c:pt>
                <c:pt idx="2">
                  <c:v>328.48059999999998</c:v>
                </c:pt>
                <c:pt idx="3">
                  <c:v>188.18690000000001</c:v>
                </c:pt>
                <c:pt idx="4">
                  <c:v>53.141999999999996</c:v>
                </c:pt>
                <c:pt idx="5">
                  <c:v>14.097100000000001</c:v>
                </c:pt>
                <c:pt idx="6">
                  <c:v>2.7940999999999998</c:v>
                </c:pt>
                <c:pt idx="7">
                  <c:v>0.19240000000000002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6F7-4B73-9126-3E7904E12195}"/>
            </c:ext>
          </c:extLst>
        </c:ser>
        <c:ser>
          <c:idx val="0"/>
          <c:order val="3"/>
          <c:tx>
            <c:strRef>
              <c:f>'02_CUADRYGRÁF.COMP.ÚLT.5 CAMP.'!$F$7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CAMP.'!$F$8:$F$19</c:f>
              <c:numCache>
                <c:formatCode>#,##0.0</c:formatCode>
                <c:ptCount val="12"/>
                <c:pt idx="0">
                  <c:v>36.869638065065338</c:v>
                </c:pt>
                <c:pt idx="1">
                  <c:v>266.67028736800955</c:v>
                </c:pt>
                <c:pt idx="2">
                  <c:v>596.43099995705325</c:v>
                </c:pt>
                <c:pt idx="3">
                  <c:v>351.48090412836069</c:v>
                </c:pt>
                <c:pt idx="4">
                  <c:v>154.07039664159123</c:v>
                </c:pt>
                <c:pt idx="5">
                  <c:v>12.203773839919968</c:v>
                </c:pt>
                <c:pt idx="6">
                  <c:v>3.1651061105452594</c:v>
                </c:pt>
                <c:pt idx="7">
                  <c:v>0.2216438346728094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6F7-4B73-9126-3E7904E12195}"/>
            </c:ext>
          </c:extLst>
        </c:ser>
        <c:ser>
          <c:idx val="1"/>
          <c:order val="4"/>
          <c:tx>
            <c:strRef>
              <c:f>'02_CUADRYGRÁF.COMP.ÚLT.5 CAMP.'!$G$7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F00FF"/>
              </a:solidFill>
              <a:prstDash val="solid"/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'02_CUADRYGRÁF.COMP.ÚLT.5 CAMP.'!$B$8:$B$19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'02_CUADRYGRÁF.COMP.ÚLT.5 CAMP.'!$G$8:$G$19</c:f>
              <c:numCache>
                <c:formatCode>#,##0.0</c:formatCode>
                <c:ptCount val="12"/>
                <c:pt idx="0">
                  <c:v>43.145436850769094</c:v>
                </c:pt>
                <c:pt idx="1">
                  <c:v>260.50073188141215</c:v>
                </c:pt>
                <c:pt idx="2">
                  <c:v>425.28940273746991</c:v>
                </c:pt>
                <c:pt idx="3">
                  <c:v>329.97484535928322</c:v>
                </c:pt>
                <c:pt idx="4">
                  <c:v>143.39104451636763</c:v>
                </c:pt>
                <c:pt idx="5">
                  <c:v>84.99329748330598</c:v>
                </c:pt>
                <c:pt idx="6">
                  <c:v>12.211432344741747</c:v>
                </c:pt>
                <c:pt idx="7">
                  <c:v>1.4293088266504361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6F7-4B73-9126-3E7904E121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6176"/>
        <c:axId val="-140617056"/>
      </c:lineChart>
      <c:catAx>
        <c:axId val="-1406061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705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7056"/>
        <c:scaling>
          <c:orientation val="minMax"/>
        </c:scaling>
        <c:delete val="0"/>
        <c:axPos val="l"/>
        <c:majorGridlines>
          <c:spPr>
            <a:ln w="3175">
              <a:solidFill>
                <a:srgbClr val="808000"/>
              </a:solidFill>
              <a:prstDash val="solid"/>
            </a:ln>
          </c:spPr>
        </c:majorGridlines>
        <c:numFmt formatCode="#,##0.0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6176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71663599521324"/>
          <c:y val="0.22413793103448276"/>
          <c:w val="0.147509779668346"/>
          <c:h val="0.3310344827586206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67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>
      <a:blip xmlns:r="http://schemas.openxmlformats.org/officeDocument/2006/relationships" r:embed="rId1"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981366459627328E-2"/>
          <c:y val="7.4626865671641784E-2"/>
          <c:w val="0.74534161490683226"/>
          <c:h val="0.6805970149253731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ÚLT.CAMP.'!$F$7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ÚLT.CAMP.'!$F$8:$F$19</c:f>
              <c:numCache>
                <c:formatCode>#,##0.0</c:formatCode>
                <c:ptCount val="12"/>
                <c:pt idx="0">
                  <c:v>171.77331999999998</c:v>
                </c:pt>
                <c:pt idx="1">
                  <c:v>345.36573999999996</c:v>
                </c:pt>
                <c:pt idx="2">
                  <c:v>740.33460000000002</c:v>
                </c:pt>
                <c:pt idx="3">
                  <c:v>1055.0070900000001</c:v>
                </c:pt>
                <c:pt idx="4">
                  <c:v>1024.68668</c:v>
                </c:pt>
                <c:pt idx="5">
                  <c:v>931.13413000000003</c:v>
                </c:pt>
                <c:pt idx="6">
                  <c:v>796.21762000000001</c:v>
                </c:pt>
                <c:pt idx="7">
                  <c:v>664.76520000000005</c:v>
                </c:pt>
                <c:pt idx="8">
                  <c:v>534.84075999999993</c:v>
                </c:pt>
                <c:pt idx="9">
                  <c:v>425.15010000000001</c:v>
                </c:pt>
                <c:pt idx="10">
                  <c:v>331.14209999999997</c:v>
                </c:pt>
                <c:pt idx="11">
                  <c:v>227.69511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8F-4BE8-8000-FB7E850539AE}"/>
            </c:ext>
          </c:extLst>
        </c:ser>
        <c:ser>
          <c:idx val="2"/>
          <c:order val="1"/>
          <c:tx>
            <c:strRef>
              <c:f>'03_CUADRYGRÁF.COMP.5 ÚLT.CAMP.'!$G$7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ÚLT.CAMP.'!$G$8:$G$19</c:f>
              <c:numCache>
                <c:formatCode>#,##0.0</c:formatCode>
                <c:ptCount val="12"/>
                <c:pt idx="0">
                  <c:v>155.70436999999998</c:v>
                </c:pt>
                <c:pt idx="1">
                  <c:v>234.30274</c:v>
                </c:pt>
                <c:pt idx="2">
                  <c:v>396.56389000000001</c:v>
                </c:pt>
                <c:pt idx="3">
                  <c:v>503.45074</c:v>
                </c:pt>
                <c:pt idx="4">
                  <c:v>474.38193000000001</c:v>
                </c:pt>
                <c:pt idx="5">
                  <c:v>409.40063000000004</c:v>
                </c:pt>
                <c:pt idx="6">
                  <c:v>350.80296999999996</c:v>
                </c:pt>
                <c:pt idx="7">
                  <c:v>271.39996000000002</c:v>
                </c:pt>
                <c:pt idx="8">
                  <c:v>211.13153999999997</c:v>
                </c:pt>
                <c:pt idx="9">
                  <c:v>159.67197000000002</c:v>
                </c:pt>
                <c:pt idx="10">
                  <c:v>125.45559999999999</c:v>
                </c:pt>
                <c:pt idx="11">
                  <c:v>84.41313000000001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8F-4BE8-8000-FB7E850539AE}"/>
            </c:ext>
          </c:extLst>
        </c:ser>
        <c:ser>
          <c:idx val="3"/>
          <c:order val="2"/>
          <c:tx>
            <c:strRef>
              <c:f>'03_CUADRYGRÁF.COMP.5 ÚLT.CAMP.'!$H$7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ÚLT.CAMP.'!$H$8:$H$19</c:f>
              <c:numCache>
                <c:formatCode>#,##0.0</c:formatCode>
                <c:ptCount val="12"/>
                <c:pt idx="0">
                  <c:v>82.324390000000008</c:v>
                </c:pt>
                <c:pt idx="1">
                  <c:v>236.68863000000002</c:v>
                </c:pt>
                <c:pt idx="2">
                  <c:v>471.98804999999999</c:v>
                </c:pt>
                <c:pt idx="3">
                  <c:v>554.38471000000004</c:v>
                </c:pt>
                <c:pt idx="4">
                  <c:v>527.90192999999999</c:v>
                </c:pt>
                <c:pt idx="5">
                  <c:v>474.62288000000001</c:v>
                </c:pt>
                <c:pt idx="6">
                  <c:v>399.02364999999998</c:v>
                </c:pt>
                <c:pt idx="7">
                  <c:v>320.47838999999999</c:v>
                </c:pt>
                <c:pt idx="8">
                  <c:v>252.31005000000002</c:v>
                </c:pt>
                <c:pt idx="9">
                  <c:v>189.36770999999999</c:v>
                </c:pt>
                <c:pt idx="10">
                  <c:v>139.47251</c:v>
                </c:pt>
                <c:pt idx="11">
                  <c:v>78.305929999999989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4E8F-4BE8-8000-FB7E850539AE}"/>
            </c:ext>
          </c:extLst>
        </c:ser>
        <c:ser>
          <c:idx val="4"/>
          <c:order val="3"/>
          <c:tx>
            <c:strRef>
              <c:f>'03_CUADRYGRÁF.COMP.5 ÚLT.CAMP.'!$I$7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ÚLT.CAMP.'!$I$8:$I$19</c:f>
              <c:numCache>
                <c:formatCode>#,##0.0</c:formatCode>
                <c:ptCount val="12"/>
                <c:pt idx="0">
                  <c:v>54.821289999999998</c:v>
                </c:pt>
                <c:pt idx="1">
                  <c:v>236.50212999999997</c:v>
                </c:pt>
                <c:pt idx="2">
                  <c:v>697.73919000000001</c:v>
                </c:pt>
                <c:pt idx="3">
                  <c:v>888.37991</c:v>
                </c:pt>
                <c:pt idx="4">
                  <c:v>905.64439000000004</c:v>
                </c:pt>
                <c:pt idx="5">
                  <c:v>788.05705</c:v>
                </c:pt>
                <c:pt idx="6">
                  <c:v>678.02169000000004</c:v>
                </c:pt>
                <c:pt idx="7">
                  <c:v>563.77396999999996</c:v>
                </c:pt>
                <c:pt idx="8">
                  <c:v>449.60960999999998</c:v>
                </c:pt>
                <c:pt idx="9">
                  <c:v>321.44963000000001</c:v>
                </c:pt>
                <c:pt idx="10">
                  <c:v>239.81246999999999</c:v>
                </c:pt>
                <c:pt idx="11">
                  <c:v>141.15647000000001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4E8F-4BE8-8000-FB7E850539AE}"/>
            </c:ext>
          </c:extLst>
        </c:ser>
        <c:ser>
          <c:idx val="0"/>
          <c:order val="4"/>
          <c:tx>
            <c:strRef>
              <c:f>'03_CUADRYGRÁF.COMP.5 ÚLT.CAMP.'!$J$7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ÚLT.CAMP.'!$E$8:$E$19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ÚLT.CAMP.'!$J$8:$J$19</c:f>
              <c:numCache>
                <c:formatCode>#,##0.0</c:formatCode>
                <c:ptCount val="12"/>
                <c:pt idx="0">
                  <c:v>97.732749999999996</c:v>
                </c:pt>
                <c:pt idx="1">
                  <c:v>258.26740999999998</c:v>
                </c:pt>
                <c:pt idx="2">
                  <c:v>562.22154999999998</c:v>
                </c:pt>
                <c:pt idx="3">
                  <c:v>740.16749000000004</c:v>
                </c:pt>
                <c:pt idx="4">
                  <c:v>749.92598999999996</c:v>
                </c:pt>
                <c:pt idx="5">
                  <c:v>703.55987000000005</c:v>
                </c:pt>
                <c:pt idx="6">
                  <c:v>609.79009000000008</c:v>
                </c:pt>
                <c:pt idx="7">
                  <c:v>513.94209000000001</c:v>
                </c:pt>
                <c:pt idx="8">
                  <c:v>424.58381000000003</c:v>
                </c:pt>
                <c:pt idx="9">
                  <c:v>333.51109000000002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4E8F-4BE8-8000-FB7E850539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4880"/>
        <c:axId val="-140609984"/>
      </c:lineChart>
      <c:catAx>
        <c:axId val="-14061488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9984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09984"/>
        <c:scaling>
          <c:orientation val="minMax"/>
          <c:max val="130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4880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4373801284738925"/>
          <c:y val="0.22686567164179106"/>
          <c:w val="0.13611525832237847"/>
          <c:h val="0.3164179104477612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2307692307692309E-2"/>
          <c:y val="7.7611940298507459E-2"/>
          <c:w val="0.74923076923076926"/>
          <c:h val="0.67761194029850746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ÚLT.CAMP.'!$F$24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ÚLT.CAMP.'!$F$25:$F$36</c:f>
              <c:numCache>
                <c:formatCode>#,##0.0</c:formatCode>
                <c:ptCount val="12"/>
                <c:pt idx="0">
                  <c:v>192.8152</c:v>
                </c:pt>
                <c:pt idx="1">
                  <c:v>195.1934</c:v>
                </c:pt>
                <c:pt idx="2">
                  <c:v>245.36189999999999</c:v>
                </c:pt>
                <c:pt idx="3">
                  <c:v>286.88850000000002</c:v>
                </c:pt>
                <c:pt idx="4">
                  <c:v>310.80520000000001</c:v>
                </c:pt>
                <c:pt idx="5">
                  <c:v>288.18549999999999</c:v>
                </c:pt>
                <c:pt idx="6">
                  <c:v>288.60899999999998</c:v>
                </c:pt>
                <c:pt idx="7">
                  <c:v>284.66480000000001</c:v>
                </c:pt>
                <c:pt idx="8">
                  <c:v>274.20260000000002</c:v>
                </c:pt>
                <c:pt idx="9">
                  <c:v>272.56639999999999</c:v>
                </c:pt>
                <c:pt idx="10">
                  <c:v>249.81630000000001</c:v>
                </c:pt>
                <c:pt idx="11">
                  <c:v>226.91139999999999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0308-4D3C-A31D-F66C1ACC3D8E}"/>
            </c:ext>
          </c:extLst>
        </c:ser>
        <c:ser>
          <c:idx val="2"/>
          <c:order val="1"/>
          <c:tx>
            <c:strRef>
              <c:f>'03_CUADRYGRÁF.COMP.5 ÚLT.CAMP.'!$G$24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ÚLT.CAMP.'!$G$25:$G$36</c:f>
              <c:numCache>
                <c:formatCode>#,##0.0</c:formatCode>
                <c:ptCount val="12"/>
                <c:pt idx="0">
                  <c:v>212.10380000000001</c:v>
                </c:pt>
                <c:pt idx="1">
                  <c:v>217.5282</c:v>
                </c:pt>
                <c:pt idx="2">
                  <c:v>242.46109999999999</c:v>
                </c:pt>
                <c:pt idx="3">
                  <c:v>260.65730000000002</c:v>
                </c:pt>
                <c:pt idx="4">
                  <c:v>266.70580000000001</c:v>
                </c:pt>
                <c:pt idx="5">
                  <c:v>262.41399999999999</c:v>
                </c:pt>
                <c:pt idx="6">
                  <c:v>259.05500000000001</c:v>
                </c:pt>
                <c:pt idx="7">
                  <c:v>260.26749999999998</c:v>
                </c:pt>
                <c:pt idx="8">
                  <c:v>245.41909999999999</c:v>
                </c:pt>
                <c:pt idx="9">
                  <c:v>223.768</c:v>
                </c:pt>
                <c:pt idx="10">
                  <c:v>195.69630000000001</c:v>
                </c:pt>
                <c:pt idx="11">
                  <c:v>163.82689999999999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0308-4D3C-A31D-F66C1ACC3D8E}"/>
            </c:ext>
          </c:extLst>
        </c:ser>
        <c:ser>
          <c:idx val="3"/>
          <c:order val="2"/>
          <c:tx>
            <c:strRef>
              <c:f>'03_CUADRYGRÁF.COMP.5 ÚLT.CAMP.'!$H$24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ÚLT.CAMP.'!$H$25:$H$36</c:f>
              <c:numCache>
                <c:formatCode>#,##0.0</c:formatCode>
                <c:ptCount val="12"/>
                <c:pt idx="0">
                  <c:v>137.9716</c:v>
                </c:pt>
                <c:pt idx="1">
                  <c:v>142.23269999999999</c:v>
                </c:pt>
                <c:pt idx="2">
                  <c:v>165.08199999999999</c:v>
                </c:pt>
                <c:pt idx="3">
                  <c:v>180.8159</c:v>
                </c:pt>
                <c:pt idx="4">
                  <c:v>184.75970000000001</c:v>
                </c:pt>
                <c:pt idx="5">
                  <c:v>183.45050000000001</c:v>
                </c:pt>
                <c:pt idx="6">
                  <c:v>177.31720000000001</c:v>
                </c:pt>
                <c:pt idx="7">
                  <c:v>170.4718</c:v>
                </c:pt>
                <c:pt idx="8">
                  <c:v>162.5891</c:v>
                </c:pt>
                <c:pt idx="9">
                  <c:v>152.9032</c:v>
                </c:pt>
                <c:pt idx="10">
                  <c:v>132.1592</c:v>
                </c:pt>
                <c:pt idx="11">
                  <c:v>108.563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08-4D3C-A31D-F66C1ACC3D8E}"/>
            </c:ext>
          </c:extLst>
        </c:ser>
        <c:ser>
          <c:idx val="4"/>
          <c:order val="3"/>
          <c:tx>
            <c:strRef>
              <c:f>'03_CUADRYGRÁF.COMP.5 ÚLT.CAMP.'!$I$24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ÚLT.CAMP.'!$I$25:$I$36</c:f>
              <c:numCache>
                <c:formatCode>#,##0.0</c:formatCode>
                <c:ptCount val="12"/>
                <c:pt idx="0">
                  <c:v>86.128100000000003</c:v>
                </c:pt>
                <c:pt idx="1">
                  <c:v>94.317800000000005</c:v>
                </c:pt>
                <c:pt idx="2">
                  <c:v>136.1557</c:v>
                </c:pt>
                <c:pt idx="3">
                  <c:v>175.64659999999998</c:v>
                </c:pt>
                <c:pt idx="4">
                  <c:v>200.29760000000005</c:v>
                </c:pt>
                <c:pt idx="5">
                  <c:v>211.55319999999998</c:v>
                </c:pt>
                <c:pt idx="6">
                  <c:v>206.93770000000001</c:v>
                </c:pt>
                <c:pt idx="7">
                  <c:v>200.47430000000003</c:v>
                </c:pt>
                <c:pt idx="8">
                  <c:v>196.74110000000002</c:v>
                </c:pt>
                <c:pt idx="9">
                  <c:v>189.27790000000002</c:v>
                </c:pt>
                <c:pt idx="10">
                  <c:v>166.11640000000003</c:v>
                </c:pt>
                <c:pt idx="11">
                  <c:v>148.51589999999999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08-4D3C-A31D-F66C1ACC3D8E}"/>
            </c:ext>
          </c:extLst>
        </c:ser>
        <c:ser>
          <c:idx val="0"/>
          <c:order val="4"/>
          <c:tx>
            <c:strRef>
              <c:f>'03_CUADRYGRÁF.COMP.5 ÚLT.CAMP.'!$J$24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ÚLT.CAMP.'!$E$25:$E$36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ÚLT.CAMP.'!$J$25:$J$36</c:f>
              <c:numCache>
                <c:formatCode>#,##0.0</c:formatCode>
                <c:ptCount val="12"/>
                <c:pt idx="0">
                  <c:v>128.53308999999999</c:v>
                </c:pt>
                <c:pt idx="1">
                  <c:v>135.25396000000001</c:v>
                </c:pt>
                <c:pt idx="2">
                  <c:v>165.35590999999999</c:v>
                </c:pt>
                <c:pt idx="3">
                  <c:v>215.90770000000001</c:v>
                </c:pt>
                <c:pt idx="4">
                  <c:v>235.66833</c:v>
                </c:pt>
                <c:pt idx="5">
                  <c:v>248.49628999999999</c:v>
                </c:pt>
                <c:pt idx="6">
                  <c:v>258.49155000000002</c:v>
                </c:pt>
                <c:pt idx="7">
                  <c:v>264.88632000000001</c:v>
                </c:pt>
                <c:pt idx="8">
                  <c:v>259.07801000000001</c:v>
                </c:pt>
                <c:pt idx="9">
                  <c:v>235.7756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0308-4D3C-A31D-F66C1ACC3D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08896"/>
        <c:axId val="-140612160"/>
      </c:lineChart>
      <c:catAx>
        <c:axId val="-1406088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40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2160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2160"/>
        <c:scaling>
          <c:orientation val="minMax"/>
          <c:max val="35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08896"/>
        <c:crosses val="autoZero"/>
        <c:crossBetween val="between"/>
        <c:majorUnit val="25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488055577306364"/>
          <c:y val="0.20895522388059701"/>
          <c:w val="0.15127335061378988"/>
          <c:h val="0.3014925373134329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4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6687372024486647E-2"/>
          <c:y val="8.2596108142365357E-2"/>
          <c:w val="0.7306507070635303"/>
          <c:h val="0.62832039408299367"/>
        </c:manualLayout>
      </c:layout>
      <c:lineChart>
        <c:grouping val="standard"/>
        <c:varyColors val="0"/>
        <c:ser>
          <c:idx val="1"/>
          <c:order val="0"/>
          <c:tx>
            <c:strRef>
              <c:f>'03_CUADRYGRÁF.COMP.5 ÚLT.CAMP.'!$F$41</c:f>
              <c:strCache>
                <c:ptCount val="1"/>
                <c:pt idx="0">
                  <c:v>2021/22</c:v>
                </c:pt>
              </c:strCache>
            </c:strRef>
          </c:tx>
          <c:spPr>
            <a:ln w="12700">
              <a:solidFill>
                <a:srgbClr val="2EFEF4"/>
              </a:solidFill>
            </a:ln>
          </c:spPr>
          <c:marker>
            <c:symbol val="triangle"/>
            <c:size val="6"/>
            <c:spPr>
              <a:solidFill>
                <a:srgbClr val="00FFFF"/>
              </a:solidFill>
              <a:ln>
                <a:solidFill>
                  <a:srgbClr val="0000FF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ÚLT.CAMP.'!$F$42:$F$53</c:f>
              <c:numCache>
                <c:formatCode>#,##0.0</c:formatCode>
                <c:ptCount val="12"/>
                <c:pt idx="0">
                  <c:v>364.58852000000002</c:v>
                </c:pt>
                <c:pt idx="1">
                  <c:v>540.55913999999996</c:v>
                </c:pt>
                <c:pt idx="2">
                  <c:v>985.69650000000001</c:v>
                </c:pt>
                <c:pt idx="3">
                  <c:v>1341.8955900000001</c:v>
                </c:pt>
                <c:pt idx="4">
                  <c:v>1335.49188</c:v>
                </c:pt>
                <c:pt idx="5">
                  <c:v>1219.31963</c:v>
                </c:pt>
                <c:pt idx="6">
                  <c:v>1084.82662</c:v>
                </c:pt>
                <c:pt idx="7">
                  <c:v>949.43000000000006</c:v>
                </c:pt>
                <c:pt idx="8">
                  <c:v>809.04335999999989</c:v>
                </c:pt>
                <c:pt idx="9">
                  <c:v>697.7165</c:v>
                </c:pt>
                <c:pt idx="10">
                  <c:v>580.95839999999998</c:v>
                </c:pt>
                <c:pt idx="11">
                  <c:v>454.60650999999996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1E7-4E13-9427-65E1B0171710}"/>
            </c:ext>
          </c:extLst>
        </c:ser>
        <c:ser>
          <c:idx val="2"/>
          <c:order val="1"/>
          <c:tx>
            <c:strRef>
              <c:f>'03_CUADRYGRÁF.COMP.5 ÚLT.CAMP.'!$G$41</c:f>
              <c:strCache>
                <c:ptCount val="1"/>
                <c:pt idx="0">
                  <c:v>2022/23</c:v>
                </c:pt>
              </c:strCache>
            </c:strRef>
          </c:tx>
          <c:spPr>
            <a:ln w="12700">
              <a:solidFill>
                <a:srgbClr val="66FF66"/>
              </a:solidFill>
            </a:ln>
          </c:spPr>
          <c:marker>
            <c:symbol val="triangle"/>
            <c:size val="6"/>
            <c:spPr>
              <a:solidFill>
                <a:srgbClr val="00FF00"/>
              </a:solidFill>
              <a:ln>
                <a:solidFill>
                  <a:srgbClr val="008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ÚLT.CAMP.'!$G$42:$G$53</c:f>
              <c:numCache>
                <c:formatCode>#,##0.0</c:formatCode>
                <c:ptCount val="12"/>
                <c:pt idx="0">
                  <c:v>367.80817000000002</c:v>
                </c:pt>
                <c:pt idx="1">
                  <c:v>451.83094</c:v>
                </c:pt>
                <c:pt idx="2">
                  <c:v>639.02499</c:v>
                </c:pt>
                <c:pt idx="3">
                  <c:v>764.10804000000007</c:v>
                </c:pt>
                <c:pt idx="4">
                  <c:v>741.08772999999997</c:v>
                </c:pt>
                <c:pt idx="5">
                  <c:v>671.81463000000008</c:v>
                </c:pt>
                <c:pt idx="6">
                  <c:v>609.85797000000002</c:v>
                </c:pt>
                <c:pt idx="7">
                  <c:v>531.66746000000001</c:v>
                </c:pt>
                <c:pt idx="8">
                  <c:v>456.55063999999993</c:v>
                </c:pt>
                <c:pt idx="9">
                  <c:v>383.43997000000002</c:v>
                </c:pt>
                <c:pt idx="10">
                  <c:v>321.15190000000001</c:v>
                </c:pt>
                <c:pt idx="11">
                  <c:v>248.24002999999999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1E7-4E13-9427-65E1B0171710}"/>
            </c:ext>
          </c:extLst>
        </c:ser>
        <c:ser>
          <c:idx val="3"/>
          <c:order val="2"/>
          <c:tx>
            <c:strRef>
              <c:f>'03_CUADRYGRÁF.COMP.5 ÚLT.CAMP.'!$H$41</c:f>
              <c:strCache>
                <c:ptCount val="1"/>
                <c:pt idx="0">
                  <c:v>2023/24</c:v>
                </c:pt>
              </c:strCache>
            </c:strRef>
          </c:tx>
          <c:spPr>
            <a:ln w="12700">
              <a:solidFill>
                <a:schemeClr val="tx1"/>
              </a:solidFill>
            </a:ln>
          </c:spPr>
          <c:marker>
            <c:symbol val="triangle"/>
            <c:size val="6"/>
            <c:spPr>
              <a:solidFill>
                <a:srgbClr val="FFFF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ÚLT.CAMP.'!$H$42:$H$53</c:f>
              <c:numCache>
                <c:formatCode>#,##0.0</c:formatCode>
                <c:ptCount val="12"/>
                <c:pt idx="0">
                  <c:v>220.29599000000002</c:v>
                </c:pt>
                <c:pt idx="1">
                  <c:v>378.92133000000001</c:v>
                </c:pt>
                <c:pt idx="2">
                  <c:v>637.07005000000004</c:v>
                </c:pt>
                <c:pt idx="3">
                  <c:v>735.2006100000001</c:v>
                </c:pt>
                <c:pt idx="4">
                  <c:v>712.66163000000006</c:v>
                </c:pt>
                <c:pt idx="5">
                  <c:v>658.07338000000004</c:v>
                </c:pt>
                <c:pt idx="6">
                  <c:v>576.34085000000005</c:v>
                </c:pt>
                <c:pt idx="7">
                  <c:v>490.95019000000002</c:v>
                </c:pt>
                <c:pt idx="8">
                  <c:v>414.89915000000002</c:v>
                </c:pt>
                <c:pt idx="9">
                  <c:v>342.27090999999996</c:v>
                </c:pt>
                <c:pt idx="10">
                  <c:v>271.63171</c:v>
                </c:pt>
                <c:pt idx="11">
                  <c:v>186.86892999999998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1E7-4E13-9427-65E1B0171710}"/>
            </c:ext>
          </c:extLst>
        </c:ser>
        <c:ser>
          <c:idx val="4"/>
          <c:order val="3"/>
          <c:tx>
            <c:strRef>
              <c:f>'03_CUADRYGRÁF.COMP.5 ÚLT.CAMP.'!$I$41</c:f>
              <c:strCache>
                <c:ptCount val="1"/>
                <c:pt idx="0">
                  <c:v>2024/25</c:v>
                </c:pt>
              </c:strCache>
            </c:strRef>
          </c:tx>
          <c:spPr>
            <a:ln w="12700">
              <a:solidFill>
                <a:srgbClr val="FF0000"/>
              </a:solidFill>
            </a:ln>
          </c:spPr>
          <c:marker>
            <c:symbol val="square"/>
            <c:size val="6"/>
            <c:spPr>
              <a:solidFill>
                <a:srgbClr val="FFFF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ÚLT.CAMP.'!$I$42:$I$53</c:f>
              <c:numCache>
                <c:formatCode>#,##0.0</c:formatCode>
                <c:ptCount val="12"/>
                <c:pt idx="0">
                  <c:v>140.94938999999999</c:v>
                </c:pt>
                <c:pt idx="1">
                  <c:v>330.81993</c:v>
                </c:pt>
                <c:pt idx="2">
                  <c:v>833.89489000000003</c:v>
                </c:pt>
                <c:pt idx="3">
                  <c:v>1064.0265099999999</c:v>
                </c:pt>
                <c:pt idx="4">
                  <c:v>1105.94199</c:v>
                </c:pt>
                <c:pt idx="5">
                  <c:v>999.61024999999995</c:v>
                </c:pt>
                <c:pt idx="6">
                  <c:v>884.95938999999998</c:v>
                </c:pt>
                <c:pt idx="7">
                  <c:v>764.24827000000005</c:v>
                </c:pt>
                <c:pt idx="8">
                  <c:v>646.35070999999994</c:v>
                </c:pt>
                <c:pt idx="9">
                  <c:v>510.72753</c:v>
                </c:pt>
                <c:pt idx="10">
                  <c:v>405.92887000000002</c:v>
                </c:pt>
                <c:pt idx="11">
                  <c:v>289.67237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1E7-4E13-9427-65E1B0171710}"/>
            </c:ext>
          </c:extLst>
        </c:ser>
        <c:ser>
          <c:idx val="0"/>
          <c:order val="4"/>
          <c:tx>
            <c:strRef>
              <c:f>'03_CUADRYGRÁF.COMP.5 ÚLT.CAMP.'!$J$41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FC0CEB"/>
              </a:solidFill>
            </a:ln>
          </c:spPr>
          <c:marker>
            <c:symbol val="square"/>
            <c:size val="6"/>
            <c:spPr>
              <a:solidFill>
                <a:srgbClr val="FF00FF"/>
              </a:solidFill>
              <a:ln>
                <a:solidFill>
                  <a:srgbClr val="000000"/>
                </a:solidFill>
                <a:prstDash val="solid"/>
              </a:ln>
            </c:spPr>
          </c:marker>
          <c:cat>
            <c:strRef>
              <c:f>'03_CUADRYGRÁF.COMP.5 ÚLT.CAMP.'!$E$42:$E$53</c:f>
              <c:strCache>
                <c:ptCount val="12"/>
                <c:pt idx="0">
                  <c:v>OCTUBRE</c:v>
                </c:pt>
                <c:pt idx="1">
                  <c:v>NOVIEMBRE</c:v>
                </c:pt>
                <c:pt idx="2">
                  <c:v>DICIEMBRE</c:v>
                </c:pt>
                <c:pt idx="3">
                  <c:v>ENERO</c:v>
                </c:pt>
                <c:pt idx="4">
                  <c:v>FEBRERO</c:v>
                </c:pt>
                <c:pt idx="5">
                  <c:v>MARZO</c:v>
                </c:pt>
                <c:pt idx="6">
                  <c:v>ABRIL</c:v>
                </c:pt>
                <c:pt idx="7">
                  <c:v>MAYO</c:v>
                </c:pt>
                <c:pt idx="8">
                  <c:v>JUNIO</c:v>
                </c:pt>
                <c:pt idx="9">
                  <c:v>JULIO</c:v>
                </c:pt>
                <c:pt idx="10">
                  <c:v>AGOSTO</c:v>
                </c:pt>
                <c:pt idx="11">
                  <c:v>SEPTIEMBRE</c:v>
                </c:pt>
              </c:strCache>
            </c:strRef>
          </c:cat>
          <c:val>
            <c:numRef>
              <c:f>'03_CUADRYGRÁF.COMP.5 ÚLT.CAMP.'!$J$42:$J$53</c:f>
              <c:numCache>
                <c:formatCode>#,##0.0</c:formatCode>
                <c:ptCount val="12"/>
                <c:pt idx="0">
                  <c:v>226.26583999999997</c:v>
                </c:pt>
                <c:pt idx="1">
                  <c:v>393.52136999999999</c:v>
                </c:pt>
                <c:pt idx="2">
                  <c:v>727.57745999999997</c:v>
                </c:pt>
                <c:pt idx="3">
                  <c:v>956.07519000000002</c:v>
                </c:pt>
                <c:pt idx="4">
                  <c:v>985.59431999999993</c:v>
                </c:pt>
                <c:pt idx="5">
                  <c:v>952.05616000000009</c:v>
                </c:pt>
                <c:pt idx="6">
                  <c:v>868.28164000000015</c:v>
                </c:pt>
                <c:pt idx="7">
                  <c:v>778.82841000000008</c:v>
                </c:pt>
                <c:pt idx="8">
                  <c:v>683.66182000000003</c:v>
                </c:pt>
                <c:pt idx="9">
                  <c:v>569.28669000000002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B1E7-4E13-9427-65E1B01717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-140613792"/>
        <c:axId val="-140619776"/>
      </c:lineChart>
      <c:catAx>
        <c:axId val="-1406137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74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9776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-140619776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-140613792"/>
        <c:crosses val="autoZero"/>
        <c:crossBetween val="between"/>
        <c:majorUnit val="100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8320581061339325"/>
          <c:y val="0.23008923442500701"/>
          <c:w val="0.14703804095888429"/>
          <c:h val="0.29793603233224175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64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 horizontalDpi="360"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ÚLT.CAMPAÑ'!$D$8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78C7-4EA9-BE75-265CAF22769D}"/>
              </c:ext>
            </c:extLst>
          </c:dPt>
          <c:cat>
            <c:strRef>
              <c:f>'05_GRÁF.COMP.MEDIA 4 ÚLT.CAMPAÑ'!$C$9:$C$16</c:f>
              <c:strCache>
                <c:ptCount val="8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</c:strCache>
            </c:strRef>
          </c:cat>
          <c:val>
            <c:numRef>
              <c:f>'05_GRÁF.COMP.MEDIA 4 ÚLT.CAMPAÑ'!$D$9:$D$16</c:f>
              <c:numCache>
                <c:formatCode>General</c:formatCode>
                <c:ptCount val="8"/>
                <c:pt idx="0">
                  <c:v>43.145436850769094</c:v>
                </c:pt>
                <c:pt idx="1">
                  <c:v>260.50073188141215</c:v>
                </c:pt>
                <c:pt idx="2">
                  <c:v>425.28940273746991</c:v>
                </c:pt>
                <c:pt idx="3">
                  <c:v>329.97484535928322</c:v>
                </c:pt>
                <c:pt idx="4">
                  <c:v>143.39104451636763</c:v>
                </c:pt>
                <c:pt idx="5">
                  <c:v>84.99329748330598</c:v>
                </c:pt>
                <c:pt idx="6">
                  <c:v>12.211432344741747</c:v>
                </c:pt>
                <c:pt idx="7">
                  <c:v>1.4293088266504361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8C7-4EA9-BE75-265CAF22769D}"/>
            </c:ext>
          </c:extLst>
        </c:ser>
        <c:ser>
          <c:idx val="2"/>
          <c:order val="1"/>
          <c:tx>
            <c:strRef>
              <c:f>'05_GRÁF.COMP.MEDIA 4 ÚLT.CAMPAÑ'!$E$8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ÚLT.CAMPAÑ'!$C$9:$C$16</c:f>
              <c:strCache>
                <c:ptCount val="8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</c:strCache>
            </c:strRef>
          </c:cat>
          <c:val>
            <c:numRef>
              <c:f>'05_GRÁF.COMP.MEDIA 4 ÚLT.CAMPAÑ'!$E$9:$E$16</c:f>
              <c:numCache>
                <c:formatCode>General</c:formatCode>
                <c:ptCount val="8"/>
                <c:pt idx="0">
                  <c:v>39.389109516266338</c:v>
                </c:pt>
                <c:pt idx="1">
                  <c:v>238.46799684200241</c:v>
                </c:pt>
                <c:pt idx="2">
                  <c:v>426.62127498926327</c:v>
                </c:pt>
                <c:pt idx="3">
                  <c:v>298.3019010320902</c:v>
                </c:pt>
                <c:pt idx="4">
                  <c:v>88.024249160397801</c:v>
                </c:pt>
                <c:pt idx="5">
                  <c:v>13.768943459979992</c:v>
                </c:pt>
                <c:pt idx="6">
                  <c:v>3.5120265276363152</c:v>
                </c:pt>
                <c:pt idx="7">
                  <c:v>0.84213595866820246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78C7-4EA9-BE75-265CAF2276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ÚLT.CAMPAÑ'!$K$8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5EA8-4BAC-B575-270C26A3DCDB}"/>
              </c:ext>
            </c:extLst>
          </c:dPt>
          <c:cat>
            <c:strRef>
              <c:f>'05_GRÁF.COMP.MEDIA 4 ÚLT.CAMPAÑ'!$J$9:$J$20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ÚLT.CAMPAÑ'!$K$9:$K$20</c:f>
              <c:numCache>
                <c:formatCode>0.0</c:formatCode>
                <c:ptCount val="12"/>
                <c:pt idx="0">
                  <c:v>9.1419999999999995</c:v>
                </c:pt>
                <c:pt idx="1">
                  <c:v>25.175999999999998</c:v>
                </c:pt>
                <c:pt idx="2">
                  <c:v>27.878</c:v>
                </c:pt>
                <c:pt idx="3">
                  <c:v>18.731000000000002</c:v>
                </c:pt>
                <c:pt idx="4">
                  <c:v>21.02</c:v>
                </c:pt>
                <c:pt idx="5">
                  <c:v>27.547000000000001</c:v>
                </c:pt>
                <c:pt idx="6">
                  <c:v>23.062000000000001</c:v>
                </c:pt>
                <c:pt idx="7">
                  <c:v>24.994</c:v>
                </c:pt>
                <c:pt idx="8">
                  <c:v>23.635999999999999</c:v>
                </c:pt>
                <c:pt idx="9">
                  <c:v>16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5EA8-4BAC-B575-270C26A3DCDB}"/>
            </c:ext>
          </c:extLst>
        </c:ser>
        <c:ser>
          <c:idx val="2"/>
          <c:order val="1"/>
          <c:tx>
            <c:strRef>
              <c:f>'05_GRÁF.COMP.MEDIA 4 ÚLT.CAMPAÑ'!$L$8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ÚLT.CAMPAÑ'!$J$9:$J$20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ÚLT.CAMPAÑ'!$L$9:$L$20</c:f>
              <c:numCache>
                <c:formatCode>0.0</c:formatCode>
                <c:ptCount val="12"/>
                <c:pt idx="0">
                  <c:v>14.0825125</c:v>
                </c:pt>
                <c:pt idx="1">
                  <c:v>23.250005000000002</c:v>
                </c:pt>
                <c:pt idx="2">
                  <c:v>32.089352750000003</c:v>
                </c:pt>
                <c:pt idx="3">
                  <c:v>15.369204</c:v>
                </c:pt>
                <c:pt idx="4">
                  <c:v>19.048168499999999</c:v>
                </c:pt>
                <c:pt idx="5">
                  <c:v>18.231758249999999</c:v>
                </c:pt>
                <c:pt idx="6">
                  <c:v>18.130356000000003</c:v>
                </c:pt>
                <c:pt idx="7">
                  <c:v>17.589220000000001</c:v>
                </c:pt>
                <c:pt idx="8">
                  <c:v>16.133832999999999</c:v>
                </c:pt>
                <c:pt idx="9">
                  <c:v>16.659443</c:v>
                </c:pt>
                <c:pt idx="10">
                  <c:v>14.31827075</c:v>
                </c:pt>
                <c:pt idx="11">
                  <c:v>14.4101005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5EA8-4BAC-B575-270C26A3DC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5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2B59-4C70-89F7-8BAC86D05E20}"/>
              </c:ext>
            </c:extLst>
          </c:dPt>
          <c:cat>
            <c:strRef>
              <c:f>'05_GRÁF.COMP.MEDIA 4 ÚLT.CAMPAÑ'!$J$27:$J$38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ÚLT.CAMPAÑ'!$K$27:$K$38</c:f>
              <c:numCache>
                <c:formatCode>0.0</c:formatCode>
                <c:ptCount val="12"/>
                <c:pt idx="0">
                  <c:v>77.968000000000004</c:v>
                </c:pt>
                <c:pt idx="1">
                  <c:v>72.296999999999997</c:v>
                </c:pt>
                <c:pt idx="2">
                  <c:v>72.191999999999993</c:v>
                </c:pt>
                <c:pt idx="3">
                  <c:v>79.191000000000003</c:v>
                </c:pt>
                <c:pt idx="4">
                  <c:v>89.275999999999996</c:v>
                </c:pt>
                <c:pt idx="5">
                  <c:v>97.917000000000002</c:v>
                </c:pt>
                <c:pt idx="6">
                  <c:v>86.625</c:v>
                </c:pt>
                <c:pt idx="7">
                  <c:v>85.094999999999999</c:v>
                </c:pt>
                <c:pt idx="8">
                  <c:v>83.879000000000005</c:v>
                </c:pt>
                <c:pt idx="9">
                  <c:v>89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2B59-4C70-89F7-8BAC86D05E20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ÚLT.CAMPAÑ'!$J$27:$J$38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ÚLT.CAMPAÑ'!$L$27:$L$38</c:f>
              <c:numCache>
                <c:formatCode>0.0</c:formatCode>
                <c:ptCount val="12"/>
                <c:pt idx="0">
                  <c:v>72.014657</c:v>
                </c:pt>
                <c:pt idx="1">
                  <c:v>65.937662000000003</c:v>
                </c:pt>
                <c:pt idx="2">
                  <c:v>68.636918250000008</c:v>
                </c:pt>
                <c:pt idx="3">
                  <c:v>72.141533750000008</c:v>
                </c:pt>
                <c:pt idx="4">
                  <c:v>73.054173750000004</c:v>
                </c:pt>
                <c:pt idx="5">
                  <c:v>75.021391499999993</c:v>
                </c:pt>
                <c:pt idx="6">
                  <c:v>83.027590000000004</c:v>
                </c:pt>
                <c:pt idx="7">
                  <c:v>89.419952750000007</c:v>
                </c:pt>
                <c:pt idx="8">
                  <c:v>82.393033000000003</c:v>
                </c:pt>
                <c:pt idx="9">
                  <c:v>79.940827249999998</c:v>
                </c:pt>
                <c:pt idx="10">
                  <c:v>65.598267749999991</c:v>
                </c:pt>
                <c:pt idx="11">
                  <c:v>78.061543499999999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2B59-4C70-89F7-8BAC86D05E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035D-40D6-8991-0AD0F1B9682A}"/>
              </c:ext>
            </c:extLst>
          </c:dPt>
          <c:cat>
            <c:strRef>
              <c:f>'05_GRÁF.COMP.MEDIA 4 ÚLT.CAMPAÑ'!$J$45:$J$56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ÚLT.CAMPAÑ'!$K$45:$K$56</c:f>
              <c:numCache>
                <c:formatCode>0.0</c:formatCode>
                <c:ptCount val="12"/>
                <c:pt idx="0">
                  <c:v>226.26583999999997</c:v>
                </c:pt>
                <c:pt idx="1">
                  <c:v>393.52136999999999</c:v>
                </c:pt>
                <c:pt idx="2">
                  <c:v>727.57745999999997</c:v>
                </c:pt>
                <c:pt idx="3">
                  <c:v>956.07519000000002</c:v>
                </c:pt>
                <c:pt idx="4">
                  <c:v>985.59431999999993</c:v>
                </c:pt>
                <c:pt idx="5">
                  <c:v>952.05616000000009</c:v>
                </c:pt>
                <c:pt idx="6">
                  <c:v>868.28164000000015</c:v>
                </c:pt>
                <c:pt idx="7">
                  <c:v>778.82841000000008</c:v>
                </c:pt>
                <c:pt idx="8">
                  <c:v>683.66182000000003</c:v>
                </c:pt>
                <c:pt idx="9">
                  <c:v>569.28669000000002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035D-40D6-8991-0AD0F1B9682A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ÚLT.CAMPAÑ'!$J$45:$J$56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ÚLT.CAMPAÑ'!$L$45:$L$56</c:f>
              <c:numCache>
                <c:formatCode>0.0</c:formatCode>
                <c:ptCount val="12"/>
                <c:pt idx="0">
                  <c:v>273.41051750000003</c:v>
                </c:pt>
                <c:pt idx="1">
                  <c:v>425.53283499999998</c:v>
                </c:pt>
                <c:pt idx="2">
                  <c:v>773.92160750000005</c:v>
                </c:pt>
                <c:pt idx="3">
                  <c:v>976.30768749999993</c:v>
                </c:pt>
                <c:pt idx="4">
                  <c:v>973.79580749999991</c:v>
                </c:pt>
                <c:pt idx="5">
                  <c:v>887.20447250000007</c:v>
                </c:pt>
                <c:pt idx="6">
                  <c:v>788.99620750000008</c:v>
                </c:pt>
                <c:pt idx="7">
                  <c:v>684.07398000000001</c:v>
                </c:pt>
                <c:pt idx="8">
                  <c:v>581.71096499999999</c:v>
                </c:pt>
                <c:pt idx="9">
                  <c:v>483.53872749999994</c:v>
                </c:pt>
                <c:pt idx="10">
                  <c:v>394.91771999999997</c:v>
                </c:pt>
                <c:pt idx="11">
                  <c:v>294.84695999999997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035D-40D6-8991-0AD0F1B968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ÚLT.CAMPAÑ'!$K$26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BFA8-4877-9743-1E7836F6F0E4}"/>
              </c:ext>
            </c:extLst>
          </c:dPt>
          <c:cat>
            <c:strRef>
              <c:f>'05_GRÁF.COMP.MEDIA 4 ÚLT.CAMPAÑ'!$J$63:$J$74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ÚLT.CAMPAÑ'!$K$63:$K$74</c:f>
              <c:numCache>
                <c:formatCode>0.0</c:formatCode>
                <c:ptCount val="12"/>
                <c:pt idx="0">
                  <c:v>115.6931668507691</c:v>
                </c:pt>
                <c:pt idx="1">
                  <c:v>234.11436873218122</c:v>
                </c:pt>
                <c:pt idx="2">
                  <c:v>353.22568146965125</c:v>
                </c:pt>
                <c:pt idx="3">
                  <c:v>473.43379682893453</c:v>
                </c:pt>
                <c:pt idx="4">
                  <c:v>608.32571134530224</c:v>
                </c:pt>
                <c:pt idx="5">
                  <c:v>754.40416882860802</c:v>
                </c:pt>
                <c:pt idx="6">
                  <c:v>873.45212117334972</c:v>
                </c:pt>
                <c:pt idx="7">
                  <c:v>989.32866000000024</c:v>
                </c:pt>
                <c:pt idx="8">
                  <c:v>1108.1312500000004</c:v>
                </c:pt>
                <c:pt idx="9">
                  <c:v>1238.5063800000003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FA8-4877-9743-1E7836F6F0E4}"/>
            </c:ext>
          </c:extLst>
        </c:ser>
        <c:ser>
          <c:idx val="2"/>
          <c:order val="1"/>
          <c:tx>
            <c:strRef>
              <c:f>'05_GRÁF.COMP.MEDIA 4 ÚLT.CAMPAÑ'!$L$26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ÚLT.CAMPAÑ'!$J$63:$J$74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ÚLT.CAMPAÑ'!$L$63:$L$74</c:f>
              <c:numCache>
                <c:formatCode>0.0</c:formatCode>
                <c:ptCount val="12"/>
                <c:pt idx="0">
                  <c:v>108.39017788507354</c:v>
                </c:pt>
                <c:pt idx="1">
                  <c:v>217.97263722707598</c:v>
                </c:pt>
                <c:pt idx="2">
                  <c:v>328.23439246633922</c:v>
                </c:pt>
                <c:pt idx="3">
                  <c:v>439.51384249842943</c:v>
                </c:pt>
                <c:pt idx="4">
                  <c:v>549.08561515882718</c:v>
                </c:pt>
                <c:pt idx="5">
                  <c:v>667.67612686880716</c:v>
                </c:pt>
                <c:pt idx="6">
                  <c:v>787.53492439644344</c:v>
                </c:pt>
                <c:pt idx="7">
                  <c:v>910.88883285511167</c:v>
                </c:pt>
                <c:pt idx="8">
                  <c:v>1029.3876808551117</c:v>
                </c:pt>
                <c:pt idx="9">
                  <c:v>1144.2231613551116</c:v>
                </c:pt>
                <c:pt idx="10">
                  <c:v>1247.1387896051117</c:v>
                </c:pt>
                <c:pt idx="11">
                  <c:v>1361.7229001051116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BFA8-4877-9743-1E7836F6F0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1202330829573139"/>
          <c:y val="0.56735938149662268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ÚLT.CAMPAÑ'!$D$62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ED15-47DF-BCFA-A36E03F28162}"/>
              </c:ext>
            </c:extLst>
          </c:dPt>
          <c:cat>
            <c:strRef>
              <c:f>'05_GRÁF.COMP.MEDIA 4 ÚLT.CAMPAÑ'!$C$63:$C$74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ÚLT.CAMPAÑ'!$D$63:$D$74</c:f>
              <c:numCache>
                <c:formatCode>0.0</c:formatCode>
                <c:ptCount val="12"/>
                <c:pt idx="0">
                  <c:v>115.6931668507691</c:v>
                </c:pt>
                <c:pt idx="1">
                  <c:v>118.42120188141212</c:v>
                </c:pt>
                <c:pt idx="2">
                  <c:v>119.11131273747003</c:v>
                </c:pt>
                <c:pt idx="3">
                  <c:v>120.20811535928328</c:v>
                </c:pt>
                <c:pt idx="4">
                  <c:v>134.89191451636771</c:v>
                </c:pt>
                <c:pt idx="5">
                  <c:v>146.07845748330578</c:v>
                </c:pt>
                <c:pt idx="6">
                  <c:v>119.0479523447417</c:v>
                </c:pt>
                <c:pt idx="7">
                  <c:v>115.87653882665052</c:v>
                </c:pt>
                <c:pt idx="8">
                  <c:v>118.80259000000001</c:v>
                </c:pt>
                <c:pt idx="9">
                  <c:v>130.37513000000001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ED15-47DF-BCFA-A36E03F28162}"/>
            </c:ext>
          </c:extLst>
        </c:ser>
        <c:ser>
          <c:idx val="2"/>
          <c:order val="1"/>
          <c:tx>
            <c:strRef>
              <c:f>'05_GRÁF.COMP.MEDIA 4 ÚLT.CAMPAÑ'!$E$62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ÚLT.CAMPAÑ'!$C$63:$C$74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ÚLT.CAMPAÑ'!$E$63:$E$74</c:f>
              <c:numCache>
                <c:formatCode>0.0</c:formatCode>
                <c:ptCount val="12"/>
                <c:pt idx="0">
                  <c:v>108.39017788507354</c:v>
                </c:pt>
                <c:pt idx="1">
                  <c:v>109.58245934200244</c:v>
                </c:pt>
                <c:pt idx="2">
                  <c:v>110.26175523926324</c:v>
                </c:pt>
                <c:pt idx="3">
                  <c:v>111.27945003209021</c:v>
                </c:pt>
                <c:pt idx="4">
                  <c:v>109.57177266039778</c:v>
                </c:pt>
                <c:pt idx="5">
                  <c:v>118.59051170997992</c:v>
                </c:pt>
                <c:pt idx="6">
                  <c:v>119.85879752763628</c:v>
                </c:pt>
                <c:pt idx="7">
                  <c:v>123.35390845866819</c:v>
                </c:pt>
                <c:pt idx="8">
                  <c:v>118.49884800000008</c:v>
                </c:pt>
                <c:pt idx="9">
                  <c:v>114.83548049999995</c:v>
                </c:pt>
                <c:pt idx="10">
                  <c:v>102.91562825000001</c:v>
                </c:pt>
                <c:pt idx="11">
                  <c:v>114.58411050000002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ED15-47DF-BCFA-A36E03F28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20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ÚLT.CAMPAÑ'!$D$44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9970-4D2A-8E6E-9267948AD80E}"/>
              </c:ext>
            </c:extLst>
          </c:dPt>
          <c:cat>
            <c:strRef>
              <c:f>'05_GRÁF.COMP.MEDIA 4 ÚLT.CAMPAÑ'!$C$45:$C$56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ÚLT.CAMPAÑ'!$D$45:$D$56</c:f>
              <c:numCache>
                <c:formatCode>0.0</c:formatCode>
                <c:ptCount val="12"/>
                <c:pt idx="0">
                  <c:v>97.732749999999996</c:v>
                </c:pt>
                <c:pt idx="1">
                  <c:v>258.26740999999998</c:v>
                </c:pt>
                <c:pt idx="2">
                  <c:v>562.22154999999998</c:v>
                </c:pt>
                <c:pt idx="3">
                  <c:v>740.16749000000004</c:v>
                </c:pt>
                <c:pt idx="4">
                  <c:v>749.92598999999996</c:v>
                </c:pt>
                <c:pt idx="5">
                  <c:v>703.55987000000005</c:v>
                </c:pt>
                <c:pt idx="6">
                  <c:v>609.79009000000008</c:v>
                </c:pt>
                <c:pt idx="7">
                  <c:v>513.94209000000001</c:v>
                </c:pt>
                <c:pt idx="8">
                  <c:v>424.58381000000003</c:v>
                </c:pt>
                <c:pt idx="9">
                  <c:v>333.51109000000002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9970-4D2A-8E6E-9267948AD80E}"/>
            </c:ext>
          </c:extLst>
        </c:ser>
        <c:ser>
          <c:idx val="2"/>
          <c:order val="1"/>
          <c:tx>
            <c:strRef>
              <c:f>'05_GRÁF.COMP.MEDIA 4 ÚLT.CAMPAÑ'!$E$44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ÚLT.CAMPAÑ'!$C$45:$C$56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ÚLT.CAMPAÑ'!$E$45:$E$56</c:f>
              <c:numCache>
                <c:formatCode>0.0</c:formatCode>
                <c:ptCount val="12"/>
                <c:pt idx="0">
                  <c:v>116.15584249999998</c:v>
                </c:pt>
                <c:pt idx="1">
                  <c:v>263.21480999999994</c:v>
                </c:pt>
                <c:pt idx="2">
                  <c:v>576.65643249999994</c:v>
                </c:pt>
                <c:pt idx="3">
                  <c:v>750.30561250000005</c:v>
                </c:pt>
                <c:pt idx="4">
                  <c:v>733.15373250000005</c:v>
                </c:pt>
                <c:pt idx="5">
                  <c:v>650.80367249999995</c:v>
                </c:pt>
                <c:pt idx="6">
                  <c:v>556.01648250000005</c:v>
                </c:pt>
                <c:pt idx="7">
                  <c:v>455.10437999999999</c:v>
                </c:pt>
                <c:pt idx="8">
                  <c:v>361.97298999999998</c:v>
                </c:pt>
                <c:pt idx="9">
                  <c:v>273.9098525</c:v>
                </c:pt>
                <c:pt idx="10">
                  <c:v>208.97066999999998</c:v>
                </c:pt>
                <c:pt idx="11">
                  <c:v>132.89266000000001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9970-4D2A-8E6E-9267948AD8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9840474988450816E-2"/>
          <c:y val="5.2805450718887682E-2"/>
          <c:w val="0.8143728448821983"/>
          <c:h val="0.7523354700059367"/>
        </c:manualLayout>
      </c:layout>
      <c:lineChart>
        <c:grouping val="standard"/>
        <c:varyColors val="0"/>
        <c:ser>
          <c:idx val="0"/>
          <c:order val="0"/>
          <c:tx>
            <c:strRef>
              <c:f>'05_GRÁF.COMP.MEDIA 4 ÚLT.CAMPAÑ'!$D$26</c:f>
              <c:strCache>
                <c:ptCount val="1"/>
                <c:pt idx="0">
                  <c:v>2025/26</c:v>
                </c:pt>
              </c:strCache>
            </c:strRef>
          </c:tx>
          <c:spPr>
            <a:ln w="12700">
              <a:solidFill>
                <a:srgbClr val="00FF00"/>
              </a:solidFill>
              <a:prstDash val="solid"/>
            </a:ln>
          </c:spPr>
          <c:marker>
            <c:spPr>
              <a:solidFill>
                <a:srgbClr val="00FF00"/>
              </a:solidFill>
              <a:ln>
                <a:solidFill>
                  <a:srgbClr val="00FF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dPt>
            <c:idx val="4"/>
            <c:bubble3D val="0"/>
            <c:spPr>
              <a:ln w="12700">
                <a:solidFill>
                  <a:srgbClr val="00FF00"/>
                </a:solidFill>
                <a:prstDash val="sysDash"/>
              </a:ln>
            </c:spPr>
            <c:extLst>
              <c:ext xmlns:c16="http://schemas.microsoft.com/office/drawing/2014/chart" uri="{C3380CC4-5D6E-409C-BE32-E72D297353CC}">
                <c16:uniqueId val="{00000001-A363-4392-89B4-6F0D0F45668B}"/>
              </c:ext>
            </c:extLst>
          </c:dPt>
          <c:cat>
            <c:strRef>
              <c:f>'05_GRÁF.COMP.MEDIA 4 ÚLT.CAMPAÑ'!$C$27:$C$38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ÚLT.CAMPAÑ'!$D$27:$D$38</c:f>
              <c:numCache>
                <c:formatCode>0.0</c:formatCode>
                <c:ptCount val="12"/>
                <c:pt idx="0">
                  <c:v>37.725166850769099</c:v>
                </c:pt>
                <c:pt idx="1">
                  <c:v>46.12420188141212</c:v>
                </c:pt>
                <c:pt idx="2">
                  <c:v>46.919312737470037</c:v>
                </c:pt>
                <c:pt idx="3">
                  <c:v>41.017115359283281</c:v>
                </c:pt>
                <c:pt idx="4">
                  <c:v>45.61591451636771</c:v>
                </c:pt>
                <c:pt idx="5">
                  <c:v>48.161457483305782</c:v>
                </c:pt>
                <c:pt idx="6">
                  <c:v>32.422952344741702</c:v>
                </c:pt>
                <c:pt idx="7">
                  <c:v>30.781538826650518</c:v>
                </c:pt>
                <c:pt idx="8">
                  <c:v>34.923590000000004</c:v>
                </c:pt>
                <c:pt idx="9">
                  <c:v>41.375130000000013</c:v>
                </c:pt>
                <c:pt idx="10">
                  <c:v>#N/A</c:v>
                </c:pt>
                <c:pt idx="11">
                  <c:v>#N/A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A363-4392-89B4-6F0D0F45668B}"/>
            </c:ext>
          </c:extLst>
        </c:ser>
        <c:ser>
          <c:idx val="2"/>
          <c:order val="1"/>
          <c:tx>
            <c:strRef>
              <c:f>'05_GRÁF.COMP.MEDIA 4 ÚLT.CAMPAÑ'!$E$26</c:f>
              <c:strCache>
                <c:ptCount val="1"/>
                <c:pt idx="0">
                  <c:v>Media 4 últimas campañas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ysDash"/>
            </a:ln>
          </c:spPr>
          <c:marker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  <a:effectLst>
                <a:outerShdw dist="35921" dir="2700000" algn="br">
                  <a:srgbClr val="000000"/>
                </a:outerShdw>
              </a:effectLst>
            </c:spPr>
          </c:marker>
          <c:cat>
            <c:strRef>
              <c:f>'05_GRÁF.COMP.MEDIA 4 ÚLT.CAMPAÑ'!$C$27:$C$38</c:f>
              <c:strCache>
                <c:ptCount val="12"/>
                <c:pt idx="0">
                  <c:v>Oct</c:v>
                </c:pt>
                <c:pt idx="1">
                  <c:v>Nov</c:v>
                </c:pt>
                <c:pt idx="2">
                  <c:v>Dic</c:v>
                </c:pt>
                <c:pt idx="3">
                  <c:v>Ene</c:v>
                </c:pt>
                <c:pt idx="4">
                  <c:v>Feb</c:v>
                </c:pt>
                <c:pt idx="5">
                  <c:v>Mar</c:v>
                </c:pt>
                <c:pt idx="6">
                  <c:v>Abr</c:v>
                </c:pt>
                <c:pt idx="7">
                  <c:v>May</c:v>
                </c:pt>
                <c:pt idx="8">
                  <c:v>Jun</c:v>
                </c:pt>
                <c:pt idx="9">
                  <c:v>Jul</c:v>
                </c:pt>
                <c:pt idx="10">
                  <c:v>Ago</c:v>
                </c:pt>
                <c:pt idx="11">
                  <c:v>Sep</c:v>
                </c:pt>
              </c:strCache>
            </c:strRef>
          </c:cat>
          <c:val>
            <c:numRef>
              <c:f>'05_GRÁF.COMP.MEDIA 4 ÚLT.CAMPAÑ'!$E$27:$E$38</c:f>
              <c:numCache>
                <c:formatCode>0.0</c:formatCode>
                <c:ptCount val="12"/>
                <c:pt idx="0">
                  <c:v>36.375520885073541</c:v>
                </c:pt>
                <c:pt idx="1">
                  <c:v>43.64479734200242</c:v>
                </c:pt>
                <c:pt idx="2">
                  <c:v>41.624836989263244</c:v>
                </c:pt>
                <c:pt idx="3">
                  <c:v>39.137916282090202</c:v>
                </c:pt>
                <c:pt idx="4">
                  <c:v>36.517598910397794</c:v>
                </c:pt>
                <c:pt idx="5">
                  <c:v>43.569120209979914</c:v>
                </c:pt>
                <c:pt idx="6">
                  <c:v>36.831207527636295</c:v>
                </c:pt>
                <c:pt idx="7">
                  <c:v>33.933955708668179</c:v>
                </c:pt>
                <c:pt idx="8">
                  <c:v>36.105815000000078</c:v>
                </c:pt>
                <c:pt idx="9">
                  <c:v>34.894653249999948</c:v>
                </c:pt>
                <c:pt idx="10">
                  <c:v>37.317360500000021</c:v>
                </c:pt>
                <c:pt idx="11">
                  <c:v>36.522567000000024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3-A363-4392-89B4-6F0D0F4566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28736431"/>
        <c:axId val="1"/>
      </c:lineChart>
      <c:catAx>
        <c:axId val="21287364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-5340000" vert="horz"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  <c:max val="140"/>
        </c:scaling>
        <c:delete val="0"/>
        <c:axPos val="l"/>
        <c:majorGridlines>
          <c:spPr>
            <a:ln w="3175">
              <a:solidFill>
                <a:srgbClr val="99CC00"/>
              </a:solidFill>
              <a:prstDash val="solid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2128736431"/>
        <c:crosses val="autoZero"/>
        <c:crossBetween val="between"/>
      </c:valAx>
      <c:spPr>
        <a:gradFill rotWithShape="0">
          <a:gsLst>
            <a:gs pos="0">
              <a:srgbClr val="FFEFD1"/>
            </a:gs>
            <a:gs pos="64999">
              <a:srgbClr val="F0EBD5"/>
            </a:gs>
            <a:gs pos="100000">
              <a:srgbClr val="D1C39F"/>
            </a:gs>
          </a:gsLst>
          <a:path path="rect">
            <a:fillToRect l="50000" t="50000" r="50000" b="50000"/>
          </a:path>
        </a:gradFill>
        <a:ln w="12700">
          <a:solidFill>
            <a:srgbClr val="80808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58850508514997091"/>
          <c:y val="6.1335193860261136E-2"/>
          <c:w val="0.37813257162352171"/>
          <c:h val="0.2008709112120983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1000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blipFill dpi="0" rotWithShape="0">
      <a:blip xmlns:r="http://schemas.openxmlformats.org/officeDocument/2006/relationships" r:embed="rId1"/>
      <a:srcRect/>
      <a:stretch>
        <a:fillRect/>
      </a:stretch>
    </a:blipFill>
    <a:ln w="12700">
      <a:solidFill>
        <a:srgbClr val="808000"/>
      </a:solidFill>
      <a:prstDash val="solid"/>
    </a:ln>
  </c:spPr>
  <c:txPr>
    <a:bodyPr/>
    <a:lstStyle/>
    <a:p>
      <a:pPr>
        <a:defRPr sz="9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" footer="0"/>
    <c:pageSetup paperSize="9" orientation="landscape" verticalDpi="1200"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'!$B$40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 w="12700">
              <a:solidFill>
                <a:schemeClr val="accent2">
                  <a:lumMod val="50000"/>
                </a:schemeClr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21/22</c:v>
                </c:pt>
                <c:pt idx="1">
                  <c:v>22/23</c:v>
                </c:pt>
                <c:pt idx="2">
                  <c:v>23/24</c:v>
                </c:pt>
                <c:pt idx="3">
                  <c:v>24/25</c:v>
                </c:pt>
                <c:pt idx="4">
                  <c:v>25/26</c:v>
                </c:pt>
              </c:strCache>
            </c:strRef>
          </c:cat>
          <c:val>
            <c:numRef>
              <c:f>'09_ALMAZ.PROD. POR CAMYTIPO '!$C$40:$G$40</c:f>
              <c:numCache>
                <c:formatCode>#0.00</c:formatCode>
                <c:ptCount val="5"/>
                <c:pt idx="0">
                  <c:v>50.244698205546491</c:v>
                </c:pt>
                <c:pt idx="1">
                  <c:v>50.109170305676855</c:v>
                </c:pt>
                <c:pt idx="2">
                  <c:v>50.59912854030501</c:v>
                </c:pt>
                <c:pt idx="3">
                  <c:v>50.874316939890711</c:v>
                </c:pt>
                <c:pt idx="4">
                  <c:v>51.66757791142701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B-4478-A3AB-6122509A8998}"/>
            </c:ext>
          </c:extLst>
        </c:ser>
        <c:ser>
          <c:idx val="1"/>
          <c:order val="1"/>
          <c:tx>
            <c:strRef>
              <c:f>'09_ALMAZ.PROD. POR CAMYTIPO '!$B$41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 w="9525">
              <a:solidFill>
                <a:schemeClr val="accent4"/>
              </a:solidFill>
              <a:prstDash val="solid"/>
            </a:ln>
          </c:spPr>
          <c:invertIfNegative val="0"/>
          <c:cat>
            <c:strRef>
              <c:f>'09_ALMAZ.PROD. POR CAMYTIPO '!$C$39:$G$39</c:f>
              <c:strCache>
                <c:ptCount val="5"/>
                <c:pt idx="0">
                  <c:v>21/22</c:v>
                </c:pt>
                <c:pt idx="1">
                  <c:v>22/23</c:v>
                </c:pt>
                <c:pt idx="2">
                  <c:v>23/24</c:v>
                </c:pt>
                <c:pt idx="3">
                  <c:v>24/25</c:v>
                </c:pt>
                <c:pt idx="4">
                  <c:v>25/26</c:v>
                </c:pt>
              </c:strCache>
            </c:strRef>
          </c:cat>
          <c:val>
            <c:numRef>
              <c:f>'09_ALMAZ.PROD. POR CAMYTIPO '!$C$41:$G$41</c:f>
              <c:numCache>
                <c:formatCode>#0.00</c:formatCode>
                <c:ptCount val="5"/>
                <c:pt idx="0">
                  <c:v>35.30689886600527</c:v>
                </c:pt>
                <c:pt idx="1">
                  <c:v>40.960746697965241</c:v>
                </c:pt>
                <c:pt idx="2">
                  <c:v>41.148596864490401</c:v>
                </c:pt>
                <c:pt idx="3">
                  <c:v>36.448493823881094</c:v>
                </c:pt>
                <c:pt idx="4">
                  <c:v>37.111734775459389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AB-4478-A3AB-6122509A899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2512"/>
        <c:axId val="1653030336"/>
      </c:barChart>
      <c:catAx>
        <c:axId val="165303251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0336"/>
        <c:crosses val="autoZero"/>
        <c:auto val="1"/>
        <c:lblAlgn val="ctr"/>
        <c:lblOffset val="100"/>
        <c:noMultiLvlLbl val="0"/>
      </c:catAx>
      <c:valAx>
        <c:axId val="165303033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2512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3881595202609727"/>
          <c:y val="0.42242436800663075"/>
          <c:w val="0.1500617699169513"/>
          <c:h val="0.1828392503568633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8083639545056885E-2"/>
          <c:y val="5.2434055958715281E-2"/>
          <c:w val="0.76278118501518966"/>
          <c:h val="0.8180830685637979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'09_ALMAZ.PROD. POR CAMYTIPO '!$B$22</c:f>
              <c:strCache>
                <c:ptCount val="1"/>
                <c:pt idx="0">
                  <c:v>% Nº Empresas</c:v>
                </c:pt>
              </c:strCache>
            </c:strRef>
          </c:tx>
          <c:spPr>
            <a:solidFill>
              <a:schemeClr val="accent2">
                <a:lumMod val="50000"/>
              </a:schemeClr>
            </a:solidFill>
            <a:ln>
              <a:solidFill>
                <a:schemeClr val="accent2">
                  <a:lumMod val="50000"/>
                </a:schemeClr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21/22</c:v>
                </c:pt>
                <c:pt idx="1">
                  <c:v>22/23</c:v>
                </c:pt>
                <c:pt idx="2">
                  <c:v>23/24</c:v>
                </c:pt>
                <c:pt idx="3">
                  <c:v>24/25</c:v>
                </c:pt>
                <c:pt idx="4">
                  <c:v>25/26</c:v>
                </c:pt>
              </c:strCache>
            </c:strRef>
          </c:cat>
          <c:val>
            <c:numRef>
              <c:f>'09_ALMAZ.PROD. POR CAMYTIPO '!$C$22:$G$22</c:f>
              <c:numCache>
                <c:formatCode>#0.00</c:formatCode>
                <c:ptCount val="5"/>
                <c:pt idx="0">
                  <c:v>49.755301794453509</c:v>
                </c:pt>
                <c:pt idx="1">
                  <c:v>49.890829694323145</c:v>
                </c:pt>
                <c:pt idx="2">
                  <c:v>49.40087145969499</c:v>
                </c:pt>
                <c:pt idx="3">
                  <c:v>49.125683060109289</c:v>
                </c:pt>
                <c:pt idx="4">
                  <c:v>48.33242208857299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33-4AAE-90B0-DD5E384A7825}"/>
            </c:ext>
          </c:extLst>
        </c:ser>
        <c:ser>
          <c:idx val="1"/>
          <c:order val="1"/>
          <c:tx>
            <c:strRef>
              <c:f>'09_ALMAZ.PROD. POR CAMYTIPO '!$B$23</c:f>
              <c:strCache>
                <c:ptCount val="1"/>
                <c:pt idx="0">
                  <c:v>% Producción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</c:spPr>
          <c:invertIfNegative val="0"/>
          <c:cat>
            <c:strRef>
              <c:f>'09_ALMAZ.PROD. POR CAMYTIPO '!$C$21:$G$21</c:f>
              <c:strCache>
                <c:ptCount val="5"/>
                <c:pt idx="0">
                  <c:v>21/22</c:v>
                </c:pt>
                <c:pt idx="1">
                  <c:v>22/23</c:v>
                </c:pt>
                <c:pt idx="2">
                  <c:v>23/24</c:v>
                </c:pt>
                <c:pt idx="3">
                  <c:v>24/25</c:v>
                </c:pt>
                <c:pt idx="4">
                  <c:v>25/26</c:v>
                </c:pt>
              </c:strCache>
            </c:strRef>
          </c:cat>
          <c:val>
            <c:numRef>
              <c:f>'09_ALMAZ.PROD. POR CAMYTIPO '!$C$23:$G$23</c:f>
              <c:numCache>
                <c:formatCode>#0.00</c:formatCode>
                <c:ptCount val="5"/>
                <c:pt idx="0">
                  <c:v>64.69310113399473</c:v>
                </c:pt>
                <c:pt idx="1">
                  <c:v>59.039253302034759</c:v>
                </c:pt>
                <c:pt idx="2">
                  <c:v>58.851403135509599</c:v>
                </c:pt>
                <c:pt idx="3">
                  <c:v>63.551506176118906</c:v>
                </c:pt>
                <c:pt idx="4">
                  <c:v>62.888265224540611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33-4AAE-90B0-DD5E384A7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653039040"/>
        <c:axId val="1653033056"/>
      </c:barChart>
      <c:catAx>
        <c:axId val="165303904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 anchor="t" anchorCtr="0"/>
          <a:lstStyle/>
          <a:p>
            <a:pPr>
              <a:defRPr sz="80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3056"/>
        <c:crosses val="autoZero"/>
        <c:auto val="1"/>
        <c:lblAlgn val="ctr"/>
        <c:lblOffset val="100"/>
        <c:noMultiLvlLbl val="0"/>
      </c:catAx>
      <c:valAx>
        <c:axId val="1653033056"/>
        <c:scaling>
          <c:orientation val="minMax"/>
          <c:max val="80"/>
          <c:min val="20"/>
        </c:scaling>
        <c:delete val="0"/>
        <c:axPos val="l"/>
        <c:majorGridlines>
          <c:spPr>
            <a:ln w="3175">
              <a:solidFill>
                <a:schemeClr val="bg1">
                  <a:lumMod val="65000"/>
                </a:schemeClr>
              </a:solidFill>
              <a:prstDash val="sysDash"/>
            </a:ln>
          </c:spPr>
        </c:majorGridlines>
        <c:numFmt formatCode="#,##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75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s-ES"/>
          </a:p>
        </c:txPr>
        <c:crossAx val="1653039040"/>
        <c:crosses val="autoZero"/>
        <c:crossBetween val="between"/>
        <c:majorUnit val="10"/>
      </c:valAx>
      <c:spPr>
        <a:noFill/>
      </c:spPr>
    </c:plotArea>
    <c:legend>
      <c:legendPos val="r"/>
      <c:layout>
        <c:manualLayout>
          <c:xMode val="edge"/>
          <c:yMode val="edge"/>
          <c:x val="0.84106426496019104"/>
          <c:y val="0.41072846157388221"/>
          <c:w val="0.14827868924411206"/>
          <c:h val="0.19466416918149551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735" b="1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s-ES"/>
    </a:p>
  </c:txPr>
  <c:printSettings>
    <c:headerFooter alignWithMargins="0"/>
    <c:pageMargins b="1" l="0.75" r="0.75" t="1" header="0" footer="0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6.xml"/><Relationship Id="rId3" Type="http://schemas.openxmlformats.org/officeDocument/2006/relationships/chart" Target="../charts/chart11.xml"/><Relationship Id="rId7" Type="http://schemas.openxmlformats.org/officeDocument/2006/relationships/chart" Target="../charts/chart15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6" Type="http://schemas.openxmlformats.org/officeDocument/2006/relationships/chart" Target="../charts/chart14.xml"/><Relationship Id="rId5" Type="http://schemas.openxmlformats.org/officeDocument/2006/relationships/chart" Target="../charts/chart13.xml"/><Relationship Id="rId4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6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7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8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19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0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1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2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4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vmlDrawing25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190500</xdr:colOff>
      <xdr:row>0</xdr:row>
      <xdr:rowOff>85725</xdr:rowOff>
    </xdr:from>
    <xdr:ext cx="2433320" cy="552450"/>
    <xdr:pic>
      <xdr:nvPicPr>
        <xdr:cNvPr id="2" name="Imagen 6">
          <a:extLst>
            <a:ext uri="{FF2B5EF4-FFF2-40B4-BE49-F238E27FC236}">
              <a16:creationId xmlns:a16="http://schemas.microsoft.com/office/drawing/2014/main" id="{34AAF16C-1923-4C81-832D-4FA559E53D26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0" y="85725"/>
          <a:ext cx="2433320" cy="5524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349705</xdr:colOff>
      <xdr:row>20</xdr:row>
      <xdr:rowOff>176892</xdr:rowOff>
    </xdr:from>
    <xdr:to>
      <xdr:col>7</xdr:col>
      <xdr:colOff>349705</xdr:colOff>
      <xdr:row>21</xdr:row>
      <xdr:rowOff>180974</xdr:rowOff>
    </xdr:to>
    <xdr:sp macro="" textlink="">
      <xdr:nvSpPr>
        <xdr:cNvPr id="2" name="Rectangle 3">
          <a:extLst>
            <a:ext uri="{FF2B5EF4-FFF2-40B4-BE49-F238E27FC236}">
              <a16:creationId xmlns:a16="http://schemas.microsoft.com/office/drawing/2014/main" id="{69D8E28A-FC95-473A-BEB0-886E15904815}"/>
            </a:ext>
          </a:extLst>
        </xdr:cNvPr>
        <xdr:cNvSpPr>
          <a:spLocks noChangeArrowheads="1"/>
        </xdr:cNvSpPr>
      </xdr:nvSpPr>
      <xdr:spPr bwMode="auto">
        <a:xfrm>
          <a:off x="3131005" y="4355192"/>
          <a:ext cx="5664200" cy="188232"/>
        </a:xfrm>
        <a:prstGeom prst="rect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  <a:effectLst>
          <a:outerShdw dist="107763" dir="2700000" algn="ctr" rotWithShape="0">
            <a:srgbClr val="808080"/>
          </a:outerShdw>
        </a:effectLst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53640926-AAD7-44D8-BBD7-CCE9431645EC}">
            <a14:shadowObscured xmlns:a14="http://schemas.microsoft.com/office/drawing/2010/main" val="1"/>
          </a:ext>
        </a:extLst>
      </xdr:spPr>
      <xdr:txBody>
        <a:bodyPr/>
        <a:lstStyle/>
        <a:p>
          <a:endParaRPr lang="es-ES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5383</xdr:colOff>
      <xdr:row>22</xdr:row>
      <xdr:rowOff>191253</xdr:rowOff>
    </xdr:from>
    <xdr:to>
      <xdr:col>14</xdr:col>
      <xdr:colOff>24433</xdr:colOff>
      <xdr:row>36</xdr:row>
      <xdr:rowOff>170967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C964C43-2B87-4D55-86B8-547C7852009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812585</xdr:colOff>
      <xdr:row>40</xdr:row>
      <xdr:rowOff>20289</xdr:rowOff>
    </xdr:from>
    <xdr:to>
      <xdr:col>14</xdr:col>
      <xdr:colOff>91483</xdr:colOff>
      <xdr:row>54</xdr:row>
      <xdr:rowOff>10764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41A3F35-0F2E-46AB-8F1C-342F15BB86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811349</xdr:colOff>
      <xdr:row>57</xdr:row>
      <xdr:rowOff>10493</xdr:rowOff>
    </xdr:from>
    <xdr:to>
      <xdr:col>14</xdr:col>
      <xdr:colOff>0</xdr:colOff>
      <xdr:row>71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0FDD22A-9DB6-474E-BCFD-B2FA2B2B3F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807205</xdr:colOff>
      <xdr:row>73</xdr:row>
      <xdr:rowOff>160204</xdr:rowOff>
    </xdr:from>
    <xdr:to>
      <xdr:col>14</xdr:col>
      <xdr:colOff>-1</xdr:colOff>
      <xdr:row>87</xdr:row>
      <xdr:rowOff>171666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44C5DB7-BF9A-4A16-B713-8D83A7C826C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5381</xdr:colOff>
      <xdr:row>6</xdr:row>
      <xdr:rowOff>43051</xdr:rowOff>
    </xdr:from>
    <xdr:to>
      <xdr:col>14</xdr:col>
      <xdr:colOff>14906</xdr:colOff>
      <xdr:row>20</xdr:row>
      <xdr:rowOff>39822</xdr:rowOff>
    </xdr:to>
    <xdr:graphicFrame macro="">
      <xdr:nvGraphicFramePr>
        <xdr:cNvPr id="6" name="Gráfico 1">
          <a:extLst>
            <a:ext uri="{FF2B5EF4-FFF2-40B4-BE49-F238E27FC236}">
              <a16:creationId xmlns:a16="http://schemas.microsoft.com/office/drawing/2014/main" id="{48B95FF2-9D7F-47F8-B37E-680F1CC4D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131762</xdr:colOff>
      <xdr:row>6</xdr:row>
      <xdr:rowOff>9525</xdr:rowOff>
    </xdr:from>
    <xdr:to>
      <xdr:col>16</xdr:col>
      <xdr:colOff>845343</xdr:colOff>
      <xdr:row>21</xdr:row>
      <xdr:rowOff>0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83660D9E-7813-47FF-A364-0DE565A6FA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114301</xdr:colOff>
      <xdr:row>23</xdr:row>
      <xdr:rowOff>11905</xdr:rowOff>
    </xdr:from>
    <xdr:to>
      <xdr:col>16</xdr:col>
      <xdr:colOff>878417</xdr:colOff>
      <xdr:row>37</xdr:row>
      <xdr:rowOff>285750</xdr:rowOff>
    </xdr:to>
    <xdr:graphicFrame macro="">
      <xdr:nvGraphicFramePr>
        <xdr:cNvPr id="3" name="Gráfico 5">
          <a:extLst>
            <a:ext uri="{FF2B5EF4-FFF2-40B4-BE49-F238E27FC236}">
              <a16:creationId xmlns:a16="http://schemas.microsoft.com/office/drawing/2014/main" id="{0AA78FAA-D2A4-42C4-BE7D-30EAA83C73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107156</xdr:colOff>
      <xdr:row>39</xdr:row>
      <xdr:rowOff>197645</xdr:rowOff>
    </xdr:from>
    <xdr:to>
      <xdr:col>16</xdr:col>
      <xdr:colOff>845343</xdr:colOff>
      <xdr:row>53</xdr:row>
      <xdr:rowOff>166687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1C21CFB-C489-48BB-8CAB-51915C9A4C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4081</xdr:colOff>
      <xdr:row>6</xdr:row>
      <xdr:rowOff>12701</xdr:rowOff>
    </xdr:from>
    <xdr:to>
      <xdr:col>7</xdr:col>
      <xdr:colOff>54430</xdr:colOff>
      <xdr:row>21</xdr:row>
      <xdr:rowOff>12701</xdr:rowOff>
    </xdr:to>
    <xdr:graphicFrame macro="">
      <xdr:nvGraphicFramePr>
        <xdr:cNvPr id="2" name="Gráfico 4">
          <a:extLst>
            <a:ext uri="{FF2B5EF4-FFF2-40B4-BE49-F238E27FC236}">
              <a16:creationId xmlns:a16="http://schemas.microsoft.com/office/drawing/2014/main" id="{022FE179-1C4F-449A-B53A-BD5742866D7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711653</xdr:colOff>
      <xdr:row>6</xdr:row>
      <xdr:rowOff>6350</xdr:rowOff>
    </xdr:from>
    <xdr:to>
      <xdr:col>14</xdr:col>
      <xdr:colOff>13607</xdr:colOff>
      <xdr:row>21</xdr:row>
      <xdr:rowOff>0</xdr:rowOff>
    </xdr:to>
    <xdr:graphicFrame macro="">
      <xdr:nvGraphicFramePr>
        <xdr:cNvPr id="3" name="Gráfico 4">
          <a:extLst>
            <a:ext uri="{FF2B5EF4-FFF2-40B4-BE49-F238E27FC236}">
              <a16:creationId xmlns:a16="http://schemas.microsoft.com/office/drawing/2014/main" id="{E49A4035-FD10-4CBD-9A82-589B0B4C6B8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711653</xdr:colOff>
      <xdr:row>23</xdr:row>
      <xdr:rowOff>163285</xdr:rowOff>
    </xdr:from>
    <xdr:to>
      <xdr:col>14</xdr:col>
      <xdr:colOff>10431</xdr:colOff>
      <xdr:row>39</xdr:row>
      <xdr:rowOff>13607</xdr:rowOff>
    </xdr:to>
    <xdr:graphicFrame macro="">
      <xdr:nvGraphicFramePr>
        <xdr:cNvPr id="4" name="Gráfico 4">
          <a:extLst>
            <a:ext uri="{FF2B5EF4-FFF2-40B4-BE49-F238E27FC236}">
              <a16:creationId xmlns:a16="http://schemas.microsoft.com/office/drawing/2014/main" id="{B5BAAA21-7E3F-4EC9-942E-B8AED95212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711653</xdr:colOff>
      <xdr:row>41</xdr:row>
      <xdr:rowOff>173719</xdr:rowOff>
    </xdr:from>
    <xdr:to>
      <xdr:col>14</xdr:col>
      <xdr:colOff>0</xdr:colOff>
      <xdr:row>56</xdr:row>
      <xdr:rowOff>164194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1B8B9F8E-DBC8-406A-9415-8878FD529E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707572</xdr:colOff>
      <xdr:row>60</xdr:row>
      <xdr:rowOff>2</xdr:rowOff>
    </xdr:from>
    <xdr:to>
      <xdr:col>14</xdr:col>
      <xdr:colOff>10432</xdr:colOff>
      <xdr:row>74</xdr:row>
      <xdr:rowOff>170545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53C8EDC-6272-44C2-A905-3247EE0106F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798739</xdr:colOff>
      <xdr:row>59</xdr:row>
      <xdr:rowOff>172811</xdr:rowOff>
    </xdr:from>
    <xdr:to>
      <xdr:col>7</xdr:col>
      <xdr:colOff>10432</xdr:colOff>
      <xdr:row>75</xdr:row>
      <xdr:rowOff>13608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A4BCE0A6-667E-4E23-8792-5A620DC02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19957</xdr:colOff>
      <xdr:row>42</xdr:row>
      <xdr:rowOff>0</xdr:rowOff>
    </xdr:from>
    <xdr:to>
      <xdr:col>7</xdr:col>
      <xdr:colOff>144236</xdr:colOff>
      <xdr:row>56</xdr:row>
      <xdr:rowOff>161018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C6F0188-2FB2-4FD1-BAFA-74B040890D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802822</xdr:colOff>
      <xdr:row>23</xdr:row>
      <xdr:rowOff>149678</xdr:rowOff>
    </xdr:from>
    <xdr:to>
      <xdr:col>7</xdr:col>
      <xdr:colOff>14515</xdr:colOff>
      <xdr:row>38</xdr:row>
      <xdr:rowOff>157842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403F2E7E-EAA2-4934-96CD-07835577157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819149</xdr:colOff>
      <xdr:row>26</xdr:row>
      <xdr:rowOff>1</xdr:rowOff>
    </xdr:from>
    <xdr:to>
      <xdr:col>6</xdr:col>
      <xdr:colOff>1019174</xdr:colOff>
      <xdr:row>37</xdr:row>
      <xdr:rowOff>76201</xdr:rowOff>
    </xdr:to>
    <xdr:graphicFrame macro="">
      <xdr:nvGraphicFramePr>
        <xdr:cNvPr id="2" name="Gráfico 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</xdr:colOff>
      <xdr:row>7</xdr:row>
      <xdr:rowOff>180975</xdr:rowOff>
    </xdr:from>
    <xdr:to>
      <xdr:col>7</xdr:col>
      <xdr:colOff>0</xdr:colOff>
      <xdr:row>19</xdr:row>
      <xdr:rowOff>57150</xdr:rowOff>
    </xdr:to>
    <xdr:graphicFrame macro="">
      <xdr:nvGraphicFramePr>
        <xdr:cNvPr id="3" name="Gráfico 8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342900</xdr:colOff>
      <xdr:row>15</xdr:row>
      <xdr:rowOff>38100</xdr:rowOff>
    </xdr:from>
    <xdr:ext cx="184731" cy="264560"/>
    <xdr:sp macro="" textlink="">
      <xdr:nvSpPr>
        <xdr:cNvPr id="2" name="CuadroTexto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 txBox="1"/>
      </xdr:nvSpPr>
      <xdr:spPr>
        <a:xfrm>
          <a:off x="11677650" y="28956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s-ES" sz="1100"/>
        </a:p>
      </xdr:txBody>
    </xdr:sp>
    <xdr:clientData/>
  </xdr:oneCellAnchor>
  <xdr:twoCellAnchor editAs="oneCell">
    <xdr:from>
      <xdr:col>0</xdr:col>
      <xdr:colOff>331932</xdr:colOff>
      <xdr:row>15</xdr:row>
      <xdr:rowOff>115455</xdr:rowOff>
    </xdr:from>
    <xdr:to>
      <xdr:col>14</xdr:col>
      <xdr:colOff>3533</xdr:colOff>
      <xdr:row>37</xdr:row>
      <xdr:rowOff>154673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1F05896-418A-4786-8CB3-F7EF8169F5E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7583" b="8731"/>
        <a:stretch/>
      </xdr:blipFill>
      <xdr:spPr bwMode="auto">
        <a:xfrm>
          <a:off x="331932" y="3261591"/>
          <a:ext cx="12169556" cy="442649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74221</xdr:colOff>
      <xdr:row>15</xdr:row>
      <xdr:rowOff>12369</xdr:rowOff>
    </xdr:from>
    <xdr:to>
      <xdr:col>13</xdr:col>
      <xdr:colOff>349899</xdr:colOff>
      <xdr:row>37</xdr:row>
      <xdr:rowOff>408214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665BFFC-4A5D-4881-8B24-5494C984FF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076"/>
        <a:stretch/>
      </xdr:blipFill>
      <xdr:spPr bwMode="auto">
        <a:xfrm>
          <a:off x="445325" y="3166752"/>
          <a:ext cx="12262334" cy="475013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page.mpr.gob.es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9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0.v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1.v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2.v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3.v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4.v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5.v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6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7.vml"/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8.v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9.v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0.v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1.v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2.v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3.v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4.v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5.vml"/><Relationship Id="rId1" Type="http://schemas.openxmlformats.org/officeDocument/2006/relationships/printerSettings" Target="../printerSettings/printerSettings2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2BAD3-C459-4BD3-8105-43D91652988F}">
  <dimension ref="A1:Q106"/>
  <sheetViews>
    <sheetView tabSelected="1" view="pageBreakPreview" topLeftCell="A4" zoomScale="40" zoomScaleNormal="100" zoomScaleSheetLayoutView="40" workbookViewId="0">
      <selection activeCell="N18" sqref="N18"/>
    </sheetView>
  </sheetViews>
  <sheetFormatPr baseColWidth="10" defaultColWidth="11.453125" defaultRowHeight="14.5" x14ac:dyDescent="0.35"/>
  <sheetData>
    <row r="1" spans="1:17" x14ac:dyDescent="0.35">
      <c r="A1" s="606"/>
      <c r="B1" s="606"/>
      <c r="C1" s="606"/>
      <c r="D1" s="606"/>
      <c r="E1" s="606"/>
      <c r="F1" s="606"/>
      <c r="G1" s="606"/>
      <c r="H1" s="606"/>
      <c r="I1" s="606"/>
      <c r="J1" s="606"/>
      <c r="K1" s="606"/>
      <c r="L1" s="606"/>
      <c r="M1" s="606"/>
      <c r="N1" s="606"/>
      <c r="O1" s="606"/>
      <c r="P1" s="606"/>
      <c r="Q1" s="606"/>
    </row>
    <row r="2" spans="1:17" x14ac:dyDescent="0.35">
      <c r="A2" s="606"/>
      <c r="B2" s="606"/>
      <c r="C2" s="606"/>
      <c r="D2" s="606"/>
      <c r="E2" s="606"/>
      <c r="F2" s="606"/>
      <c r="G2" s="606"/>
      <c r="H2" s="606"/>
      <c r="I2" s="606"/>
      <c r="J2" s="606"/>
      <c r="K2" s="606"/>
      <c r="L2" s="606"/>
      <c r="M2" s="606"/>
      <c r="N2" s="606"/>
      <c r="O2" s="606"/>
      <c r="P2" s="606"/>
      <c r="Q2" s="606"/>
    </row>
    <row r="3" spans="1:17" x14ac:dyDescent="0.35">
      <c r="A3" s="606"/>
      <c r="B3" s="606"/>
      <c r="C3" s="606"/>
      <c r="D3" s="606"/>
      <c r="E3" s="606"/>
      <c r="F3" s="606"/>
      <c r="G3" s="606"/>
      <c r="H3" s="606"/>
      <c r="I3" s="606"/>
      <c r="J3" s="606"/>
      <c r="K3" s="606"/>
      <c r="L3" s="606"/>
      <c r="M3" s="606"/>
      <c r="N3" s="606"/>
      <c r="O3" s="606"/>
      <c r="P3" s="606"/>
      <c r="Q3" s="606"/>
    </row>
    <row r="4" spans="1:17" x14ac:dyDescent="0.35">
      <c r="A4" s="606"/>
      <c r="B4" s="606"/>
      <c r="C4" s="606"/>
      <c r="D4" s="606"/>
      <c r="E4" s="606"/>
      <c r="F4" s="606"/>
      <c r="G4" s="606"/>
      <c r="H4" s="606"/>
      <c r="I4" s="606"/>
      <c r="J4" s="606"/>
      <c r="K4" s="606"/>
      <c r="L4" s="606"/>
      <c r="M4" s="606"/>
      <c r="N4" s="606"/>
      <c r="O4" s="606"/>
      <c r="P4" s="606"/>
      <c r="Q4" s="606"/>
    </row>
    <row r="5" spans="1:17" x14ac:dyDescent="0.35">
      <c r="A5" s="606"/>
      <c r="B5" s="606"/>
      <c r="C5" s="606"/>
      <c r="D5" s="606"/>
      <c r="E5" s="606"/>
      <c r="F5" s="606"/>
      <c r="G5" s="606"/>
      <c r="H5" s="606"/>
      <c r="I5" s="606"/>
      <c r="J5" s="606"/>
      <c r="K5" s="606"/>
      <c r="L5" s="606"/>
      <c r="M5" s="606"/>
      <c r="N5" s="606"/>
      <c r="O5" s="606"/>
      <c r="P5" s="606"/>
      <c r="Q5" s="606"/>
    </row>
    <row r="6" spans="1:17" x14ac:dyDescent="0.35">
      <c r="A6" s="606"/>
      <c r="B6" s="606"/>
      <c r="C6" s="606"/>
      <c r="D6" s="606"/>
      <c r="E6" s="606"/>
      <c r="F6" s="606"/>
      <c r="G6" s="606"/>
      <c r="H6" s="606"/>
      <c r="I6" s="606"/>
      <c r="J6" s="606"/>
      <c r="K6" s="606"/>
      <c r="L6" s="606"/>
      <c r="M6" s="606"/>
      <c r="N6" s="606"/>
      <c r="O6" s="606"/>
      <c r="P6" s="606"/>
      <c r="Q6" s="606"/>
    </row>
    <row r="7" spans="1:17" x14ac:dyDescent="0.35">
      <c r="A7" s="606"/>
      <c r="B7" s="606"/>
      <c r="C7" s="606"/>
      <c r="D7" s="606"/>
      <c r="E7" s="606"/>
      <c r="F7" s="606"/>
      <c r="G7" s="606"/>
      <c r="H7" s="606"/>
      <c r="I7" s="606"/>
      <c r="J7" s="606"/>
      <c r="K7" s="606"/>
      <c r="L7" s="606"/>
      <c r="M7" s="606"/>
      <c r="N7" s="606"/>
      <c r="O7" s="606"/>
      <c r="P7" s="606"/>
      <c r="Q7" s="606"/>
    </row>
    <row r="8" spans="1:17" x14ac:dyDescent="0.35">
      <c r="A8" s="606"/>
      <c r="B8" s="606"/>
      <c r="C8" s="606"/>
      <c r="D8" s="606"/>
      <c r="E8" s="606"/>
      <c r="F8" s="606"/>
      <c r="G8" s="606"/>
      <c r="H8" s="606"/>
      <c r="I8" s="606"/>
      <c r="J8" s="606"/>
      <c r="K8" s="606"/>
      <c r="L8" s="606"/>
      <c r="M8" s="606"/>
      <c r="N8" s="606"/>
      <c r="O8" s="606"/>
      <c r="P8" s="606"/>
      <c r="Q8" s="606"/>
    </row>
    <row r="9" spans="1:17" x14ac:dyDescent="0.35">
      <c r="A9" s="606"/>
      <c r="B9" s="606"/>
      <c r="C9" s="606"/>
      <c r="D9" s="606"/>
      <c r="E9" s="606"/>
      <c r="F9" s="606"/>
      <c r="G9" s="606"/>
      <c r="H9" s="606"/>
      <c r="I9" s="606"/>
      <c r="J9" s="606"/>
      <c r="K9" s="606"/>
      <c r="L9" s="606"/>
      <c r="M9" s="606"/>
      <c r="N9" s="606"/>
      <c r="O9" s="606"/>
      <c r="P9" s="606"/>
      <c r="Q9" s="606"/>
    </row>
    <row r="10" spans="1:17" ht="33.75" customHeight="1" x14ac:dyDescent="0.35">
      <c r="A10" s="606"/>
      <c r="B10" s="606"/>
      <c r="C10" s="606"/>
      <c r="D10" s="783" t="s">
        <v>264</v>
      </c>
      <c r="E10" s="783"/>
      <c r="F10" s="783"/>
      <c r="G10" s="783"/>
      <c r="H10" s="783"/>
      <c r="I10" s="783"/>
      <c r="J10" s="783"/>
      <c r="K10" s="783"/>
      <c r="L10" s="606"/>
      <c r="M10" s="606"/>
      <c r="N10" s="606"/>
      <c r="O10" s="606"/>
      <c r="P10" s="606"/>
      <c r="Q10" s="607"/>
    </row>
    <row r="11" spans="1:17" ht="57" customHeight="1" x14ac:dyDescent="0.35">
      <c r="A11" s="606"/>
      <c r="B11" s="606"/>
      <c r="C11" s="606"/>
      <c r="D11" s="783"/>
      <c r="E11" s="783"/>
      <c r="F11" s="783"/>
      <c r="G11" s="783"/>
      <c r="H11" s="783"/>
      <c r="I11" s="783"/>
      <c r="J11" s="783"/>
      <c r="K11" s="783"/>
      <c r="L11" s="606"/>
      <c r="M11" s="606"/>
      <c r="N11" s="606"/>
      <c r="O11" s="606"/>
      <c r="P11" s="606"/>
      <c r="Q11" s="606"/>
    </row>
    <row r="12" spans="1:17" x14ac:dyDescent="0.35">
      <c r="A12" s="606"/>
      <c r="B12" s="606"/>
      <c r="C12" s="606"/>
      <c r="D12" s="606"/>
      <c r="E12" s="606"/>
      <c r="F12" s="606"/>
      <c r="G12" s="606"/>
      <c r="H12" s="606"/>
      <c r="I12" s="606"/>
      <c r="J12" s="606"/>
      <c r="K12" s="606"/>
      <c r="L12" s="606"/>
      <c r="M12" s="606"/>
      <c r="N12" s="606"/>
      <c r="O12" s="606"/>
      <c r="P12" s="606"/>
      <c r="Q12" s="606"/>
    </row>
    <row r="13" spans="1:17" x14ac:dyDescent="0.35">
      <c r="A13" s="606"/>
      <c r="B13" s="606"/>
      <c r="C13" s="606"/>
      <c r="D13" s="606"/>
      <c r="E13" s="606"/>
      <c r="F13" s="606"/>
      <c r="G13" s="606"/>
      <c r="H13" s="606"/>
      <c r="I13" s="606"/>
      <c r="J13" s="606"/>
      <c r="K13" s="606"/>
      <c r="L13" s="606"/>
      <c r="M13" s="606"/>
      <c r="N13" s="606"/>
      <c r="O13" s="606"/>
      <c r="P13" s="606"/>
      <c r="Q13" s="606"/>
    </row>
    <row r="14" spans="1:17" x14ac:dyDescent="0.35">
      <c r="A14" s="606"/>
      <c r="B14" s="606"/>
      <c r="C14" s="606"/>
      <c r="D14" s="606"/>
      <c r="E14" s="606"/>
      <c r="F14" s="606"/>
      <c r="G14" s="606"/>
      <c r="H14" s="606"/>
      <c r="I14" s="606"/>
      <c r="J14" s="606"/>
      <c r="K14" s="606"/>
      <c r="L14" s="606"/>
      <c r="M14" s="606"/>
      <c r="N14" s="606"/>
      <c r="O14" s="606"/>
      <c r="P14" s="606"/>
      <c r="Q14" s="606"/>
    </row>
    <row r="15" spans="1:17" ht="33.5" x14ac:dyDescent="0.35">
      <c r="A15" s="606"/>
      <c r="B15" s="606"/>
      <c r="C15" s="606"/>
      <c r="D15" s="606"/>
      <c r="E15" s="606"/>
      <c r="F15" s="606"/>
      <c r="G15" s="608" t="s">
        <v>265</v>
      </c>
      <c r="H15" s="606"/>
      <c r="I15" s="606"/>
      <c r="J15" s="606"/>
      <c r="K15" s="606"/>
      <c r="L15" s="606"/>
      <c r="M15" s="606"/>
      <c r="N15" s="606"/>
      <c r="O15" s="606"/>
      <c r="P15" s="606"/>
      <c r="Q15" s="606"/>
    </row>
    <row r="16" spans="1:17" ht="28.5" x14ac:dyDescent="0.35">
      <c r="A16" s="606"/>
      <c r="B16" s="606"/>
      <c r="C16" s="606"/>
      <c r="D16" s="606"/>
      <c r="E16" s="606"/>
      <c r="F16" s="606"/>
      <c r="G16" s="609"/>
      <c r="H16" s="606"/>
      <c r="I16" s="606"/>
      <c r="J16" s="606"/>
      <c r="K16" s="606"/>
      <c r="L16" s="606"/>
      <c r="M16" s="606"/>
      <c r="N16" s="606"/>
      <c r="O16" s="606"/>
      <c r="P16" s="606"/>
      <c r="Q16" s="606"/>
    </row>
    <row r="17" spans="1:17" ht="28.5" x14ac:dyDescent="0.35">
      <c r="A17" s="606"/>
      <c r="B17" s="606"/>
      <c r="C17" s="606"/>
      <c r="D17" s="606"/>
      <c r="E17" s="606"/>
      <c r="F17" s="606"/>
      <c r="G17" s="610"/>
      <c r="H17" s="611"/>
      <c r="I17" s="606"/>
      <c r="J17" s="606"/>
      <c r="K17" s="606"/>
      <c r="L17" s="606"/>
      <c r="M17" s="606"/>
      <c r="N17" s="606"/>
      <c r="O17" s="606"/>
      <c r="P17" s="606"/>
      <c r="Q17" s="606"/>
    </row>
    <row r="18" spans="1:17" ht="28.5" x14ac:dyDescent="0.35">
      <c r="A18" s="606"/>
      <c r="B18" s="606"/>
      <c r="C18" s="606"/>
      <c r="D18" s="606"/>
      <c r="E18" s="612" t="s">
        <v>342</v>
      </c>
      <c r="F18" s="606"/>
      <c r="G18" s="611"/>
      <c r="H18" s="606"/>
      <c r="I18" s="606"/>
      <c r="J18" s="606"/>
      <c r="K18" s="606"/>
      <c r="L18" s="606"/>
      <c r="M18" s="606"/>
      <c r="N18" s="606"/>
      <c r="O18" s="606"/>
      <c r="P18" s="606"/>
      <c r="Q18" s="606"/>
    </row>
    <row r="19" spans="1:17" x14ac:dyDescent="0.35">
      <c r="A19" s="606"/>
      <c r="B19" s="606"/>
      <c r="C19" s="606"/>
      <c r="D19" s="606"/>
      <c r="E19" s="606"/>
      <c r="F19" s="606"/>
      <c r="G19" s="606"/>
      <c r="H19" s="606"/>
      <c r="I19" s="606"/>
      <c r="J19" s="606"/>
      <c r="K19" s="606"/>
      <c r="L19" s="606"/>
      <c r="M19" s="606"/>
      <c r="N19" s="606"/>
      <c r="O19" s="606"/>
      <c r="P19" s="606"/>
      <c r="Q19" s="606"/>
    </row>
    <row r="20" spans="1:17" x14ac:dyDescent="0.35">
      <c r="A20" s="606"/>
      <c r="B20" s="606"/>
      <c r="C20" s="606"/>
      <c r="D20" s="606"/>
      <c r="E20" s="606"/>
      <c r="F20" s="606"/>
      <c r="G20" s="606"/>
      <c r="H20" s="606"/>
      <c r="I20" s="606"/>
      <c r="J20" s="606"/>
      <c r="K20" s="606"/>
      <c r="L20" s="606"/>
      <c r="M20" s="606"/>
      <c r="N20" s="606"/>
      <c r="O20" s="606"/>
      <c r="P20" s="606"/>
      <c r="Q20" s="606"/>
    </row>
    <row r="21" spans="1:17" x14ac:dyDescent="0.35">
      <c r="A21" s="606"/>
      <c r="B21" s="606"/>
      <c r="C21" s="606"/>
      <c r="D21" s="606"/>
      <c r="F21" s="606"/>
      <c r="G21" s="606"/>
      <c r="H21" s="606"/>
      <c r="I21" s="606"/>
      <c r="J21" s="606"/>
      <c r="K21" s="606"/>
      <c r="L21" s="606"/>
      <c r="M21" s="606"/>
      <c r="N21" s="606"/>
      <c r="O21" s="606"/>
      <c r="P21" s="606"/>
      <c r="Q21" s="606"/>
    </row>
    <row r="22" spans="1:17" x14ac:dyDescent="0.35">
      <c r="A22" s="606"/>
      <c r="B22" s="606"/>
      <c r="C22" s="606"/>
      <c r="D22" s="606"/>
      <c r="E22" s="606"/>
      <c r="F22" s="606"/>
      <c r="G22" s="606"/>
      <c r="H22" s="606"/>
      <c r="I22" s="606"/>
      <c r="J22" s="606"/>
      <c r="K22" s="606"/>
      <c r="L22" s="606"/>
      <c r="M22" s="606"/>
      <c r="N22" s="606"/>
      <c r="O22" s="606"/>
      <c r="P22" s="606"/>
      <c r="Q22" s="606"/>
    </row>
    <row r="23" spans="1:17" x14ac:dyDescent="0.35">
      <c r="A23" s="606"/>
      <c r="B23" s="606"/>
      <c r="C23" s="606"/>
      <c r="D23" s="606"/>
      <c r="E23" s="606"/>
      <c r="F23" s="606"/>
      <c r="G23" s="606"/>
      <c r="H23" s="606"/>
      <c r="I23" s="606"/>
      <c r="J23" s="606"/>
      <c r="K23" s="606"/>
      <c r="L23" s="606"/>
      <c r="M23" s="606"/>
      <c r="N23" s="606"/>
      <c r="O23" s="606"/>
      <c r="P23" s="606"/>
      <c r="Q23" s="606"/>
    </row>
    <row r="24" spans="1:17" x14ac:dyDescent="0.35">
      <c r="A24" s="784" t="s">
        <v>266</v>
      </c>
      <c r="B24" s="784"/>
      <c r="C24" s="784"/>
      <c r="D24" s="784"/>
      <c r="E24" s="784"/>
      <c r="F24" s="784"/>
      <c r="G24" s="784"/>
      <c r="H24" s="784"/>
      <c r="I24" s="784"/>
      <c r="J24" s="784"/>
      <c r="K24" s="784"/>
      <c r="L24" s="784"/>
      <c r="M24" s="784"/>
      <c r="N24" s="784"/>
      <c r="O24" s="784"/>
      <c r="P24" s="784"/>
      <c r="Q24" s="784"/>
    </row>
    <row r="25" spans="1:17" x14ac:dyDescent="0.35">
      <c r="A25" s="784"/>
      <c r="B25" s="784"/>
      <c r="C25" s="784"/>
      <c r="D25" s="784"/>
      <c r="E25" s="784"/>
      <c r="F25" s="784"/>
      <c r="G25" s="784"/>
      <c r="H25" s="784"/>
      <c r="I25" s="784"/>
      <c r="J25" s="784"/>
      <c r="K25" s="784"/>
      <c r="L25" s="784"/>
      <c r="M25" s="784"/>
      <c r="N25" s="784"/>
      <c r="O25" s="784"/>
      <c r="P25" s="784"/>
      <c r="Q25" s="784"/>
    </row>
    <row r="26" spans="1:17" x14ac:dyDescent="0.35">
      <c r="A26" s="784"/>
      <c r="B26" s="784"/>
      <c r="C26" s="784"/>
      <c r="D26" s="784"/>
      <c r="E26" s="784"/>
      <c r="F26" s="784"/>
      <c r="G26" s="784"/>
      <c r="H26" s="784"/>
      <c r="I26" s="784"/>
      <c r="J26" s="784"/>
      <c r="K26" s="784"/>
      <c r="L26" s="784"/>
      <c r="M26" s="784"/>
      <c r="N26" s="784"/>
      <c r="O26" s="784"/>
      <c r="P26" s="784"/>
      <c r="Q26" s="784"/>
    </row>
    <row r="27" spans="1:17" x14ac:dyDescent="0.35">
      <c r="A27" s="784"/>
      <c r="B27" s="784"/>
      <c r="C27" s="784"/>
      <c r="D27" s="784"/>
      <c r="E27" s="784"/>
      <c r="F27" s="784"/>
      <c r="G27" s="784"/>
      <c r="H27" s="784"/>
      <c r="I27" s="784"/>
      <c r="J27" s="784"/>
      <c r="K27" s="784"/>
      <c r="L27" s="784"/>
      <c r="M27" s="784"/>
      <c r="N27" s="784"/>
      <c r="O27" s="784"/>
      <c r="P27" s="784"/>
      <c r="Q27" s="784"/>
    </row>
    <row r="28" spans="1:17" x14ac:dyDescent="0.35">
      <c r="A28" s="784"/>
      <c r="B28" s="784"/>
      <c r="C28" s="784"/>
      <c r="D28" s="784"/>
      <c r="E28" s="784"/>
      <c r="F28" s="784"/>
      <c r="G28" s="784"/>
      <c r="H28" s="784"/>
      <c r="I28" s="784"/>
      <c r="J28" s="784"/>
      <c r="K28" s="784"/>
      <c r="L28" s="784"/>
      <c r="M28" s="784"/>
      <c r="N28" s="784"/>
      <c r="O28" s="784"/>
      <c r="P28" s="784"/>
      <c r="Q28" s="784"/>
    </row>
    <row r="29" spans="1:17" x14ac:dyDescent="0.35">
      <c r="A29" s="784"/>
      <c r="B29" s="784"/>
      <c r="C29" s="784"/>
      <c r="D29" s="784"/>
      <c r="E29" s="784"/>
      <c r="F29" s="784"/>
      <c r="G29" s="784"/>
      <c r="H29" s="784"/>
      <c r="I29" s="784"/>
      <c r="J29" s="784"/>
      <c r="K29" s="784"/>
      <c r="L29" s="784"/>
      <c r="M29" s="784"/>
      <c r="N29" s="784"/>
      <c r="O29" s="784"/>
      <c r="P29" s="784"/>
      <c r="Q29" s="784"/>
    </row>
    <row r="30" spans="1:17" x14ac:dyDescent="0.35">
      <c r="A30" s="784"/>
      <c r="B30" s="784"/>
      <c r="C30" s="784"/>
      <c r="D30" s="784"/>
      <c r="E30" s="784"/>
      <c r="F30" s="784"/>
      <c r="G30" s="784"/>
      <c r="H30" s="784"/>
      <c r="I30" s="784"/>
      <c r="J30" s="784"/>
      <c r="K30" s="784"/>
      <c r="L30" s="784"/>
      <c r="M30" s="784"/>
      <c r="N30" s="784"/>
      <c r="O30" s="784"/>
      <c r="P30" s="784"/>
      <c r="Q30" s="784"/>
    </row>
    <row r="31" spans="1:17" x14ac:dyDescent="0.35">
      <c r="A31" s="784"/>
      <c r="B31" s="784"/>
      <c r="C31" s="784"/>
      <c r="D31" s="784"/>
      <c r="E31" s="784"/>
      <c r="F31" s="784"/>
      <c r="G31" s="784"/>
      <c r="H31" s="784"/>
      <c r="I31" s="784"/>
      <c r="J31" s="784"/>
      <c r="K31" s="784"/>
      <c r="L31" s="784"/>
      <c r="M31" s="784"/>
      <c r="N31" s="784"/>
      <c r="O31" s="784"/>
      <c r="P31" s="784"/>
      <c r="Q31" s="784"/>
    </row>
    <row r="32" spans="1:17" x14ac:dyDescent="0.35">
      <c r="A32" s="784"/>
      <c r="B32" s="784"/>
      <c r="C32" s="784"/>
      <c r="D32" s="784"/>
      <c r="E32" s="784"/>
      <c r="F32" s="784"/>
      <c r="G32" s="784"/>
      <c r="H32" s="784"/>
      <c r="I32" s="784"/>
      <c r="J32" s="784"/>
      <c r="K32" s="784"/>
      <c r="L32" s="784"/>
      <c r="M32" s="784"/>
      <c r="N32" s="784"/>
      <c r="O32" s="784"/>
      <c r="P32" s="784"/>
      <c r="Q32" s="784"/>
    </row>
    <row r="33" spans="1:17" x14ac:dyDescent="0.35">
      <c r="A33" s="784"/>
      <c r="B33" s="784"/>
      <c r="C33" s="784"/>
      <c r="D33" s="784"/>
      <c r="E33" s="784"/>
      <c r="F33" s="784"/>
      <c r="G33" s="784"/>
      <c r="H33" s="784"/>
      <c r="I33" s="784"/>
      <c r="J33" s="784"/>
      <c r="K33" s="784"/>
      <c r="L33" s="784"/>
      <c r="M33" s="784"/>
      <c r="N33" s="784"/>
      <c r="O33" s="784"/>
      <c r="P33" s="784"/>
      <c r="Q33" s="784"/>
    </row>
    <row r="34" spans="1:17" x14ac:dyDescent="0.35">
      <c r="A34" s="784"/>
      <c r="B34" s="784"/>
      <c r="C34" s="784"/>
      <c r="D34" s="784"/>
      <c r="E34" s="784"/>
      <c r="F34" s="784"/>
      <c r="G34" s="784"/>
      <c r="H34" s="784"/>
      <c r="I34" s="784"/>
      <c r="J34" s="784"/>
      <c r="K34" s="784"/>
      <c r="L34" s="784"/>
      <c r="M34" s="784"/>
      <c r="N34" s="784"/>
      <c r="O34" s="784"/>
      <c r="P34" s="784"/>
      <c r="Q34" s="784"/>
    </row>
    <row r="35" spans="1:17" x14ac:dyDescent="0.35">
      <c r="A35" s="606"/>
      <c r="B35" s="606"/>
      <c r="C35" s="606"/>
      <c r="D35" s="606"/>
      <c r="E35" s="606"/>
      <c r="F35" s="606"/>
      <c r="G35" s="606"/>
      <c r="H35" s="606"/>
      <c r="I35" s="606"/>
      <c r="J35" s="606"/>
      <c r="K35" s="606"/>
      <c r="L35" s="606"/>
      <c r="M35" s="606"/>
      <c r="N35" s="606"/>
      <c r="O35" s="606"/>
      <c r="P35" s="606"/>
      <c r="Q35" s="606"/>
    </row>
    <row r="36" spans="1:17" x14ac:dyDescent="0.35">
      <c r="A36" s="785" t="s">
        <v>267</v>
      </c>
      <c r="B36" s="785"/>
      <c r="C36" s="785"/>
      <c r="D36" s="785"/>
      <c r="E36" s="785"/>
      <c r="F36" s="785"/>
      <c r="G36" s="785"/>
      <c r="H36" s="785"/>
      <c r="I36" s="785"/>
      <c r="J36" s="785"/>
      <c r="K36" s="785"/>
      <c r="L36" s="785"/>
      <c r="M36" s="785"/>
      <c r="N36" s="785"/>
      <c r="O36" s="785"/>
      <c r="P36" s="785"/>
      <c r="Q36" s="785"/>
    </row>
    <row r="37" spans="1:17" x14ac:dyDescent="0.35">
      <c r="A37" s="606"/>
      <c r="B37" s="606"/>
      <c r="C37" s="606"/>
      <c r="D37" s="606"/>
      <c r="E37" s="606"/>
      <c r="F37" s="606"/>
      <c r="G37" s="606"/>
      <c r="H37" s="606"/>
      <c r="I37" s="606"/>
      <c r="J37" s="606"/>
      <c r="K37" s="606"/>
      <c r="L37" s="606"/>
      <c r="M37" s="606"/>
      <c r="N37" s="606"/>
      <c r="O37" s="606"/>
      <c r="P37" s="606"/>
      <c r="Q37" s="606"/>
    </row>
    <row r="38" spans="1:17" x14ac:dyDescent="0.35">
      <c r="A38" s="785" t="s">
        <v>268</v>
      </c>
      <c r="B38" s="785"/>
      <c r="C38" s="785"/>
      <c r="D38" s="785"/>
      <c r="E38" s="785"/>
      <c r="F38" s="785"/>
      <c r="G38" s="785"/>
      <c r="H38" s="785"/>
      <c r="I38" s="785"/>
      <c r="J38" s="785"/>
      <c r="K38" s="785"/>
      <c r="L38" s="785"/>
      <c r="M38" s="785"/>
      <c r="N38" s="785"/>
      <c r="O38" s="785"/>
      <c r="P38" s="785"/>
      <c r="Q38" s="785"/>
    </row>
    <row r="39" spans="1:17" x14ac:dyDescent="0.35">
      <c r="A39" s="785"/>
      <c r="B39" s="785"/>
      <c r="C39" s="785"/>
      <c r="D39" s="785"/>
      <c r="E39" s="785"/>
      <c r="F39" s="785"/>
      <c r="G39" s="785"/>
      <c r="H39" s="785"/>
      <c r="I39" s="785"/>
      <c r="J39" s="785"/>
      <c r="K39" s="785"/>
      <c r="L39" s="785"/>
      <c r="M39" s="785"/>
      <c r="N39" s="785"/>
      <c r="O39" s="785"/>
      <c r="P39" s="785"/>
      <c r="Q39" s="785"/>
    </row>
    <row r="40" spans="1:17" x14ac:dyDescent="0.35">
      <c r="A40" s="785"/>
      <c r="B40" s="785"/>
      <c r="C40" s="785"/>
      <c r="D40" s="785"/>
      <c r="E40" s="785"/>
      <c r="F40" s="785"/>
      <c r="G40" s="785"/>
      <c r="H40" s="785"/>
      <c r="I40" s="785"/>
      <c r="J40" s="785"/>
      <c r="K40" s="785"/>
      <c r="L40" s="785"/>
      <c r="M40" s="785"/>
      <c r="N40" s="785"/>
      <c r="O40" s="785"/>
      <c r="P40" s="785"/>
      <c r="Q40" s="785"/>
    </row>
    <row r="41" spans="1:17" ht="15" customHeight="1" x14ac:dyDescent="0.35">
      <c r="A41" s="606"/>
      <c r="B41" s="606"/>
      <c r="C41" s="606"/>
      <c r="D41" s="606"/>
      <c r="E41" s="606"/>
      <c r="F41" s="606"/>
      <c r="G41" s="606"/>
      <c r="H41" s="606"/>
      <c r="I41" s="606"/>
      <c r="J41" s="606"/>
      <c r="K41" s="606"/>
      <c r="L41" s="606"/>
      <c r="M41" s="606"/>
      <c r="N41" s="606"/>
      <c r="O41" s="606"/>
      <c r="P41" s="606"/>
      <c r="Q41" s="606"/>
    </row>
    <row r="42" spans="1:17" ht="15" customHeight="1" x14ac:dyDescent="0.35">
      <c r="A42" s="606" t="s">
        <v>269</v>
      </c>
      <c r="B42" s="606"/>
      <c r="C42" s="606"/>
      <c r="D42" s="606"/>
      <c r="E42" s="606"/>
      <c r="F42" s="606"/>
      <c r="G42" s="606"/>
      <c r="H42" s="606"/>
      <c r="I42" s="606"/>
      <c r="J42" s="606"/>
      <c r="K42" s="606"/>
      <c r="L42" s="606"/>
      <c r="M42" s="606"/>
      <c r="N42" s="606"/>
      <c r="O42" s="606"/>
      <c r="P42" s="606"/>
      <c r="Q42" s="606"/>
    </row>
    <row r="43" spans="1:17" ht="15" customHeight="1" x14ac:dyDescent="0.35">
      <c r="A43" s="613" t="s">
        <v>270</v>
      </c>
      <c r="B43" s="606"/>
      <c r="C43" s="606"/>
      <c r="D43" s="606"/>
      <c r="E43" s="606"/>
      <c r="F43" s="606"/>
      <c r="G43" s="606"/>
      <c r="H43" s="606"/>
      <c r="I43" s="606"/>
      <c r="J43" s="606"/>
      <c r="K43" s="606"/>
      <c r="L43" s="606"/>
      <c r="M43" s="606"/>
      <c r="N43" s="606"/>
      <c r="O43" s="606"/>
      <c r="P43" s="606"/>
      <c r="Q43" s="606"/>
    </row>
    <row r="44" spans="1:17" ht="15" customHeight="1" x14ac:dyDescent="0.35">
      <c r="A44" s="614" t="s">
        <v>271</v>
      </c>
      <c r="B44" s="606"/>
      <c r="C44" s="606"/>
      <c r="D44" s="606"/>
      <c r="E44" s="606"/>
      <c r="F44" s="606"/>
      <c r="G44" s="606"/>
      <c r="H44" s="606"/>
      <c r="I44" s="606"/>
      <c r="J44" s="606"/>
      <c r="K44" s="606"/>
      <c r="L44" s="606"/>
      <c r="M44" s="606"/>
      <c r="N44" s="606"/>
      <c r="O44" s="606"/>
      <c r="P44" s="606"/>
      <c r="Q44" s="606"/>
    </row>
    <row r="45" spans="1:17" x14ac:dyDescent="0.35">
      <c r="A45" s="606"/>
      <c r="B45" s="606"/>
      <c r="C45" s="606"/>
      <c r="D45" s="606"/>
      <c r="E45" s="606"/>
      <c r="F45" s="606"/>
      <c r="G45" s="606"/>
      <c r="H45" s="606"/>
      <c r="I45" s="606"/>
      <c r="J45" s="606"/>
      <c r="K45" s="606"/>
      <c r="L45" s="606"/>
      <c r="M45" s="606"/>
      <c r="N45" s="606"/>
      <c r="O45" s="606"/>
      <c r="P45" s="606"/>
      <c r="Q45" s="606"/>
    </row>
    <row r="46" spans="1:17" x14ac:dyDescent="0.35">
      <c r="A46" s="606"/>
      <c r="B46" s="606"/>
      <c r="C46" s="606"/>
      <c r="D46" s="606"/>
      <c r="E46" s="606"/>
      <c r="F46" s="606"/>
      <c r="G46" s="606"/>
      <c r="H46" s="606"/>
      <c r="I46" s="606"/>
      <c r="J46" s="606"/>
      <c r="K46" s="606"/>
      <c r="L46" s="606"/>
      <c r="M46" s="606"/>
      <c r="N46" s="606"/>
      <c r="O46" s="606"/>
      <c r="P46" s="606"/>
      <c r="Q46" s="606"/>
    </row>
    <row r="47" spans="1:17" x14ac:dyDescent="0.35">
      <c r="A47" s="606"/>
      <c r="B47" s="606"/>
      <c r="C47" s="606"/>
      <c r="D47" s="606"/>
      <c r="E47" s="606"/>
      <c r="F47" s="606"/>
      <c r="G47" s="606"/>
      <c r="H47" s="606"/>
      <c r="I47" s="606"/>
      <c r="J47" s="606"/>
      <c r="K47" s="606"/>
      <c r="L47" s="606"/>
      <c r="M47" s="606"/>
      <c r="N47" s="606"/>
      <c r="O47" s="606"/>
      <c r="P47" s="606"/>
      <c r="Q47" s="606"/>
    </row>
    <row r="48" spans="1:17" ht="18.5" x14ac:dyDescent="0.35">
      <c r="A48" s="615"/>
      <c r="B48" s="606"/>
      <c r="C48" s="606"/>
      <c r="D48" s="606"/>
      <c r="E48" s="606"/>
      <c r="F48" s="606"/>
      <c r="G48" s="606"/>
      <c r="H48" s="606"/>
      <c r="I48" s="606"/>
      <c r="J48" s="606"/>
      <c r="K48" s="606"/>
      <c r="L48" s="606"/>
      <c r="M48" s="606"/>
      <c r="N48" s="606"/>
      <c r="O48" s="606"/>
      <c r="P48" s="606"/>
      <c r="Q48" s="606"/>
    </row>
    <row r="49" spans="1:17" x14ac:dyDescent="0.35">
      <c r="A49" s="614"/>
      <c r="B49" s="606"/>
      <c r="C49" s="606"/>
      <c r="D49" s="606"/>
      <c r="E49" s="606"/>
      <c r="F49" s="606"/>
      <c r="G49" s="606"/>
      <c r="H49" s="606"/>
      <c r="I49" s="606"/>
      <c r="J49" s="606"/>
      <c r="K49" s="606"/>
      <c r="L49" s="606"/>
      <c r="M49" s="606"/>
      <c r="N49" s="606"/>
      <c r="O49" s="606"/>
      <c r="P49" s="606"/>
      <c r="Q49" s="606"/>
    </row>
    <row r="50" spans="1:17" x14ac:dyDescent="0.35">
      <c r="A50" s="606"/>
      <c r="B50" s="606"/>
      <c r="C50" s="606"/>
      <c r="D50" s="606"/>
      <c r="E50" s="606"/>
      <c r="F50" s="606"/>
      <c r="G50" s="606"/>
      <c r="H50" s="606"/>
      <c r="I50" s="606"/>
      <c r="J50" s="606"/>
      <c r="K50" s="606"/>
      <c r="L50" s="606"/>
      <c r="M50" s="606"/>
      <c r="N50" s="606"/>
      <c r="O50" s="606"/>
      <c r="P50" s="606"/>
      <c r="Q50" s="606"/>
    </row>
    <row r="51" spans="1:17" x14ac:dyDescent="0.35">
      <c r="A51" s="606"/>
      <c r="B51" s="606"/>
      <c r="C51" s="606"/>
      <c r="D51" s="606"/>
      <c r="E51" s="606"/>
      <c r="F51" s="606"/>
      <c r="G51" s="606"/>
      <c r="H51" s="606"/>
      <c r="I51" s="606"/>
      <c r="J51" s="606"/>
      <c r="K51" s="606"/>
      <c r="L51" s="606"/>
      <c r="M51" s="606"/>
      <c r="N51" s="606"/>
      <c r="O51" s="606"/>
      <c r="P51" s="606"/>
      <c r="Q51" s="606"/>
    </row>
    <row r="52" spans="1:17" x14ac:dyDescent="0.35">
      <c r="A52" s="606"/>
      <c r="B52" s="606"/>
      <c r="C52" s="606"/>
      <c r="D52" s="606"/>
      <c r="E52" s="606"/>
      <c r="F52" s="606"/>
      <c r="G52" s="606"/>
      <c r="H52" s="606"/>
      <c r="I52" s="606"/>
      <c r="J52" s="606"/>
      <c r="K52" s="606"/>
      <c r="L52" s="606"/>
      <c r="M52" s="606"/>
      <c r="N52" s="606"/>
      <c r="O52" s="606"/>
      <c r="P52" s="606"/>
      <c r="Q52" s="606"/>
    </row>
    <row r="53" spans="1:17" x14ac:dyDescent="0.35">
      <c r="A53" s="606"/>
      <c r="B53" s="606"/>
      <c r="C53" s="606"/>
      <c r="D53" s="606"/>
      <c r="E53" s="606"/>
      <c r="F53" s="606"/>
      <c r="G53" s="606"/>
      <c r="H53" s="606"/>
      <c r="I53" s="606"/>
      <c r="J53" s="606"/>
      <c r="K53" s="606"/>
      <c r="L53" s="606"/>
      <c r="M53" s="606"/>
      <c r="N53" s="606"/>
      <c r="O53" s="606"/>
      <c r="P53" s="606"/>
      <c r="Q53" s="606"/>
    </row>
    <row r="54" spans="1:17" x14ac:dyDescent="0.35">
      <c r="A54" s="606"/>
      <c r="B54" s="606"/>
      <c r="C54" s="606"/>
      <c r="D54" s="606"/>
      <c r="E54" s="606"/>
      <c r="F54" s="606"/>
      <c r="G54" s="606"/>
      <c r="H54" s="606"/>
      <c r="I54" s="606"/>
      <c r="J54" s="606"/>
      <c r="K54" s="606"/>
      <c r="L54" s="606"/>
      <c r="M54" s="606"/>
      <c r="N54" s="606"/>
      <c r="O54" s="606"/>
      <c r="P54" s="606"/>
      <c r="Q54" s="606"/>
    </row>
    <row r="55" spans="1:17" x14ac:dyDescent="0.35">
      <c r="A55" s="606"/>
      <c r="B55" s="606"/>
      <c r="C55" s="606"/>
      <c r="D55" s="606"/>
      <c r="E55" s="606"/>
      <c r="F55" s="606"/>
      <c r="G55" s="606"/>
      <c r="H55" s="606"/>
      <c r="I55" s="606"/>
      <c r="J55" s="606"/>
      <c r="K55" s="606"/>
      <c r="L55" s="606"/>
      <c r="M55" s="606"/>
      <c r="N55" s="606"/>
      <c r="O55" s="606"/>
      <c r="P55" s="606"/>
      <c r="Q55" s="606"/>
    </row>
    <row r="56" spans="1:17" x14ac:dyDescent="0.35">
      <c r="A56" s="606"/>
      <c r="B56" s="606"/>
      <c r="C56" s="606"/>
      <c r="D56" s="606"/>
      <c r="E56" s="606"/>
      <c r="F56" s="606"/>
      <c r="G56" s="606"/>
      <c r="H56" s="606"/>
      <c r="I56" s="606"/>
      <c r="J56" s="606"/>
      <c r="K56" s="606"/>
      <c r="L56" s="606"/>
      <c r="M56" s="606"/>
      <c r="N56" s="606"/>
      <c r="O56" s="606"/>
      <c r="P56" s="606"/>
      <c r="Q56" s="606"/>
    </row>
    <row r="57" spans="1:17" x14ac:dyDescent="0.35">
      <c r="A57" s="606"/>
      <c r="B57" s="606"/>
      <c r="C57" s="606"/>
      <c r="D57" s="606"/>
      <c r="E57" s="606"/>
      <c r="F57" s="606"/>
      <c r="G57" s="606"/>
      <c r="H57" s="606"/>
      <c r="I57" s="606"/>
      <c r="J57" s="606"/>
      <c r="K57" s="606"/>
      <c r="L57" s="606"/>
      <c r="M57" s="606"/>
      <c r="N57" s="606"/>
      <c r="O57" s="606"/>
      <c r="P57" s="606"/>
      <c r="Q57" s="606"/>
    </row>
    <row r="58" spans="1:17" x14ac:dyDescent="0.35">
      <c r="A58" s="606"/>
      <c r="B58" s="606"/>
      <c r="C58" s="606"/>
      <c r="D58" s="606"/>
      <c r="E58" s="606"/>
      <c r="F58" s="606"/>
      <c r="G58" s="606"/>
      <c r="H58" s="606"/>
      <c r="I58" s="606"/>
      <c r="J58" s="606"/>
      <c r="K58" s="606"/>
      <c r="L58" s="606"/>
      <c r="M58" s="606"/>
      <c r="N58" s="606"/>
      <c r="O58" s="606"/>
      <c r="P58" s="606"/>
      <c r="Q58" s="606"/>
    </row>
    <row r="59" spans="1:17" x14ac:dyDescent="0.35">
      <c r="A59" s="606"/>
      <c r="B59" s="606"/>
      <c r="C59" s="606"/>
      <c r="D59" s="606"/>
      <c r="E59" s="606"/>
      <c r="F59" s="606"/>
      <c r="G59" s="606"/>
      <c r="H59" s="606"/>
      <c r="I59" s="606"/>
      <c r="J59" s="606"/>
      <c r="K59" s="606"/>
      <c r="L59" s="606"/>
      <c r="M59" s="606"/>
      <c r="N59" s="606"/>
      <c r="O59" s="606"/>
      <c r="P59" s="606"/>
      <c r="Q59" s="606"/>
    </row>
    <row r="60" spans="1:17" x14ac:dyDescent="0.35">
      <c r="A60" s="606"/>
      <c r="B60" s="606"/>
      <c r="C60" s="606"/>
      <c r="D60" s="606"/>
      <c r="E60" s="606"/>
      <c r="F60" s="606"/>
      <c r="G60" s="606"/>
      <c r="H60" s="606"/>
      <c r="I60" s="606"/>
      <c r="J60" s="606"/>
      <c r="K60" s="606"/>
      <c r="L60" s="606"/>
      <c r="M60" s="606"/>
      <c r="N60" s="606"/>
      <c r="O60" s="606"/>
      <c r="P60" s="606"/>
      <c r="Q60" s="606"/>
    </row>
    <row r="61" spans="1:17" x14ac:dyDescent="0.35">
      <c r="A61" s="606"/>
      <c r="B61" s="606"/>
      <c r="C61" s="606"/>
      <c r="D61" s="606"/>
      <c r="E61" s="606"/>
      <c r="F61" s="606"/>
      <c r="G61" s="606"/>
      <c r="H61" s="606"/>
      <c r="I61" s="606"/>
      <c r="J61" s="606"/>
      <c r="K61" s="606"/>
      <c r="L61" s="606"/>
      <c r="M61" s="606"/>
      <c r="N61" s="606"/>
      <c r="O61" s="606"/>
      <c r="P61" s="606"/>
      <c r="Q61" s="606"/>
    </row>
    <row r="62" spans="1:17" x14ac:dyDescent="0.35">
      <c r="A62" s="606"/>
      <c r="B62" s="606"/>
      <c r="C62" s="606"/>
      <c r="D62" s="606"/>
      <c r="E62" s="606"/>
      <c r="F62" s="606"/>
      <c r="G62" s="606"/>
      <c r="H62" s="606"/>
      <c r="I62" s="606"/>
      <c r="J62" s="606"/>
      <c r="K62" s="606"/>
      <c r="L62" s="606"/>
      <c r="M62" s="606"/>
      <c r="N62" s="606"/>
      <c r="O62" s="606"/>
      <c r="P62" s="606"/>
      <c r="Q62" s="606"/>
    </row>
    <row r="63" spans="1:17" x14ac:dyDescent="0.35">
      <c r="A63" s="606"/>
      <c r="B63" s="606"/>
      <c r="C63" s="606"/>
      <c r="D63" s="606"/>
      <c r="E63" s="606"/>
      <c r="F63" s="606"/>
      <c r="G63" s="606"/>
      <c r="H63" s="606"/>
      <c r="I63" s="606"/>
      <c r="J63" s="606"/>
      <c r="K63" s="606"/>
      <c r="L63" s="606"/>
      <c r="M63" s="606"/>
      <c r="N63" s="606"/>
      <c r="O63" s="606"/>
      <c r="P63" s="606"/>
      <c r="Q63" s="606"/>
    </row>
    <row r="64" spans="1:17" x14ac:dyDescent="0.35">
      <c r="A64" s="606"/>
      <c r="B64" s="606"/>
      <c r="C64" s="606"/>
      <c r="D64" s="606"/>
      <c r="E64" s="606"/>
      <c r="F64" s="606"/>
      <c r="G64" s="606"/>
      <c r="H64" s="606"/>
      <c r="I64" s="606"/>
      <c r="J64" s="606"/>
      <c r="K64" s="606"/>
      <c r="L64" s="606"/>
      <c r="M64" s="606"/>
      <c r="N64" s="606"/>
      <c r="O64" s="606"/>
      <c r="P64" s="606"/>
      <c r="Q64" s="606"/>
    </row>
    <row r="65" spans="1:17" x14ac:dyDescent="0.35">
      <c r="A65" s="606"/>
      <c r="B65" s="606"/>
      <c r="C65" s="606"/>
      <c r="D65" s="606"/>
      <c r="E65" s="606"/>
      <c r="F65" s="606"/>
      <c r="G65" s="606"/>
      <c r="H65" s="606"/>
      <c r="I65" s="606"/>
      <c r="J65" s="606"/>
      <c r="K65" s="606"/>
      <c r="L65" s="606"/>
      <c r="M65" s="606"/>
      <c r="N65" s="606"/>
      <c r="O65" s="606"/>
      <c r="P65" s="606"/>
      <c r="Q65" s="606"/>
    </row>
    <row r="66" spans="1:17" x14ac:dyDescent="0.35">
      <c r="A66" s="606"/>
      <c r="B66" s="606"/>
      <c r="C66" s="606"/>
      <c r="D66" s="606"/>
      <c r="E66" s="606"/>
      <c r="F66" s="606"/>
      <c r="G66" s="606"/>
      <c r="H66" s="606"/>
      <c r="I66" s="606"/>
      <c r="J66" s="606"/>
      <c r="K66" s="606"/>
      <c r="L66" s="606"/>
      <c r="M66" s="606"/>
      <c r="N66" s="606"/>
      <c r="O66" s="606"/>
      <c r="P66" s="606"/>
      <c r="Q66" s="606"/>
    </row>
    <row r="67" spans="1:17" x14ac:dyDescent="0.35">
      <c r="A67" s="606"/>
      <c r="B67" s="606"/>
      <c r="C67" s="606"/>
      <c r="D67" s="606"/>
      <c r="E67" s="606"/>
      <c r="F67" s="606"/>
      <c r="G67" s="606"/>
      <c r="H67" s="606"/>
      <c r="I67" s="606"/>
      <c r="J67" s="606"/>
      <c r="K67" s="606"/>
      <c r="L67" s="606"/>
      <c r="M67" s="606"/>
      <c r="N67" s="606"/>
      <c r="O67" s="606"/>
      <c r="P67" s="606"/>
      <c r="Q67" s="606"/>
    </row>
    <row r="68" spans="1:17" x14ac:dyDescent="0.35">
      <c r="A68" s="606"/>
      <c r="B68" s="606"/>
      <c r="C68" s="606"/>
      <c r="D68" s="606"/>
      <c r="E68" s="606"/>
      <c r="F68" s="606"/>
      <c r="G68" s="606"/>
      <c r="H68" s="606"/>
      <c r="I68" s="606"/>
      <c r="J68" s="606"/>
      <c r="K68" s="606"/>
      <c r="L68" s="606"/>
      <c r="M68" s="606"/>
      <c r="N68" s="606"/>
      <c r="O68" s="606"/>
      <c r="P68" s="606"/>
      <c r="Q68" s="606"/>
    </row>
    <row r="69" spans="1:17" x14ac:dyDescent="0.35">
      <c r="A69" s="606"/>
      <c r="B69" s="606"/>
      <c r="C69" s="606"/>
      <c r="D69" s="606"/>
      <c r="E69" s="606"/>
      <c r="F69" s="606"/>
      <c r="G69" s="606"/>
      <c r="H69" s="606"/>
      <c r="I69" s="606"/>
      <c r="J69" s="606"/>
      <c r="K69" s="606"/>
      <c r="L69" s="606"/>
      <c r="M69" s="606"/>
      <c r="N69" s="606"/>
      <c r="O69" s="606"/>
      <c r="P69" s="606"/>
      <c r="Q69" s="606"/>
    </row>
    <row r="70" spans="1:17" x14ac:dyDescent="0.35">
      <c r="A70" s="606"/>
      <c r="B70" s="606"/>
      <c r="C70" s="606"/>
      <c r="D70" s="606"/>
      <c r="E70" s="606"/>
      <c r="F70" s="606"/>
      <c r="G70" s="606"/>
      <c r="H70" s="606"/>
      <c r="I70" s="606"/>
      <c r="J70" s="606"/>
      <c r="K70" s="606"/>
      <c r="L70" s="606"/>
      <c r="M70" s="606"/>
      <c r="N70" s="606"/>
      <c r="O70" s="606"/>
      <c r="P70" s="606"/>
      <c r="Q70" s="606"/>
    </row>
    <row r="71" spans="1:17" x14ac:dyDescent="0.35">
      <c r="A71" s="606"/>
      <c r="B71" s="606"/>
      <c r="C71" s="606"/>
      <c r="D71" s="606"/>
      <c r="E71" s="606"/>
      <c r="F71" s="606"/>
      <c r="G71" s="606"/>
      <c r="H71" s="606"/>
      <c r="I71" s="606"/>
      <c r="J71" s="606"/>
      <c r="K71" s="606"/>
      <c r="L71" s="606"/>
      <c r="M71" s="606"/>
      <c r="N71" s="606"/>
      <c r="O71" s="606"/>
      <c r="P71" s="606"/>
      <c r="Q71" s="606"/>
    </row>
    <row r="72" spans="1:17" x14ac:dyDescent="0.35">
      <c r="A72" s="606"/>
      <c r="B72" s="606"/>
      <c r="C72" s="606"/>
      <c r="D72" s="606"/>
      <c r="E72" s="606"/>
      <c r="F72" s="606"/>
      <c r="G72" s="606"/>
      <c r="H72" s="606"/>
      <c r="I72" s="606"/>
      <c r="J72" s="606"/>
      <c r="K72" s="606"/>
      <c r="L72" s="606"/>
      <c r="M72" s="606"/>
      <c r="N72" s="606"/>
      <c r="O72" s="606"/>
      <c r="P72" s="606"/>
      <c r="Q72" s="606"/>
    </row>
    <row r="73" spans="1:17" x14ac:dyDescent="0.35">
      <c r="A73" s="606"/>
      <c r="B73" s="606"/>
      <c r="C73" s="606"/>
      <c r="D73" s="606"/>
      <c r="E73" s="606"/>
      <c r="F73" s="606"/>
      <c r="G73" s="606"/>
      <c r="H73" s="606"/>
      <c r="I73" s="606"/>
      <c r="J73" s="606"/>
      <c r="K73" s="606"/>
      <c r="L73" s="606"/>
      <c r="M73" s="606"/>
      <c r="N73" s="606"/>
      <c r="O73" s="606"/>
      <c r="P73" s="606"/>
      <c r="Q73" s="606"/>
    </row>
    <row r="74" spans="1:17" x14ac:dyDescent="0.35">
      <c r="A74" s="606"/>
      <c r="B74" s="606"/>
      <c r="C74" s="606"/>
      <c r="D74" s="606"/>
      <c r="E74" s="606"/>
      <c r="F74" s="606"/>
      <c r="G74" s="606"/>
      <c r="H74" s="606"/>
      <c r="I74" s="606"/>
      <c r="J74" s="606"/>
      <c r="K74" s="606"/>
      <c r="L74" s="606"/>
      <c r="M74" s="606"/>
      <c r="N74" s="606"/>
      <c r="O74" s="606"/>
      <c r="P74" s="606"/>
      <c r="Q74" s="606"/>
    </row>
    <row r="75" spans="1:17" x14ac:dyDescent="0.35">
      <c r="A75" s="606"/>
      <c r="B75" s="606"/>
      <c r="C75" s="606"/>
      <c r="D75" s="606"/>
      <c r="E75" s="606"/>
      <c r="F75" s="606"/>
      <c r="G75" s="606"/>
      <c r="H75" s="606"/>
      <c r="I75" s="606"/>
      <c r="J75" s="606"/>
      <c r="K75" s="606"/>
      <c r="L75" s="606"/>
      <c r="M75" s="606"/>
      <c r="N75" s="606"/>
      <c r="O75" s="606"/>
      <c r="P75" s="606"/>
      <c r="Q75" s="606"/>
    </row>
    <row r="76" spans="1:17" x14ac:dyDescent="0.35">
      <c r="A76" s="606"/>
      <c r="B76" s="606"/>
      <c r="C76" s="606"/>
      <c r="D76" s="606"/>
      <c r="E76" s="606"/>
      <c r="F76" s="606"/>
      <c r="G76" s="606"/>
      <c r="H76" s="606"/>
      <c r="I76" s="606"/>
      <c r="J76" s="606"/>
      <c r="K76" s="606"/>
      <c r="L76" s="606"/>
      <c r="M76" s="606"/>
      <c r="N76" s="606"/>
      <c r="O76" s="606"/>
      <c r="P76" s="606"/>
      <c r="Q76" s="606"/>
    </row>
    <row r="77" spans="1:17" x14ac:dyDescent="0.35">
      <c r="A77" s="606"/>
      <c r="B77" s="606"/>
      <c r="C77" s="606"/>
      <c r="D77" s="606"/>
      <c r="E77" s="606"/>
      <c r="F77" s="606"/>
      <c r="G77" s="606"/>
      <c r="H77" s="606"/>
      <c r="I77" s="606"/>
      <c r="J77" s="606"/>
      <c r="K77" s="606"/>
      <c r="L77" s="606"/>
      <c r="M77" s="606"/>
      <c r="N77" s="606"/>
      <c r="O77" s="606"/>
      <c r="P77" s="606"/>
      <c r="Q77" s="606"/>
    </row>
    <row r="78" spans="1:17" x14ac:dyDescent="0.35">
      <c r="A78" s="606"/>
      <c r="B78" s="606"/>
      <c r="C78" s="606"/>
      <c r="D78" s="606"/>
      <c r="E78" s="606"/>
      <c r="F78" s="606"/>
      <c r="G78" s="606"/>
      <c r="H78" s="606"/>
      <c r="I78" s="606"/>
      <c r="J78" s="606"/>
      <c r="K78" s="606"/>
      <c r="L78" s="606"/>
      <c r="M78" s="606"/>
      <c r="N78" s="606"/>
      <c r="O78" s="606"/>
      <c r="P78" s="606"/>
      <c r="Q78" s="606"/>
    </row>
    <row r="79" spans="1:17" x14ac:dyDescent="0.35">
      <c r="A79" s="606"/>
      <c r="B79" s="606"/>
      <c r="C79" s="606"/>
      <c r="D79" s="606"/>
      <c r="E79" s="606"/>
      <c r="F79" s="606"/>
      <c r="G79" s="606"/>
      <c r="H79" s="606"/>
      <c r="I79" s="606"/>
      <c r="J79" s="606"/>
      <c r="K79" s="606"/>
      <c r="L79" s="606"/>
      <c r="M79" s="606"/>
      <c r="N79" s="606"/>
      <c r="O79" s="606"/>
      <c r="P79" s="606"/>
      <c r="Q79" s="606"/>
    </row>
    <row r="80" spans="1:17" x14ac:dyDescent="0.35">
      <c r="A80" s="606"/>
      <c r="B80" s="606"/>
      <c r="C80" s="606"/>
      <c r="D80" s="606"/>
      <c r="E80" s="606"/>
      <c r="F80" s="606"/>
      <c r="G80" s="606"/>
      <c r="H80" s="606"/>
      <c r="I80" s="606"/>
      <c r="J80" s="606"/>
      <c r="K80" s="606"/>
      <c r="L80" s="606"/>
      <c r="M80" s="606"/>
      <c r="N80" s="606"/>
      <c r="O80" s="606"/>
      <c r="P80" s="606"/>
      <c r="Q80" s="606"/>
    </row>
    <row r="81" spans="1:17" x14ac:dyDescent="0.35">
      <c r="A81" s="606"/>
      <c r="B81" s="606"/>
      <c r="C81" s="606"/>
      <c r="D81" s="606"/>
      <c r="E81" s="606"/>
      <c r="F81" s="606"/>
      <c r="G81" s="606"/>
      <c r="H81" s="606"/>
      <c r="I81" s="606"/>
      <c r="J81" s="606"/>
      <c r="K81" s="606"/>
      <c r="L81" s="606"/>
      <c r="M81" s="606"/>
      <c r="N81" s="606"/>
      <c r="O81" s="606"/>
      <c r="P81" s="606"/>
      <c r="Q81" s="606"/>
    </row>
    <row r="82" spans="1:17" x14ac:dyDescent="0.35">
      <c r="A82" s="606"/>
      <c r="B82" s="606"/>
      <c r="C82" s="606"/>
      <c r="D82" s="606"/>
      <c r="E82" s="606"/>
      <c r="F82" s="606"/>
      <c r="G82" s="606"/>
      <c r="H82" s="606"/>
      <c r="I82" s="606"/>
      <c r="J82" s="606"/>
      <c r="K82" s="606"/>
      <c r="L82" s="606"/>
      <c r="M82" s="606"/>
      <c r="N82" s="606"/>
      <c r="O82" s="606"/>
      <c r="P82" s="606"/>
      <c r="Q82" s="606"/>
    </row>
    <row r="83" spans="1:17" x14ac:dyDescent="0.35">
      <c r="A83" s="606"/>
      <c r="B83" s="606"/>
      <c r="C83" s="606"/>
      <c r="D83" s="606"/>
      <c r="E83" s="606"/>
      <c r="F83" s="606"/>
      <c r="G83" s="606"/>
      <c r="H83" s="606"/>
      <c r="I83" s="606"/>
      <c r="J83" s="606"/>
      <c r="K83" s="606"/>
      <c r="L83" s="606"/>
      <c r="M83" s="606"/>
      <c r="N83" s="606"/>
      <c r="O83" s="606"/>
      <c r="P83" s="606"/>
      <c r="Q83" s="606"/>
    </row>
    <row r="84" spans="1:17" x14ac:dyDescent="0.35">
      <c r="A84" s="606"/>
      <c r="B84" s="606"/>
      <c r="C84" s="606"/>
      <c r="D84" s="606"/>
      <c r="E84" s="606"/>
      <c r="F84" s="606"/>
      <c r="G84" s="606"/>
      <c r="H84" s="606"/>
      <c r="I84" s="606"/>
      <c r="J84" s="606"/>
      <c r="K84" s="606"/>
      <c r="L84" s="606"/>
      <c r="M84" s="606"/>
      <c r="N84" s="606"/>
      <c r="O84" s="606"/>
      <c r="P84" s="606"/>
      <c r="Q84" s="606"/>
    </row>
    <row r="85" spans="1:17" x14ac:dyDescent="0.35">
      <c r="A85" s="606"/>
      <c r="B85" s="606"/>
      <c r="C85" s="606"/>
      <c r="D85" s="606"/>
      <c r="E85" s="606"/>
      <c r="F85" s="606"/>
      <c r="G85" s="606"/>
      <c r="H85" s="606"/>
      <c r="I85" s="606"/>
      <c r="J85" s="606"/>
      <c r="K85" s="606"/>
      <c r="L85" s="606"/>
      <c r="M85" s="606"/>
      <c r="N85" s="606"/>
      <c r="O85" s="606"/>
      <c r="P85" s="606"/>
      <c r="Q85" s="606"/>
    </row>
    <row r="86" spans="1:17" x14ac:dyDescent="0.35">
      <c r="A86" s="606"/>
      <c r="B86" s="606"/>
      <c r="C86" s="606"/>
      <c r="D86" s="606"/>
      <c r="E86" s="606"/>
      <c r="F86" s="606"/>
      <c r="G86" s="606"/>
      <c r="H86" s="606"/>
      <c r="I86" s="606"/>
      <c r="J86" s="606"/>
      <c r="K86" s="606"/>
      <c r="L86" s="606"/>
      <c r="M86" s="606"/>
      <c r="N86" s="606"/>
      <c r="O86" s="606"/>
      <c r="P86" s="606"/>
      <c r="Q86" s="606"/>
    </row>
    <row r="87" spans="1:17" x14ac:dyDescent="0.35">
      <c r="A87" s="606"/>
      <c r="B87" s="606"/>
      <c r="C87" s="606"/>
      <c r="D87" s="606"/>
      <c r="E87" s="606"/>
      <c r="F87" s="606"/>
      <c r="G87" s="606"/>
      <c r="H87" s="606"/>
      <c r="I87" s="606"/>
      <c r="J87" s="606"/>
      <c r="K87" s="606"/>
      <c r="L87" s="606"/>
      <c r="M87" s="606"/>
      <c r="N87" s="606"/>
      <c r="O87" s="606"/>
      <c r="P87" s="606"/>
      <c r="Q87" s="606"/>
    </row>
    <row r="88" spans="1:17" x14ac:dyDescent="0.35">
      <c r="A88" s="606"/>
      <c r="B88" s="606"/>
      <c r="C88" s="606"/>
      <c r="D88" s="606"/>
      <c r="E88" s="606"/>
      <c r="F88" s="606"/>
      <c r="G88" s="606"/>
      <c r="H88" s="606"/>
      <c r="I88" s="606"/>
      <c r="J88" s="606"/>
      <c r="K88" s="606"/>
      <c r="L88" s="606"/>
      <c r="M88" s="606"/>
      <c r="N88" s="606"/>
      <c r="O88" s="606"/>
      <c r="P88" s="606"/>
      <c r="Q88" s="606"/>
    </row>
    <row r="89" spans="1:17" x14ac:dyDescent="0.35">
      <c r="A89" s="606"/>
      <c r="B89" s="606"/>
      <c r="C89" s="606"/>
      <c r="D89" s="606"/>
      <c r="E89" s="606"/>
      <c r="F89" s="606"/>
      <c r="G89" s="606"/>
      <c r="H89" s="606"/>
      <c r="I89" s="606"/>
      <c r="J89" s="606"/>
      <c r="K89" s="606"/>
      <c r="L89" s="606"/>
      <c r="M89" s="606"/>
      <c r="N89" s="606"/>
      <c r="O89" s="606"/>
      <c r="P89" s="606"/>
      <c r="Q89" s="606"/>
    </row>
    <row r="90" spans="1:17" x14ac:dyDescent="0.35">
      <c r="A90" s="606"/>
      <c r="B90" s="606"/>
      <c r="C90" s="606"/>
      <c r="D90" s="606"/>
      <c r="E90" s="606"/>
      <c r="F90" s="606"/>
      <c r="G90" s="606"/>
      <c r="H90" s="606"/>
      <c r="I90" s="606"/>
      <c r="J90" s="606"/>
      <c r="K90" s="606"/>
      <c r="L90" s="606"/>
      <c r="M90" s="606"/>
      <c r="N90" s="606"/>
      <c r="O90" s="606"/>
      <c r="P90" s="606"/>
      <c r="Q90" s="606"/>
    </row>
    <row r="91" spans="1:17" x14ac:dyDescent="0.35">
      <c r="A91" s="606"/>
      <c r="B91" s="606"/>
      <c r="C91" s="606"/>
      <c r="D91" s="606"/>
      <c r="E91" s="606"/>
      <c r="F91" s="606"/>
      <c r="G91" s="606"/>
      <c r="H91" s="606"/>
      <c r="I91" s="606"/>
      <c r="J91" s="606"/>
      <c r="K91" s="606"/>
      <c r="L91" s="606"/>
      <c r="M91" s="606"/>
      <c r="N91" s="606"/>
      <c r="O91" s="606"/>
      <c r="P91" s="606"/>
      <c r="Q91" s="606"/>
    </row>
    <row r="92" spans="1:17" x14ac:dyDescent="0.35">
      <c r="A92" s="606"/>
      <c r="B92" s="606"/>
      <c r="C92" s="606"/>
      <c r="D92" s="606"/>
      <c r="E92" s="606"/>
      <c r="F92" s="606"/>
      <c r="G92" s="606"/>
      <c r="H92" s="606"/>
      <c r="I92" s="606"/>
      <c r="J92" s="606"/>
      <c r="K92" s="606"/>
      <c r="L92" s="606"/>
      <c r="M92" s="606"/>
      <c r="N92" s="606"/>
      <c r="O92" s="606"/>
      <c r="P92" s="606"/>
      <c r="Q92" s="606"/>
    </row>
    <row r="93" spans="1:17" x14ac:dyDescent="0.35">
      <c r="A93" s="606"/>
      <c r="B93" s="606"/>
      <c r="C93" s="606"/>
      <c r="D93" s="606"/>
      <c r="E93" s="606"/>
      <c r="F93" s="606"/>
      <c r="G93" s="606"/>
      <c r="H93" s="606"/>
      <c r="I93" s="606"/>
      <c r="J93" s="606"/>
      <c r="K93" s="606"/>
      <c r="L93" s="606"/>
      <c r="M93" s="606"/>
      <c r="N93" s="606"/>
      <c r="O93" s="606"/>
      <c r="P93" s="606"/>
      <c r="Q93" s="606"/>
    </row>
    <row r="94" spans="1:17" x14ac:dyDescent="0.35">
      <c r="A94" s="606"/>
      <c r="B94" s="606"/>
      <c r="C94" s="606"/>
      <c r="D94" s="606"/>
      <c r="E94" s="606"/>
      <c r="F94" s="606"/>
      <c r="G94" s="606"/>
      <c r="H94" s="606"/>
      <c r="I94" s="606"/>
      <c r="J94" s="606"/>
      <c r="K94" s="606"/>
      <c r="L94" s="606"/>
      <c r="M94" s="606"/>
      <c r="N94" s="606"/>
      <c r="O94" s="606"/>
      <c r="P94" s="606"/>
      <c r="Q94" s="606"/>
    </row>
    <row r="95" spans="1:17" x14ac:dyDescent="0.35">
      <c r="A95" s="606"/>
      <c r="B95" s="606"/>
      <c r="C95" s="606"/>
      <c r="D95" s="606"/>
      <c r="E95" s="606"/>
      <c r="F95" s="606"/>
      <c r="G95" s="606"/>
      <c r="H95" s="606"/>
      <c r="I95" s="606"/>
      <c r="J95" s="606"/>
      <c r="K95" s="606"/>
      <c r="L95" s="606"/>
      <c r="M95" s="606"/>
      <c r="N95" s="606"/>
      <c r="O95" s="606"/>
      <c r="P95" s="606"/>
      <c r="Q95" s="606"/>
    </row>
    <row r="96" spans="1:17" x14ac:dyDescent="0.35">
      <c r="A96" s="606"/>
      <c r="B96" s="606"/>
      <c r="C96" s="606"/>
      <c r="D96" s="606"/>
      <c r="E96" s="606"/>
      <c r="F96" s="606"/>
      <c r="G96" s="606"/>
      <c r="H96" s="606"/>
      <c r="I96" s="606"/>
      <c r="J96" s="606"/>
      <c r="K96" s="606"/>
      <c r="L96" s="606"/>
      <c r="M96" s="606"/>
      <c r="N96" s="606"/>
      <c r="O96" s="606"/>
      <c r="P96" s="606"/>
      <c r="Q96" s="606"/>
    </row>
    <row r="97" spans="1:17" x14ac:dyDescent="0.35">
      <c r="A97" s="606"/>
      <c r="B97" s="606"/>
      <c r="C97" s="606"/>
      <c r="D97" s="606"/>
      <c r="E97" s="606"/>
      <c r="F97" s="606"/>
      <c r="G97" s="606"/>
      <c r="H97" s="606"/>
      <c r="I97" s="606"/>
      <c r="J97" s="606"/>
      <c r="K97" s="606"/>
      <c r="L97" s="606"/>
      <c r="M97" s="606"/>
      <c r="N97" s="606"/>
      <c r="O97" s="606"/>
      <c r="P97" s="606"/>
      <c r="Q97" s="606"/>
    </row>
    <row r="98" spans="1:17" x14ac:dyDescent="0.35">
      <c r="A98" s="606"/>
      <c r="B98" s="606"/>
      <c r="C98" s="606"/>
      <c r="D98" s="606"/>
      <c r="E98" s="606"/>
      <c r="F98" s="606"/>
      <c r="G98" s="606"/>
      <c r="H98" s="606"/>
      <c r="I98" s="606"/>
      <c r="J98" s="606"/>
      <c r="K98" s="606"/>
      <c r="L98" s="606"/>
      <c r="M98" s="606"/>
      <c r="N98" s="606"/>
      <c r="O98" s="606"/>
      <c r="P98" s="606"/>
      <c r="Q98" s="606"/>
    </row>
    <row r="99" spans="1:17" x14ac:dyDescent="0.35">
      <c r="A99" s="606"/>
      <c r="B99" s="606"/>
      <c r="C99" s="606"/>
      <c r="D99" s="606"/>
      <c r="E99" s="606"/>
      <c r="F99" s="606"/>
      <c r="G99" s="606"/>
      <c r="H99" s="606"/>
      <c r="I99" s="606"/>
      <c r="J99" s="606"/>
      <c r="K99" s="606"/>
      <c r="L99" s="606"/>
      <c r="M99" s="606"/>
      <c r="N99" s="606"/>
      <c r="O99" s="606"/>
      <c r="P99" s="606"/>
      <c r="Q99" s="606"/>
    </row>
    <row r="100" spans="1:17" x14ac:dyDescent="0.35">
      <c r="A100" s="606"/>
      <c r="B100" s="606"/>
      <c r="C100" s="606"/>
      <c r="D100" s="606"/>
      <c r="E100" s="606"/>
      <c r="F100" s="606"/>
      <c r="G100" s="606"/>
      <c r="H100" s="606"/>
      <c r="I100" s="606"/>
      <c r="J100" s="606"/>
      <c r="K100" s="606"/>
      <c r="L100" s="606"/>
      <c r="M100" s="606"/>
      <c r="N100" s="606"/>
      <c r="O100" s="606"/>
      <c r="P100" s="606"/>
      <c r="Q100" s="606"/>
    </row>
    <row r="101" spans="1:17" x14ac:dyDescent="0.35">
      <c r="A101" s="606"/>
      <c r="B101" s="606"/>
      <c r="C101" s="606"/>
      <c r="D101" s="606"/>
      <c r="E101" s="606"/>
      <c r="F101" s="606"/>
      <c r="G101" s="606"/>
      <c r="H101" s="606"/>
      <c r="I101" s="606"/>
      <c r="J101" s="606"/>
      <c r="K101" s="606"/>
      <c r="L101" s="606"/>
      <c r="M101" s="606"/>
      <c r="N101" s="606"/>
      <c r="O101" s="606"/>
      <c r="P101" s="606"/>
      <c r="Q101" s="606"/>
    </row>
    <row r="102" spans="1:17" x14ac:dyDescent="0.35">
      <c r="A102" s="606"/>
      <c r="B102" s="606"/>
      <c r="C102" s="606"/>
      <c r="D102" s="606"/>
      <c r="E102" s="606"/>
      <c r="F102" s="606"/>
      <c r="G102" s="606"/>
      <c r="H102" s="606"/>
      <c r="I102" s="606"/>
      <c r="J102" s="606"/>
      <c r="K102" s="606"/>
      <c r="L102" s="606"/>
      <c r="M102" s="606"/>
      <c r="N102" s="606"/>
      <c r="O102" s="606"/>
      <c r="P102" s="606"/>
      <c r="Q102" s="606"/>
    </row>
    <row r="103" spans="1:17" x14ac:dyDescent="0.35">
      <c r="A103" s="606"/>
      <c r="B103" s="606"/>
      <c r="C103" s="606"/>
      <c r="D103" s="606"/>
      <c r="E103" s="606"/>
      <c r="F103" s="606"/>
      <c r="G103" s="606"/>
      <c r="H103" s="606"/>
      <c r="I103" s="606"/>
      <c r="J103" s="606"/>
      <c r="K103" s="606"/>
      <c r="L103" s="606"/>
      <c r="M103" s="606"/>
      <c r="N103" s="606"/>
      <c r="O103" s="606"/>
      <c r="P103" s="606"/>
      <c r="Q103" s="606"/>
    </row>
    <row r="104" spans="1:17" x14ac:dyDescent="0.35">
      <c r="A104" s="606"/>
      <c r="B104" s="606"/>
      <c r="C104" s="606"/>
      <c r="D104" s="606"/>
      <c r="E104" s="606"/>
      <c r="F104" s="606"/>
      <c r="G104" s="606"/>
      <c r="H104" s="606"/>
      <c r="I104" s="606"/>
      <c r="J104" s="606"/>
      <c r="K104" s="606"/>
      <c r="L104" s="606"/>
      <c r="M104" s="606"/>
      <c r="N104" s="606"/>
      <c r="O104" s="606"/>
      <c r="P104" s="606"/>
      <c r="Q104" s="606"/>
    </row>
    <row r="105" spans="1:17" x14ac:dyDescent="0.35">
      <c r="A105" s="606"/>
      <c r="B105" s="606"/>
      <c r="C105" s="606"/>
      <c r="D105" s="606"/>
      <c r="E105" s="606"/>
      <c r="F105" s="606"/>
      <c r="G105" s="606"/>
      <c r="H105" s="606"/>
      <c r="I105" s="606"/>
      <c r="J105" s="606"/>
      <c r="K105" s="606"/>
      <c r="L105" s="606"/>
      <c r="M105" s="606"/>
      <c r="N105" s="606"/>
      <c r="O105" s="606"/>
      <c r="P105" s="606"/>
      <c r="Q105" s="606"/>
    </row>
    <row r="106" spans="1:17" x14ac:dyDescent="0.35">
      <c r="A106" s="606"/>
      <c r="B106" s="606"/>
      <c r="C106" s="606"/>
      <c r="D106" s="606"/>
      <c r="E106" s="606"/>
      <c r="F106" s="606"/>
      <c r="G106" s="606"/>
      <c r="H106" s="606"/>
      <c r="I106" s="606"/>
      <c r="J106" s="606"/>
      <c r="K106" s="606"/>
      <c r="L106" s="606"/>
      <c r="M106" s="606"/>
      <c r="N106" s="606"/>
      <c r="O106" s="606"/>
      <c r="P106" s="606"/>
      <c r="Q106" s="606"/>
    </row>
  </sheetData>
  <mergeCells count="4">
    <mergeCell ref="D10:K11"/>
    <mergeCell ref="A24:Q34"/>
    <mergeCell ref="A36:Q36"/>
    <mergeCell ref="A38:Q40"/>
  </mergeCells>
  <hyperlinks>
    <hyperlink ref="A44" r:id="rId1" display="https://cpage.mpr.gob.es/" xr:uid="{89CC367A-84CE-4394-A44D-4CA2058D893A}"/>
  </hyperlinks>
  <pageMargins left="0.7" right="0.7" top="0.75" bottom="0.75" header="0.3" footer="0.3"/>
  <pageSetup paperSize="9" scale="44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0C659-889B-4C04-B841-E81F157CE8C8}">
  <dimension ref="A2:L77"/>
  <sheetViews>
    <sheetView view="pageLayout" topLeftCell="A74" zoomScale="55" zoomScaleNormal="80" zoomScaleSheetLayoutView="50" zoomScalePageLayoutView="55" workbookViewId="0">
      <selection activeCell="C63" sqref="C63:F72"/>
    </sheetView>
  </sheetViews>
  <sheetFormatPr baseColWidth="10" defaultColWidth="11.453125" defaultRowHeight="14.5" x14ac:dyDescent="0.35"/>
  <cols>
    <col min="1" max="1" width="6" customWidth="1"/>
    <col min="2" max="2" width="15.26953125" customWidth="1"/>
    <col min="3" max="3" width="17.54296875" customWidth="1"/>
    <col min="4" max="4" width="15.7265625" customWidth="1"/>
    <col min="5" max="5" width="20.7265625" customWidth="1"/>
    <col min="6" max="6" width="23.54296875" customWidth="1"/>
    <col min="7" max="7" width="19.26953125" customWidth="1"/>
    <col min="8" max="8" width="17.26953125" customWidth="1"/>
    <col min="9" max="9" width="10.54296875" customWidth="1"/>
  </cols>
  <sheetData>
    <row r="2" spans="1:12" ht="15" customHeight="1" x14ac:dyDescent="0.35">
      <c r="D2" s="761" t="s">
        <v>272</v>
      </c>
      <c r="E2" s="761"/>
      <c r="F2" s="761"/>
      <c r="G2" s="761"/>
    </row>
    <row r="3" spans="1:12" ht="15" customHeight="1" x14ac:dyDescent="0.35">
      <c r="D3" s="761"/>
      <c r="E3" s="761"/>
      <c r="F3" s="761"/>
      <c r="G3" s="761"/>
    </row>
    <row r="4" spans="1:12" ht="21" customHeight="1" x14ac:dyDescent="0.35">
      <c r="D4" s="761"/>
      <c r="E4" s="761"/>
      <c r="F4" s="761"/>
      <c r="G4" s="761"/>
    </row>
    <row r="5" spans="1:12" ht="15.75" customHeight="1" thickBot="1" x14ac:dyDescent="0.4">
      <c r="D5" s="616"/>
      <c r="E5" s="616"/>
      <c r="F5" s="616"/>
      <c r="G5" s="616"/>
      <c r="H5" s="494"/>
    </row>
    <row r="6" spans="1:12" ht="30.75" customHeight="1" x14ac:dyDescent="0.35">
      <c r="A6" s="6"/>
      <c r="B6" s="762" t="s">
        <v>273</v>
      </c>
      <c r="C6" s="762" t="s">
        <v>274</v>
      </c>
      <c r="D6" s="764" t="s">
        <v>275</v>
      </c>
      <c r="E6" s="764" t="s">
        <v>184</v>
      </c>
      <c r="F6" s="762" t="s">
        <v>276</v>
      </c>
      <c r="G6" s="762" t="s">
        <v>277</v>
      </c>
      <c r="H6" s="762" t="s">
        <v>278</v>
      </c>
      <c r="I6" s="1"/>
      <c r="J6" s="1"/>
      <c r="K6" s="1"/>
      <c r="L6" s="1"/>
    </row>
    <row r="7" spans="1:12" ht="15" thickBot="1" x14ac:dyDescent="0.4">
      <c r="A7" s="6"/>
      <c r="B7" s="763"/>
      <c r="C7" s="763"/>
      <c r="D7" s="765"/>
      <c r="E7" s="765"/>
      <c r="F7" s="763"/>
      <c r="G7" s="763"/>
      <c r="H7" s="763"/>
      <c r="I7" s="1"/>
      <c r="J7" s="1"/>
    </row>
    <row r="8" spans="1:12" ht="15.5" x14ac:dyDescent="0.35">
      <c r="A8" s="6"/>
      <c r="B8" s="617" t="s">
        <v>39</v>
      </c>
      <c r="C8" s="618">
        <v>289.67156999999997</v>
      </c>
      <c r="D8" s="619">
        <v>43.145436850769094</v>
      </c>
      <c r="E8" s="620">
        <v>9.1419999999999995</v>
      </c>
      <c r="F8" s="620">
        <v>37.725166850769099</v>
      </c>
      <c r="G8" s="620">
        <v>77.968000000000004</v>
      </c>
      <c r="H8" s="621">
        <v>226.26583999999997</v>
      </c>
      <c r="I8" s="1"/>
      <c r="J8" s="1"/>
    </row>
    <row r="9" spans="1:12" ht="15.5" x14ac:dyDescent="0.35">
      <c r="A9" s="6"/>
      <c r="B9" s="622" t="s">
        <v>40</v>
      </c>
      <c r="C9" s="623">
        <v>226.26583999999997</v>
      </c>
      <c r="D9" s="624">
        <v>260.50073188141215</v>
      </c>
      <c r="E9" s="625">
        <v>25.175999999999998</v>
      </c>
      <c r="F9" s="625">
        <v>46.12420188141212</v>
      </c>
      <c r="G9" s="625">
        <v>72.296999999999997</v>
      </c>
      <c r="H9" s="626">
        <v>393.52136999999999</v>
      </c>
      <c r="I9" s="1"/>
      <c r="J9" s="1"/>
    </row>
    <row r="10" spans="1:12" ht="15.5" x14ac:dyDescent="0.35">
      <c r="A10" s="6"/>
      <c r="B10" s="622" t="s">
        <v>41</v>
      </c>
      <c r="C10" s="623">
        <v>393.52136999999999</v>
      </c>
      <c r="D10" s="623">
        <v>425.28940273746991</v>
      </c>
      <c r="E10" s="627">
        <v>27.878</v>
      </c>
      <c r="F10" s="627">
        <v>46.919312737470037</v>
      </c>
      <c r="G10" s="627">
        <v>72.191999999999993</v>
      </c>
      <c r="H10" s="628">
        <v>727.57745999999997</v>
      </c>
      <c r="I10" s="1"/>
      <c r="J10" s="1"/>
    </row>
    <row r="11" spans="1:12" ht="15.5" x14ac:dyDescent="0.35">
      <c r="A11" s="6"/>
      <c r="B11" s="622" t="s">
        <v>42</v>
      </c>
      <c r="C11" s="623">
        <v>727.57745999999997</v>
      </c>
      <c r="D11" s="623">
        <v>329.97484535928322</v>
      </c>
      <c r="E11" s="627">
        <v>18.731000000000002</v>
      </c>
      <c r="F11" s="627">
        <v>41.017115359283281</v>
      </c>
      <c r="G11" s="627">
        <v>79.191000000000003</v>
      </c>
      <c r="H11" s="628">
        <v>956.07519000000002</v>
      </c>
      <c r="I11" s="1"/>
      <c r="J11" s="1"/>
    </row>
    <row r="12" spans="1:12" ht="15.5" x14ac:dyDescent="0.35">
      <c r="A12" s="6"/>
      <c r="B12" s="622" t="s">
        <v>43</v>
      </c>
      <c r="C12" s="623">
        <v>956.07519000000002</v>
      </c>
      <c r="D12" s="624">
        <v>143.39104451636763</v>
      </c>
      <c r="E12" s="629">
        <v>21.02</v>
      </c>
      <c r="F12" s="629">
        <v>45.61591451636771</v>
      </c>
      <c r="G12" s="629">
        <v>89.275999999999996</v>
      </c>
      <c r="H12" s="628">
        <v>985.59431999999993</v>
      </c>
      <c r="I12" s="1"/>
      <c r="J12" s="1"/>
    </row>
    <row r="13" spans="1:12" ht="15.5" x14ac:dyDescent="0.35">
      <c r="A13" s="6"/>
      <c r="B13" s="622" t="s">
        <v>44</v>
      </c>
      <c r="C13" s="623">
        <v>985.59431999999993</v>
      </c>
      <c r="D13" s="624">
        <v>84.99329748330598</v>
      </c>
      <c r="E13" s="629">
        <v>27.547000000000001</v>
      </c>
      <c r="F13" s="629">
        <v>48.161457483305782</v>
      </c>
      <c r="G13" s="629">
        <v>97.917000000000002</v>
      </c>
      <c r="H13" s="628">
        <v>952.05616000000009</v>
      </c>
      <c r="I13" s="1"/>
      <c r="J13" s="1"/>
    </row>
    <row r="14" spans="1:12" ht="15.5" x14ac:dyDescent="0.35">
      <c r="A14" s="6"/>
      <c r="B14" s="622" t="s">
        <v>45</v>
      </c>
      <c r="C14" s="623">
        <v>952.05616000000009</v>
      </c>
      <c r="D14" s="624">
        <v>12.211432344741747</v>
      </c>
      <c r="E14" s="629">
        <v>23.062000000000001</v>
      </c>
      <c r="F14" s="629">
        <v>32.422952344741702</v>
      </c>
      <c r="G14" s="629">
        <v>86.625</v>
      </c>
      <c r="H14" s="628">
        <v>868.28164000000015</v>
      </c>
      <c r="I14" s="1"/>
      <c r="J14" s="1"/>
    </row>
    <row r="15" spans="1:12" ht="15.5" x14ac:dyDescent="0.35">
      <c r="A15" s="6"/>
      <c r="B15" s="622" t="s">
        <v>46</v>
      </c>
      <c r="C15" s="623">
        <v>868.28164000000015</v>
      </c>
      <c r="D15" s="624">
        <v>1.4293088266504361</v>
      </c>
      <c r="E15" s="629">
        <v>24.994</v>
      </c>
      <c r="F15" s="629">
        <v>30.781538826650518</v>
      </c>
      <c r="G15" s="629">
        <v>85.094999999999999</v>
      </c>
      <c r="H15" s="628">
        <v>778.82841000000008</v>
      </c>
      <c r="I15" s="1"/>
      <c r="J15" s="1"/>
    </row>
    <row r="16" spans="1:12" ht="15.5" x14ac:dyDescent="0.35">
      <c r="A16" s="6"/>
      <c r="B16" s="622" t="s">
        <v>279</v>
      </c>
      <c r="C16" s="623">
        <v>778.82841000000008</v>
      </c>
      <c r="D16" s="630"/>
      <c r="E16" s="629">
        <v>23.635999999999999</v>
      </c>
      <c r="F16" s="629">
        <v>34.923590000000004</v>
      </c>
      <c r="G16" s="629">
        <v>83.879000000000005</v>
      </c>
      <c r="H16" s="628">
        <v>683.66182000000003</v>
      </c>
      <c r="I16" s="1"/>
      <c r="J16" s="1"/>
    </row>
    <row r="17" spans="1:12" ht="15.5" x14ac:dyDescent="0.35">
      <c r="A17" s="6"/>
      <c r="B17" s="622" t="s">
        <v>56</v>
      </c>
      <c r="C17" s="623">
        <v>683.66182000000003</v>
      </c>
      <c r="D17" s="631"/>
      <c r="E17" s="629">
        <v>16</v>
      </c>
      <c r="F17" s="629">
        <v>41.375130000000013</v>
      </c>
      <c r="G17" s="629">
        <v>89</v>
      </c>
      <c r="H17" s="628">
        <v>569.28669000000002</v>
      </c>
      <c r="I17" s="1"/>
      <c r="J17" s="1"/>
    </row>
    <row r="18" spans="1:12" ht="15.5" x14ac:dyDescent="0.35">
      <c r="A18" s="6"/>
      <c r="B18" s="622" t="s">
        <v>57</v>
      </c>
      <c r="C18" s="623" t="s">
        <v>280</v>
      </c>
      <c r="D18" s="631"/>
      <c r="E18" s="629" t="s">
        <v>280</v>
      </c>
      <c r="F18" s="629" t="s">
        <v>280</v>
      </c>
      <c r="G18" s="629" t="s">
        <v>280</v>
      </c>
      <c r="H18" s="628" t="s">
        <v>280</v>
      </c>
      <c r="I18" s="1"/>
      <c r="J18" s="1"/>
      <c r="K18" s="1"/>
      <c r="L18" s="1"/>
    </row>
    <row r="19" spans="1:12" ht="16" thickBot="1" x14ac:dyDescent="0.4">
      <c r="B19" s="632" t="s">
        <v>58</v>
      </c>
      <c r="C19" s="633" t="s">
        <v>280</v>
      </c>
      <c r="D19" s="634"/>
      <c r="E19" s="635" t="s">
        <v>280</v>
      </c>
      <c r="F19" s="635" t="s">
        <v>280</v>
      </c>
      <c r="G19" s="635" t="s">
        <v>280</v>
      </c>
      <c r="H19" s="636" t="s">
        <v>280</v>
      </c>
      <c r="I19" s="1"/>
      <c r="J19" s="1"/>
      <c r="K19" s="1"/>
      <c r="L19" s="1"/>
    </row>
    <row r="20" spans="1:12" ht="16" thickBot="1" x14ac:dyDescent="0.4">
      <c r="B20" s="637"/>
      <c r="C20" s="638"/>
      <c r="D20" s="639">
        <f>SUM(D8:D15)</f>
        <v>1300.9355000000003</v>
      </c>
      <c r="E20" s="640">
        <f>+SUM(E8:E19)</f>
        <v>217.18600000000001</v>
      </c>
      <c r="F20" s="640">
        <f>+SUM(F8:F19)</f>
        <v>405.06638000000021</v>
      </c>
      <c r="G20" s="640">
        <f>+SUM(G8:G19)</f>
        <v>833.44</v>
      </c>
      <c r="H20" s="638"/>
      <c r="I20" s="1"/>
      <c r="J20" s="1"/>
      <c r="K20" s="1"/>
      <c r="L20" s="1"/>
    </row>
    <row r="21" spans="1:12" x14ac:dyDescent="0.35">
      <c r="B21" s="637"/>
      <c r="I21" s="1"/>
      <c r="J21" s="1"/>
      <c r="K21" s="1"/>
      <c r="L21" s="1"/>
    </row>
    <row r="22" spans="1:12" x14ac:dyDescent="0.35">
      <c r="B22" s="641"/>
      <c r="C22" s="642" t="s">
        <v>281</v>
      </c>
      <c r="E22" s="643"/>
      <c r="F22" s="644" t="s">
        <v>282</v>
      </c>
      <c r="G22" s="645">
        <f>F20+G20</f>
        <v>1238.5063800000003</v>
      </c>
      <c r="H22" s="180"/>
      <c r="I22" s="1"/>
      <c r="J22" s="1"/>
      <c r="K22" s="1"/>
      <c r="L22" s="1"/>
    </row>
    <row r="23" spans="1:12" ht="15" thickBot="1" x14ac:dyDescent="0.4"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ht="16" thickBot="1" x14ac:dyDescent="0.4">
      <c r="B24" s="261" t="s">
        <v>277</v>
      </c>
      <c r="C24" s="23"/>
      <c r="D24" s="312"/>
      <c r="E24" s="766" t="s">
        <v>277</v>
      </c>
      <c r="F24" s="767"/>
      <c r="G24" s="768"/>
      <c r="H24" s="1"/>
      <c r="I24" s="1"/>
      <c r="J24" s="1"/>
    </row>
    <row r="25" spans="1:12" ht="15" thickBot="1" x14ac:dyDescent="0.4">
      <c r="B25" s="769"/>
      <c r="C25" s="771" t="s">
        <v>277</v>
      </c>
      <c r="D25" s="646"/>
      <c r="E25" s="773" t="s">
        <v>283</v>
      </c>
      <c r="F25" s="775" t="s">
        <v>284</v>
      </c>
      <c r="G25" s="776"/>
      <c r="H25" s="1"/>
      <c r="I25" s="1"/>
      <c r="J25" s="1"/>
    </row>
    <row r="26" spans="1:12" ht="15" thickBot="1" x14ac:dyDescent="0.4">
      <c r="B26" s="770"/>
      <c r="C26" s="772"/>
      <c r="D26" s="647"/>
      <c r="E26" s="774"/>
      <c r="F26" s="648" t="s">
        <v>285</v>
      </c>
      <c r="G26" s="649" t="s">
        <v>286</v>
      </c>
    </row>
    <row r="27" spans="1:12" ht="15.5" x14ac:dyDescent="0.35">
      <c r="B27" s="650" t="s">
        <v>39</v>
      </c>
      <c r="C27" s="620">
        <v>77.968000000000004</v>
      </c>
      <c r="D27" s="651"/>
      <c r="E27" s="652">
        <v>36.524000000000001</v>
      </c>
      <c r="F27" s="653">
        <v>18.109000000000002</v>
      </c>
      <c r="G27" s="654">
        <v>23.335000000000001</v>
      </c>
    </row>
    <row r="28" spans="1:12" ht="15.5" x14ac:dyDescent="0.35">
      <c r="B28" s="655" t="s">
        <v>40</v>
      </c>
      <c r="C28" s="625">
        <v>72.296999999999997</v>
      </c>
      <c r="D28" s="651"/>
      <c r="E28" s="652">
        <v>32.292000000000002</v>
      </c>
      <c r="F28" s="656">
        <v>21.965</v>
      </c>
      <c r="G28" s="654">
        <v>18.039999999999996</v>
      </c>
    </row>
    <row r="29" spans="1:12" ht="15.5" x14ac:dyDescent="0.35">
      <c r="B29" s="655" t="s">
        <v>41</v>
      </c>
      <c r="C29" s="627">
        <v>72.191999999999993</v>
      </c>
      <c r="D29" s="6"/>
      <c r="E29" s="652">
        <v>29.43</v>
      </c>
      <c r="F29" s="656">
        <v>24.280999999999999</v>
      </c>
      <c r="G29" s="654">
        <v>18.480999999999995</v>
      </c>
      <c r="H29" s="4"/>
    </row>
    <row r="30" spans="1:12" ht="15.5" x14ac:dyDescent="0.35">
      <c r="B30" s="655" t="s">
        <v>42</v>
      </c>
      <c r="C30" s="627">
        <v>79.191000000000003</v>
      </c>
      <c r="D30" s="6"/>
      <c r="E30" s="652">
        <v>26.315000000000001</v>
      </c>
      <c r="F30" s="656">
        <v>28.771999999999998</v>
      </c>
      <c r="G30" s="654">
        <v>24.104000000000006</v>
      </c>
    </row>
    <row r="31" spans="1:12" ht="15.5" x14ac:dyDescent="0.35">
      <c r="B31" s="655" t="s">
        <v>43</v>
      </c>
      <c r="C31" s="629">
        <v>89.275999999999996</v>
      </c>
      <c r="D31" s="6"/>
      <c r="E31" s="652">
        <v>33.021999999999998</v>
      </c>
      <c r="F31" s="656">
        <v>32.152000000000001</v>
      </c>
      <c r="G31" s="654">
        <v>24.101999999999997</v>
      </c>
    </row>
    <row r="32" spans="1:12" ht="15.5" x14ac:dyDescent="0.35">
      <c r="B32" s="655" t="s">
        <v>44</v>
      </c>
      <c r="C32" s="629">
        <v>97.917000000000002</v>
      </c>
      <c r="D32" s="6"/>
      <c r="E32" s="652">
        <v>38.975999999999999</v>
      </c>
      <c r="F32" s="656">
        <v>30.74</v>
      </c>
      <c r="G32" s="654">
        <v>28.201000000000004</v>
      </c>
    </row>
    <row r="33" spans="1:8" ht="15.5" x14ac:dyDescent="0.35">
      <c r="B33" s="655" t="s">
        <v>45</v>
      </c>
      <c r="C33" s="629">
        <v>86.625</v>
      </c>
      <c r="D33" s="657"/>
      <c r="E33" s="652">
        <v>36.085000000000001</v>
      </c>
      <c r="F33" s="656">
        <v>25.295000000000002</v>
      </c>
      <c r="G33" s="654">
        <v>25.244999999999997</v>
      </c>
    </row>
    <row r="34" spans="1:8" ht="15.5" x14ac:dyDescent="0.35">
      <c r="B34" s="655" t="s">
        <v>46</v>
      </c>
      <c r="C34" s="629">
        <v>85.094999999999999</v>
      </c>
      <c r="D34" s="6"/>
      <c r="E34" s="652">
        <v>39.058</v>
      </c>
      <c r="F34" s="656">
        <v>24.12</v>
      </c>
      <c r="G34" s="654">
        <v>21.916999999999998</v>
      </c>
    </row>
    <row r="35" spans="1:8" ht="15.5" x14ac:dyDescent="0.35">
      <c r="B35" s="655" t="s">
        <v>55</v>
      </c>
      <c r="C35" s="629">
        <v>83.879000000000005</v>
      </c>
      <c r="D35" s="6"/>
      <c r="E35" s="652">
        <v>38.14</v>
      </c>
      <c r="F35" s="656">
        <v>23.023</v>
      </c>
      <c r="G35" s="654">
        <v>22.716000000000005</v>
      </c>
    </row>
    <row r="36" spans="1:8" ht="15.5" x14ac:dyDescent="0.35">
      <c r="B36" s="655" t="s">
        <v>56</v>
      </c>
      <c r="C36" s="629">
        <v>89</v>
      </c>
      <c r="D36" s="6"/>
      <c r="E36" s="652"/>
      <c r="F36" s="656"/>
      <c r="G36" s="654"/>
    </row>
    <row r="37" spans="1:8" ht="15.5" x14ac:dyDescent="0.35">
      <c r="B37" s="655" t="s">
        <v>57</v>
      </c>
      <c r="C37" s="629" t="s">
        <v>280</v>
      </c>
      <c r="D37" s="658"/>
      <c r="E37" s="652"/>
      <c r="F37" s="656"/>
      <c r="G37" s="654"/>
    </row>
    <row r="38" spans="1:8" ht="16" thickBot="1" x14ac:dyDescent="0.4">
      <c r="B38" s="659" t="s">
        <v>58</v>
      </c>
      <c r="C38" s="635" t="s">
        <v>280</v>
      </c>
      <c r="D38" s="6"/>
      <c r="E38" s="660"/>
      <c r="F38" s="661"/>
      <c r="G38" s="662"/>
    </row>
    <row r="39" spans="1:8" ht="16" thickBot="1" x14ac:dyDescent="0.4">
      <c r="B39" s="663"/>
      <c r="C39" s="664">
        <f>SUM(C27:C38)</f>
        <v>833.44</v>
      </c>
      <c r="D39" s="647"/>
      <c r="E39" s="665">
        <f>SUM(E27:E38)</f>
        <v>309.84199999999998</v>
      </c>
      <c r="F39" s="665">
        <f>SUM(F27:F38)</f>
        <v>228.45699999999997</v>
      </c>
      <c r="G39" s="666">
        <f>SUM(G27:G38)</f>
        <v>206.14100000000002</v>
      </c>
      <c r="H39" s="4"/>
    </row>
    <row r="40" spans="1:8" ht="16.5" thickTop="1" thickBot="1" x14ac:dyDescent="0.4">
      <c r="B40" s="2"/>
      <c r="C40" s="2"/>
      <c r="E40" s="777">
        <f>SUM(E39:G39)</f>
        <v>744.44</v>
      </c>
      <c r="F40" s="778"/>
      <c r="G40" s="779"/>
    </row>
    <row r="41" spans="1:8" ht="15" thickTop="1" x14ac:dyDescent="0.35">
      <c r="B41" s="2"/>
      <c r="C41" s="2"/>
      <c r="D41" s="2"/>
      <c r="E41" s="2"/>
    </row>
    <row r="42" spans="1:8" ht="15" thickBot="1" x14ac:dyDescent="0.4">
      <c r="E42" s="494"/>
    </row>
    <row r="43" spans="1:8" ht="16" thickBot="1" x14ac:dyDescent="0.4">
      <c r="B43" s="261" t="s">
        <v>287</v>
      </c>
      <c r="C43" s="23"/>
      <c r="E43" s="766" t="s">
        <v>184</v>
      </c>
      <c r="F43" s="767"/>
      <c r="G43" s="768"/>
    </row>
    <row r="44" spans="1:8" ht="15.75" customHeight="1" thickBot="1" x14ac:dyDescent="0.4">
      <c r="B44" s="782"/>
      <c r="C44" s="773" t="s">
        <v>48</v>
      </c>
      <c r="E44" s="773" t="s">
        <v>283</v>
      </c>
      <c r="F44" s="775" t="s">
        <v>284</v>
      </c>
      <c r="G44" s="776"/>
    </row>
    <row r="45" spans="1:8" ht="15" customHeight="1" thickBot="1" x14ac:dyDescent="0.4">
      <c r="B45" s="782"/>
      <c r="C45" s="774"/>
      <c r="E45" s="774"/>
      <c r="F45" s="648" t="s">
        <v>285</v>
      </c>
      <c r="G45" s="649" t="s">
        <v>286</v>
      </c>
    </row>
    <row r="46" spans="1:8" ht="15.5" x14ac:dyDescent="0.35">
      <c r="A46" s="6"/>
      <c r="B46" s="650" t="s">
        <v>39</v>
      </c>
      <c r="C46" s="620">
        <v>37.725166850769099</v>
      </c>
      <c r="E46" s="653">
        <v>5.2430000000000003</v>
      </c>
      <c r="F46" s="653">
        <v>0.60899999999999999</v>
      </c>
      <c r="G46" s="653">
        <v>3.2899999999999991</v>
      </c>
    </row>
    <row r="47" spans="1:8" ht="15.5" x14ac:dyDescent="0.35">
      <c r="A47" s="6"/>
      <c r="B47" s="655" t="s">
        <v>40</v>
      </c>
      <c r="C47" s="625">
        <v>46.12420188141212</v>
      </c>
      <c r="E47" s="652">
        <v>8.75</v>
      </c>
      <c r="F47" s="656">
        <v>0.90800000000000003</v>
      </c>
      <c r="G47" s="654">
        <v>15.517999999999997</v>
      </c>
    </row>
    <row r="48" spans="1:8" ht="15.5" x14ac:dyDescent="0.35">
      <c r="A48" s="6"/>
      <c r="B48" s="655" t="s">
        <v>41</v>
      </c>
      <c r="C48" s="627">
        <v>46.919312737470037</v>
      </c>
      <c r="E48" s="652">
        <v>11.292</v>
      </c>
      <c r="F48" s="656">
        <v>1.8240000000000001</v>
      </c>
      <c r="G48" s="654">
        <v>14.761999999999999</v>
      </c>
    </row>
    <row r="49" spans="1:9" ht="15.5" x14ac:dyDescent="0.35">
      <c r="A49" s="6"/>
      <c r="B49" s="655" t="s">
        <v>42</v>
      </c>
      <c r="C49" s="627">
        <v>41.017115359283281</v>
      </c>
      <c r="E49" s="652">
        <v>10.442</v>
      </c>
      <c r="F49" s="656">
        <v>0.97599999999999998</v>
      </c>
      <c r="G49" s="654">
        <v>7.3130000000000024</v>
      </c>
    </row>
    <row r="50" spans="1:9" ht="15.5" x14ac:dyDescent="0.35">
      <c r="A50" s="6"/>
      <c r="B50" s="655" t="s">
        <v>43</v>
      </c>
      <c r="C50" s="629">
        <v>45.61591451636771</v>
      </c>
      <c r="E50" s="652">
        <v>10.885999999999999</v>
      </c>
      <c r="F50" s="656">
        <v>3.2810000000000001</v>
      </c>
      <c r="G50" s="654">
        <v>6.8530000000000015</v>
      </c>
    </row>
    <row r="51" spans="1:9" ht="15.5" x14ac:dyDescent="0.35">
      <c r="A51" s="6"/>
      <c r="B51" s="655" t="s">
        <v>44</v>
      </c>
      <c r="C51" s="629">
        <v>48.161457483305782</v>
      </c>
      <c r="E51" s="652">
        <v>17.341000000000001</v>
      </c>
      <c r="F51" s="656">
        <v>2.5230000000000001</v>
      </c>
      <c r="G51" s="654">
        <v>7.6829999999999998</v>
      </c>
    </row>
    <row r="52" spans="1:9" ht="15.5" x14ac:dyDescent="0.35">
      <c r="A52" s="6"/>
      <c r="B52" s="655" t="s">
        <v>45</v>
      </c>
      <c r="C52" s="629">
        <v>32.422952344741702</v>
      </c>
      <c r="E52" s="652">
        <v>16.606999999999999</v>
      </c>
      <c r="F52" s="656">
        <v>1.4079999999999999</v>
      </c>
      <c r="G52" s="654">
        <v>5.0470000000000006</v>
      </c>
    </row>
    <row r="53" spans="1:9" ht="15.5" x14ac:dyDescent="0.35">
      <c r="A53" s="6"/>
      <c r="B53" s="655" t="s">
        <v>46</v>
      </c>
      <c r="C53" s="629">
        <v>30.781538826650518</v>
      </c>
      <c r="D53" s="667"/>
      <c r="E53" s="652">
        <v>18.236999999999998</v>
      </c>
      <c r="F53" s="656">
        <v>1.694</v>
      </c>
      <c r="G53" s="654">
        <v>5.0630000000000024</v>
      </c>
    </row>
    <row r="54" spans="1:9" ht="15.5" x14ac:dyDescent="0.35">
      <c r="A54" s="6"/>
      <c r="B54" s="655" t="s">
        <v>55</v>
      </c>
      <c r="C54" s="629">
        <v>34.923590000000004</v>
      </c>
      <c r="E54" s="652">
        <v>16.803999999999998</v>
      </c>
      <c r="F54" s="656">
        <v>1.113</v>
      </c>
      <c r="G54" s="654">
        <v>5.7190000000000012</v>
      </c>
    </row>
    <row r="55" spans="1:9" ht="15.5" x14ac:dyDescent="0.35">
      <c r="A55" s="6"/>
      <c r="B55" s="655" t="s">
        <v>56</v>
      </c>
      <c r="C55" s="629">
        <v>41.375130000000013</v>
      </c>
      <c r="E55" s="652"/>
      <c r="F55" s="656"/>
      <c r="G55" s="654"/>
    </row>
    <row r="56" spans="1:9" ht="15.5" x14ac:dyDescent="0.35">
      <c r="A56" s="6"/>
      <c r="B56" s="655" t="s">
        <v>57</v>
      </c>
      <c r="C56" s="629" t="s">
        <v>280</v>
      </c>
      <c r="D56" s="668"/>
      <c r="E56" s="652"/>
      <c r="F56" s="656"/>
      <c r="G56" s="654"/>
    </row>
    <row r="57" spans="1:9" ht="16" thickBot="1" x14ac:dyDescent="0.4">
      <c r="A57" s="6"/>
      <c r="B57" s="659" t="s">
        <v>58</v>
      </c>
      <c r="C57" s="635" t="s">
        <v>280</v>
      </c>
      <c r="E57" s="660"/>
      <c r="F57" s="661"/>
      <c r="G57" s="662"/>
    </row>
    <row r="58" spans="1:9" ht="16" thickBot="1" x14ac:dyDescent="0.4">
      <c r="B58" s="49"/>
      <c r="C58" s="664">
        <f>SUM(C46:C57)</f>
        <v>405.06638000000021</v>
      </c>
      <c r="E58" s="669">
        <f>SUM(E46:E57)</f>
        <v>115.602</v>
      </c>
      <c r="F58" s="669">
        <f>SUM(F46:F57)</f>
        <v>14.335999999999999</v>
      </c>
      <c r="G58" s="669">
        <f>SUM(G46:G57)</f>
        <v>71.24799999999999</v>
      </c>
    </row>
    <row r="59" spans="1:9" ht="16.5" thickTop="1" thickBot="1" x14ac:dyDescent="0.4">
      <c r="C59" s="670"/>
      <c r="E59" s="777">
        <f>SUM(E58:G58)</f>
        <v>201.18599999999998</v>
      </c>
      <c r="F59" s="778"/>
      <c r="G59" s="779"/>
    </row>
    <row r="60" spans="1:9" ht="15" thickTop="1" x14ac:dyDescent="0.35">
      <c r="C60" s="180"/>
      <c r="G60" s="9"/>
      <c r="H60" s="9"/>
      <c r="I60" s="9"/>
    </row>
    <row r="61" spans="1:9" ht="15" customHeight="1" thickBot="1" x14ac:dyDescent="0.4">
      <c r="B61" s="780" t="s">
        <v>179</v>
      </c>
      <c r="C61" s="780"/>
      <c r="D61" s="780"/>
      <c r="E61" s="780"/>
      <c r="F61" s="780"/>
    </row>
    <row r="62" spans="1:9" ht="25.5" customHeight="1" thickBot="1" x14ac:dyDescent="0.4">
      <c r="B62" s="24"/>
      <c r="C62" s="671" t="s">
        <v>0</v>
      </c>
      <c r="D62" s="672" t="s">
        <v>288</v>
      </c>
      <c r="E62" s="673" t="s">
        <v>289</v>
      </c>
      <c r="F62" s="672" t="s">
        <v>48</v>
      </c>
    </row>
    <row r="63" spans="1:9" ht="15.75" customHeight="1" x14ac:dyDescent="0.35">
      <c r="A63" s="6"/>
      <c r="B63" s="650" t="s">
        <v>39</v>
      </c>
      <c r="C63" s="674">
        <v>96.235500000000002</v>
      </c>
      <c r="D63" s="675">
        <v>1.49725</v>
      </c>
      <c r="E63" s="676">
        <v>128.53308999999999</v>
      </c>
      <c r="F63" s="677">
        <v>226.26583999999997</v>
      </c>
      <c r="G63" s="180"/>
      <c r="H63" s="180"/>
    </row>
    <row r="64" spans="1:9" ht="15.5" x14ac:dyDescent="0.35">
      <c r="A64" s="6"/>
      <c r="B64" s="655" t="s">
        <v>40</v>
      </c>
      <c r="C64" s="678">
        <v>257.2124</v>
      </c>
      <c r="D64" s="679">
        <v>1.05501</v>
      </c>
      <c r="E64" s="680">
        <v>135.25396000000001</v>
      </c>
      <c r="F64" s="681">
        <v>393.52136999999999</v>
      </c>
      <c r="G64" s="180"/>
      <c r="H64" s="180"/>
    </row>
    <row r="65" spans="1:9" ht="15.5" x14ac:dyDescent="0.35">
      <c r="A65" s="6"/>
      <c r="B65" s="655" t="s">
        <v>41</v>
      </c>
      <c r="C65" s="678">
        <v>557.99119999999994</v>
      </c>
      <c r="D65" s="679">
        <v>4.2303499999999996</v>
      </c>
      <c r="E65" s="680">
        <v>165.35590999999999</v>
      </c>
      <c r="F65" s="681">
        <v>727.57745999999997</v>
      </c>
      <c r="G65" s="180"/>
      <c r="H65" s="180"/>
    </row>
    <row r="66" spans="1:9" ht="15.5" x14ac:dyDescent="0.35">
      <c r="A66" s="6"/>
      <c r="B66" s="655" t="s">
        <v>42</v>
      </c>
      <c r="C66" s="678">
        <v>732.67550000000006</v>
      </c>
      <c r="D66" s="679">
        <v>7.4919900000000004</v>
      </c>
      <c r="E66" s="680">
        <v>215.90770000000001</v>
      </c>
      <c r="F66" s="681">
        <v>956.07519000000002</v>
      </c>
      <c r="G66" s="180"/>
      <c r="H66" s="180"/>
    </row>
    <row r="67" spans="1:9" ht="15.5" x14ac:dyDescent="0.35">
      <c r="A67" s="6"/>
      <c r="B67" s="655" t="s">
        <v>43</v>
      </c>
      <c r="C67" s="678">
        <v>741.8347</v>
      </c>
      <c r="D67" s="679">
        <v>8.0912900000000008</v>
      </c>
      <c r="E67" s="680">
        <v>235.66833</v>
      </c>
      <c r="F67" s="681">
        <v>985.59431999999993</v>
      </c>
      <c r="G67" s="682"/>
      <c r="H67" s="180"/>
    </row>
    <row r="68" spans="1:9" ht="15.5" x14ac:dyDescent="0.35">
      <c r="A68" s="6"/>
      <c r="B68" s="655" t="s">
        <v>44</v>
      </c>
      <c r="C68" s="678">
        <v>693.96730000000002</v>
      </c>
      <c r="D68" s="679">
        <v>9.5925700000000003</v>
      </c>
      <c r="E68" s="680">
        <v>248.49628999999999</v>
      </c>
      <c r="F68" s="681">
        <v>952.05616000000009</v>
      </c>
      <c r="G68" s="180"/>
      <c r="H68" s="180"/>
    </row>
    <row r="69" spans="1:9" ht="15.5" x14ac:dyDescent="0.35">
      <c r="A69" s="6"/>
      <c r="B69" s="655" t="s">
        <v>45</v>
      </c>
      <c r="C69" s="678">
        <v>601.04600000000005</v>
      </c>
      <c r="D69" s="679">
        <v>8.7440899999999999</v>
      </c>
      <c r="E69" s="680">
        <v>258.49155000000002</v>
      </c>
      <c r="F69" s="681">
        <v>868.28164000000015</v>
      </c>
      <c r="H69" s="180"/>
    </row>
    <row r="70" spans="1:9" ht="15.5" x14ac:dyDescent="0.35">
      <c r="A70" s="6"/>
      <c r="B70" s="655" t="s">
        <v>46</v>
      </c>
      <c r="C70" s="678">
        <v>507.42520000000002</v>
      </c>
      <c r="D70" s="679">
        <v>6.5168900000000001</v>
      </c>
      <c r="E70" s="680">
        <v>264.88632000000001</v>
      </c>
      <c r="F70" s="681">
        <v>778.82841000000008</v>
      </c>
      <c r="H70" s="180"/>
    </row>
    <row r="71" spans="1:9" ht="15.5" x14ac:dyDescent="0.35">
      <c r="A71" s="6"/>
      <c r="B71" s="655" t="s">
        <v>55</v>
      </c>
      <c r="C71" s="678">
        <v>418.75900000000001</v>
      </c>
      <c r="D71" s="679">
        <v>5.8248100000000003</v>
      </c>
      <c r="E71" s="680">
        <v>259.07801000000001</v>
      </c>
      <c r="F71" s="681">
        <v>683.66182000000003</v>
      </c>
      <c r="G71" s="180"/>
      <c r="H71" s="180"/>
    </row>
    <row r="72" spans="1:9" ht="15.5" x14ac:dyDescent="0.35">
      <c r="A72" s="6"/>
      <c r="B72" s="655" t="s">
        <v>56</v>
      </c>
      <c r="C72" s="678">
        <v>329.46820000000002</v>
      </c>
      <c r="D72" s="679">
        <v>4.0428899999999999</v>
      </c>
      <c r="E72" s="680">
        <v>235.7756</v>
      </c>
      <c r="F72" s="681">
        <v>569.28669000000002</v>
      </c>
    </row>
    <row r="73" spans="1:9" ht="15.5" x14ac:dyDescent="0.35">
      <c r="A73" s="6"/>
      <c r="B73" s="655" t="s">
        <v>57</v>
      </c>
      <c r="C73" s="678"/>
      <c r="D73" s="679"/>
      <c r="E73" s="680"/>
      <c r="F73" s="681"/>
    </row>
    <row r="74" spans="1:9" ht="16" thickBot="1" x14ac:dyDescent="0.4">
      <c r="A74" s="6"/>
      <c r="B74" s="659" t="s">
        <v>58</v>
      </c>
      <c r="C74" s="683"/>
      <c r="D74" s="684"/>
      <c r="E74" s="685"/>
      <c r="F74" s="686"/>
    </row>
    <row r="76" spans="1:9" x14ac:dyDescent="0.35">
      <c r="B76" s="781" t="s">
        <v>290</v>
      </c>
      <c r="C76" s="781"/>
      <c r="D76" s="781"/>
      <c r="E76" s="781"/>
      <c r="F76" s="781"/>
    </row>
    <row r="77" spans="1:9" ht="15.5" x14ac:dyDescent="0.35">
      <c r="C77" s="261"/>
      <c r="D77" s="261"/>
      <c r="E77" s="261"/>
      <c r="G77" s="261" t="s">
        <v>119</v>
      </c>
      <c r="H77" s="261"/>
      <c r="I77" s="261"/>
    </row>
  </sheetData>
  <mergeCells count="22">
    <mergeCell ref="E59:G59"/>
    <mergeCell ref="B61:F61"/>
    <mergeCell ref="B76:F76"/>
    <mergeCell ref="E40:G40"/>
    <mergeCell ref="E43:G43"/>
    <mergeCell ref="B44:B45"/>
    <mergeCell ref="C44:C45"/>
    <mergeCell ref="E44:E45"/>
    <mergeCell ref="F44:G44"/>
    <mergeCell ref="H6:H7"/>
    <mergeCell ref="E24:G24"/>
    <mergeCell ref="B25:B26"/>
    <mergeCell ref="C25:C26"/>
    <mergeCell ref="E25:E26"/>
    <mergeCell ref="F25:G25"/>
    <mergeCell ref="D2:G4"/>
    <mergeCell ref="B6:B7"/>
    <mergeCell ref="C6:C7"/>
    <mergeCell ref="D6:D7"/>
    <mergeCell ref="E6:E7"/>
    <mergeCell ref="F6:F7"/>
    <mergeCell ref="G6:G7"/>
  </mergeCells>
  <conditionalFormatting sqref="C27:C38">
    <cfRule type="expression" dxfId="27" priority="2" stopIfTrue="1">
      <formula>AND(ISNUMBER(C27), C27&gt;0, ROW(C27)=MAX(IF((ISNUMBER($C$27:$C$38))*($C$27:$C$38&gt;0), ROW($C$27:$C$38))))</formula>
    </cfRule>
  </conditionalFormatting>
  <conditionalFormatting sqref="C46:C57">
    <cfRule type="expression" dxfId="26" priority="1" stopIfTrue="1">
      <formula>AND(ISNUMBER(C46), C46&gt;0, ROW(C46)=MAX(IF((ISNUMBER($C$46:$C$57))*($C$46:$C$57&gt;0), ROW($C$46:$C$57))))</formula>
    </cfRule>
  </conditionalFormatting>
  <conditionalFormatting sqref="E8:E19">
    <cfRule type="expression" dxfId="25" priority="5" stopIfTrue="1">
      <formula>AND(ISNUMBER(E8), E8&gt;0, ROW(E8)=MAX(IF((ISNUMBER($E$8:$E$19))*($E$8:$E$19&gt;0), ROW($E$8:$E$19))))</formula>
    </cfRule>
  </conditionalFormatting>
  <conditionalFormatting sqref="F8:F19">
    <cfRule type="expression" dxfId="24" priority="4" stopIfTrue="1">
      <formula>AND(ISNUMBER(F8), F8&gt;0, ROW(F8)=MAX(IF((ISNUMBER($F$8:$F$19))*($F$8:$F$19&gt;0), ROW($F$8:$F$19))))</formula>
    </cfRule>
  </conditionalFormatting>
  <conditionalFormatting sqref="G8:G19">
    <cfRule type="expression" dxfId="23" priority="3" stopIfTrue="1">
      <formula>AND(ISNUMBER(G8), G8&gt;0, ROW(G8)=MAX(IF((ISNUMBER($G$8:$G$19))*($G$8:$G$19&gt;0), ROW($G$8:$G$19))))</formula>
    </cfRule>
  </conditionalFormatting>
  <pageMargins left="0.70866141732283472" right="0.70866141732283472" top="0.74803149606299213" bottom="0.74803149606299213" header="0.31496062992125984" footer="0.31496062992125984"/>
  <pageSetup paperSize="9" scale="59" orientation="portrait" horizontalDpi="4294967293" r:id="rId1"/>
  <headerFooter>
    <oddHeader>&amp;L&amp;G&amp;RCAMPAÑA: 2025/2026. MES: JULIO
Fecha de emisión de datos: 25/08/2026</oddHeader>
  </headerFooter>
  <drawing r:id="rId2"/>
  <legacyDrawingHF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779A7-1217-4047-892D-36A0B0D38445}">
  <dimension ref="A2:O90"/>
  <sheetViews>
    <sheetView view="pageLayout" topLeftCell="B54" zoomScale="70" zoomScaleNormal="70" zoomScaleSheetLayoutView="50" zoomScalePageLayoutView="70" workbookViewId="0">
      <selection activeCell="H69" sqref="H69"/>
    </sheetView>
  </sheetViews>
  <sheetFormatPr baseColWidth="10" defaultColWidth="11.453125" defaultRowHeight="14.5" x14ac:dyDescent="0.35"/>
  <cols>
    <col min="1" max="1" width="12.26953125" customWidth="1"/>
  </cols>
  <sheetData>
    <row r="2" spans="1:15" ht="21" customHeight="1" x14ac:dyDescent="0.35">
      <c r="D2" s="788" t="s">
        <v>291</v>
      </c>
      <c r="E2" s="788"/>
      <c r="F2" s="788"/>
      <c r="G2" s="788"/>
      <c r="H2" s="788"/>
      <c r="I2" s="788"/>
      <c r="J2" s="788"/>
      <c r="K2" s="788"/>
      <c r="L2" s="788"/>
    </row>
    <row r="3" spans="1:15" ht="15" customHeight="1" x14ac:dyDescent="0.35">
      <c r="D3" s="788"/>
      <c r="E3" s="788"/>
      <c r="F3" s="788"/>
      <c r="G3" s="788"/>
      <c r="H3" s="788"/>
      <c r="I3" s="788"/>
      <c r="J3" s="788"/>
      <c r="K3" s="788"/>
      <c r="L3" s="788"/>
    </row>
    <row r="4" spans="1:15" ht="15" customHeight="1" x14ac:dyDescent="0.35">
      <c r="D4" s="788"/>
      <c r="E4" s="788"/>
      <c r="F4" s="788"/>
      <c r="G4" s="788"/>
      <c r="H4" s="788"/>
      <c r="I4" s="788"/>
      <c r="J4" s="788"/>
      <c r="K4" s="788"/>
      <c r="L4" s="788"/>
    </row>
    <row r="5" spans="1:15" ht="15.75" customHeight="1" x14ac:dyDescent="0.35">
      <c r="F5" s="616"/>
      <c r="G5" s="616"/>
      <c r="H5" s="616"/>
      <c r="I5" s="616"/>
      <c r="J5" s="616"/>
    </row>
    <row r="6" spans="1:15" ht="16" thickBot="1" x14ac:dyDescent="0.4">
      <c r="C6" s="789" t="s">
        <v>71</v>
      </c>
      <c r="D6" s="789"/>
      <c r="E6" s="789"/>
      <c r="F6" s="789"/>
      <c r="G6" s="789"/>
      <c r="I6" s="787" t="s">
        <v>71</v>
      </c>
      <c r="J6" s="787"/>
      <c r="K6" s="787"/>
      <c r="L6" s="787"/>
      <c r="M6" s="787"/>
      <c r="N6" s="787"/>
      <c r="O6" s="687"/>
    </row>
    <row r="7" spans="1:15" ht="15" thickBot="1" x14ac:dyDescent="0.4">
      <c r="B7" s="24"/>
      <c r="C7" s="672" t="s">
        <v>292</v>
      </c>
      <c r="D7" s="672" t="s">
        <v>293</v>
      </c>
      <c r="E7" s="672" t="s">
        <v>294</v>
      </c>
      <c r="F7" s="672" t="s">
        <v>295</v>
      </c>
      <c r="G7" s="672" t="s">
        <v>296</v>
      </c>
      <c r="I7" s="688"/>
      <c r="J7" s="688"/>
      <c r="K7" s="688"/>
      <c r="L7" s="688"/>
      <c r="M7" s="688"/>
      <c r="N7" s="688"/>
    </row>
    <row r="8" spans="1:15" x14ac:dyDescent="0.35">
      <c r="A8" s="6"/>
      <c r="B8" s="650" t="s">
        <v>39</v>
      </c>
      <c r="C8" s="689">
        <v>51.3461</v>
      </c>
      <c r="D8" s="690">
        <v>30.671399999999998</v>
      </c>
      <c r="E8" s="690">
        <v>38.6693</v>
      </c>
      <c r="F8" s="691">
        <v>36.869638065065338</v>
      </c>
      <c r="G8" s="692">
        <v>43.145436850769094</v>
      </c>
      <c r="H8" s="4"/>
      <c r="I8" s="688"/>
      <c r="J8" s="688"/>
      <c r="K8" s="688"/>
      <c r="L8" s="688"/>
      <c r="M8" s="688"/>
      <c r="N8" s="688"/>
    </row>
    <row r="9" spans="1:15" x14ac:dyDescent="0.35">
      <c r="A9" s="6"/>
      <c r="B9" s="655" t="s">
        <v>40</v>
      </c>
      <c r="C9" s="693">
        <v>288.16980000000001</v>
      </c>
      <c r="D9" s="694">
        <v>169.01759999999999</v>
      </c>
      <c r="E9" s="694">
        <v>230.01429999999999</v>
      </c>
      <c r="F9" s="695">
        <v>266.67028736800955</v>
      </c>
      <c r="G9" s="696">
        <v>260.50073188141215</v>
      </c>
      <c r="I9" s="688"/>
      <c r="J9" s="688"/>
      <c r="K9" s="688"/>
      <c r="L9" s="688"/>
      <c r="M9" s="688"/>
      <c r="N9" s="688"/>
    </row>
    <row r="10" spans="1:15" x14ac:dyDescent="0.35">
      <c r="A10" s="6"/>
      <c r="B10" s="655" t="s">
        <v>41</v>
      </c>
      <c r="C10" s="693">
        <v>542.71</v>
      </c>
      <c r="D10" s="694">
        <v>238.86349999999999</v>
      </c>
      <c r="E10" s="694">
        <v>328.48059999999998</v>
      </c>
      <c r="F10" s="695">
        <v>596.43099995705325</v>
      </c>
      <c r="G10" s="696">
        <v>425.28940273746991</v>
      </c>
      <c r="I10" s="688"/>
      <c r="J10" s="688"/>
      <c r="K10" s="688"/>
      <c r="L10" s="688"/>
      <c r="M10" s="688"/>
      <c r="N10" s="688"/>
    </row>
    <row r="11" spans="1:15" x14ac:dyDescent="0.35">
      <c r="A11" s="6"/>
      <c r="B11" s="655" t="s">
        <v>42</v>
      </c>
      <c r="C11" s="693">
        <v>471.18740000000003</v>
      </c>
      <c r="D11" s="694">
        <v>182.35240000000002</v>
      </c>
      <c r="E11" s="694">
        <v>188.18690000000001</v>
      </c>
      <c r="F11" s="695">
        <v>351.48090412836069</v>
      </c>
      <c r="G11" s="696">
        <v>329.97484535928322</v>
      </c>
      <c r="I11" s="688"/>
      <c r="J11" s="688"/>
      <c r="K11" s="688"/>
      <c r="L11" s="688"/>
      <c r="M11" s="688"/>
      <c r="N11" s="688"/>
    </row>
    <row r="12" spans="1:15" x14ac:dyDescent="0.35">
      <c r="A12" s="6"/>
      <c r="B12" s="655" t="s">
        <v>43</v>
      </c>
      <c r="C12" s="693">
        <v>108.80719999999999</v>
      </c>
      <c r="D12" s="694">
        <v>36.077399999999997</v>
      </c>
      <c r="E12" s="694">
        <v>53.141999999999996</v>
      </c>
      <c r="F12" s="695">
        <v>154.07039664159123</v>
      </c>
      <c r="G12" s="696">
        <v>143.39104451636763</v>
      </c>
      <c r="I12" s="688"/>
      <c r="J12" s="688"/>
      <c r="K12" s="688"/>
      <c r="L12" s="688"/>
      <c r="M12" s="688"/>
      <c r="N12" s="688"/>
    </row>
    <row r="13" spans="1:15" x14ac:dyDescent="0.35">
      <c r="A13" s="6"/>
      <c r="B13" s="655" t="s">
        <v>44</v>
      </c>
      <c r="C13" s="693">
        <v>20.7576</v>
      </c>
      <c r="D13" s="694">
        <v>8.0173000000000005</v>
      </c>
      <c r="E13" s="694">
        <v>14.097100000000001</v>
      </c>
      <c r="F13" s="695">
        <v>12.203773839919968</v>
      </c>
      <c r="G13" s="696">
        <v>84.99329748330598</v>
      </c>
      <c r="I13" s="688"/>
      <c r="J13" s="688"/>
      <c r="K13" s="688"/>
      <c r="L13" s="688"/>
      <c r="M13" s="688"/>
      <c r="N13" s="688"/>
    </row>
    <row r="14" spans="1:15" x14ac:dyDescent="0.35">
      <c r="A14" s="6"/>
      <c r="B14" s="655" t="s">
        <v>45</v>
      </c>
      <c r="C14" s="693">
        <v>7.1166999999999998</v>
      </c>
      <c r="D14" s="694">
        <v>0.97220000000000006</v>
      </c>
      <c r="E14" s="694">
        <v>2.7940999999999998</v>
      </c>
      <c r="F14" s="695">
        <v>3.1651061105452594</v>
      </c>
      <c r="G14" s="696">
        <v>12.211432344741747</v>
      </c>
      <c r="I14" s="688"/>
      <c r="J14" s="688"/>
      <c r="K14" s="688"/>
      <c r="L14" s="688"/>
      <c r="M14" s="688"/>
      <c r="N14" s="688"/>
    </row>
    <row r="15" spans="1:15" x14ac:dyDescent="0.35">
      <c r="A15" s="6"/>
      <c r="B15" s="655" t="s">
        <v>46</v>
      </c>
      <c r="C15" s="693">
        <v>2.9136000000000002</v>
      </c>
      <c r="D15" s="694">
        <v>4.0899999999999999E-2</v>
      </c>
      <c r="E15" s="694">
        <v>0.19240000000000002</v>
      </c>
      <c r="F15" s="695">
        <v>0.2216438346728094</v>
      </c>
      <c r="G15" s="696">
        <v>1.4293088266504361</v>
      </c>
      <c r="I15" s="688"/>
      <c r="J15" s="688"/>
      <c r="K15" s="688"/>
      <c r="L15" s="688"/>
      <c r="M15" s="688"/>
      <c r="N15" s="688"/>
    </row>
    <row r="16" spans="1:15" x14ac:dyDescent="0.35">
      <c r="A16" s="6"/>
      <c r="B16" s="655" t="s">
        <v>55</v>
      </c>
      <c r="C16" s="697"/>
      <c r="D16" s="698"/>
      <c r="E16" s="698"/>
      <c r="F16" s="699"/>
      <c r="G16" s="700"/>
      <c r="I16" s="688"/>
      <c r="J16" s="688"/>
      <c r="K16" s="688"/>
      <c r="L16" s="688"/>
      <c r="M16" s="688"/>
      <c r="N16" s="688"/>
    </row>
    <row r="17" spans="1:15" x14ac:dyDescent="0.35">
      <c r="A17" s="6"/>
      <c r="B17" s="655" t="s">
        <v>56</v>
      </c>
      <c r="C17" s="697"/>
      <c r="D17" s="698"/>
      <c r="E17" s="698"/>
      <c r="F17" s="698"/>
      <c r="G17" s="701"/>
      <c r="I17" s="688"/>
      <c r="J17" s="688"/>
      <c r="K17" s="688"/>
      <c r="L17" s="688"/>
      <c r="M17" s="688"/>
      <c r="N17" s="688"/>
    </row>
    <row r="18" spans="1:15" x14ac:dyDescent="0.35">
      <c r="A18" s="6"/>
      <c r="B18" s="655" t="s">
        <v>57</v>
      </c>
      <c r="C18" s="697"/>
      <c r="D18" s="698"/>
      <c r="E18" s="698"/>
      <c r="F18" s="699"/>
      <c r="G18" s="702"/>
      <c r="I18" s="688"/>
      <c r="J18" s="688"/>
      <c r="K18" s="688"/>
      <c r="L18" s="688"/>
      <c r="M18" s="688"/>
      <c r="N18" s="688"/>
    </row>
    <row r="19" spans="1:15" ht="15" thickBot="1" x14ac:dyDescent="0.4">
      <c r="A19" s="6"/>
      <c r="B19" s="659" t="s">
        <v>58</v>
      </c>
      <c r="C19" s="703"/>
      <c r="D19" s="704"/>
      <c r="E19" s="705"/>
      <c r="F19" s="704"/>
      <c r="G19" s="706"/>
      <c r="I19" s="688"/>
      <c r="J19" s="688"/>
      <c r="K19" s="688"/>
      <c r="L19" s="688"/>
      <c r="M19" s="688"/>
      <c r="N19" s="688"/>
    </row>
    <row r="20" spans="1:15" ht="15" thickBot="1" x14ac:dyDescent="0.4">
      <c r="B20" s="707"/>
      <c r="C20" s="708">
        <f>+SUM(C8:C19)</f>
        <v>1493.0084000000002</v>
      </c>
      <c r="D20" s="708">
        <f t="shared" ref="D20:G20" si="0">+SUM(D8:D19)</f>
        <v>666.0127</v>
      </c>
      <c r="E20" s="708">
        <f t="shared" si="0"/>
        <v>855.57669999999985</v>
      </c>
      <c r="F20" s="708">
        <f t="shared" si="0"/>
        <v>1421.112749945218</v>
      </c>
      <c r="G20" s="708">
        <f t="shared" si="0"/>
        <v>1300.9355000000003</v>
      </c>
      <c r="H20" s="4"/>
      <c r="I20" s="688"/>
      <c r="J20" s="688"/>
      <c r="K20" s="688"/>
      <c r="L20" s="688"/>
      <c r="M20" s="688"/>
      <c r="N20" s="688"/>
    </row>
    <row r="22" spans="1:15" x14ac:dyDescent="0.35">
      <c r="F22" s="709"/>
    </row>
    <row r="23" spans="1:15" ht="16" thickBot="1" x14ac:dyDescent="0.4">
      <c r="C23" s="789" t="s">
        <v>184</v>
      </c>
      <c r="D23" s="789"/>
      <c r="E23" s="789"/>
      <c r="F23" s="789"/>
      <c r="G23" s="789"/>
      <c r="I23" s="787" t="s">
        <v>184</v>
      </c>
      <c r="J23" s="787"/>
      <c r="K23" s="787"/>
      <c r="L23" s="787"/>
      <c r="M23" s="787"/>
      <c r="N23" s="787"/>
      <c r="O23" s="687"/>
    </row>
    <row r="24" spans="1:15" ht="15" thickBot="1" x14ac:dyDescent="0.4">
      <c r="B24" s="24"/>
      <c r="C24" s="672" t="s">
        <v>292</v>
      </c>
      <c r="D24" s="672" t="s">
        <v>293</v>
      </c>
      <c r="E24" s="672" t="s">
        <v>294</v>
      </c>
      <c r="F24" s="672" t="s">
        <v>295</v>
      </c>
      <c r="G24" s="672" t="s">
        <v>296</v>
      </c>
      <c r="I24" s="688"/>
      <c r="J24" s="688"/>
      <c r="K24" s="688"/>
      <c r="L24" s="688"/>
      <c r="M24" s="688"/>
      <c r="N24" s="688"/>
    </row>
    <row r="25" spans="1:15" x14ac:dyDescent="0.35">
      <c r="A25" s="6"/>
      <c r="B25" s="650" t="s">
        <v>39</v>
      </c>
      <c r="C25" s="710">
        <v>12.69769</v>
      </c>
      <c r="D25" s="711">
        <v>13.250510999999999</v>
      </c>
      <c r="E25" s="711">
        <v>14.465849000000002</v>
      </c>
      <c r="F25" s="712">
        <v>15.916</v>
      </c>
      <c r="G25" s="713">
        <v>9.1419999999999995</v>
      </c>
      <c r="H25" s="4"/>
      <c r="I25" s="688"/>
      <c r="J25" s="688"/>
      <c r="K25" s="688"/>
      <c r="L25" s="688"/>
      <c r="M25" s="688"/>
      <c r="N25" s="688"/>
    </row>
    <row r="26" spans="1:15" x14ac:dyDescent="0.35">
      <c r="A26" s="6"/>
      <c r="B26" s="655" t="s">
        <v>40</v>
      </c>
      <c r="C26" s="714">
        <v>18.94698</v>
      </c>
      <c r="D26" s="715">
        <v>22.196355000000001</v>
      </c>
      <c r="E26" s="715">
        <v>28.280684999999998</v>
      </c>
      <c r="F26" s="716">
        <v>23.576000000000001</v>
      </c>
      <c r="G26" s="717">
        <v>25.175999999999998</v>
      </c>
      <c r="I26" s="688"/>
      <c r="J26" s="688"/>
      <c r="K26" s="688"/>
      <c r="L26" s="688"/>
      <c r="M26" s="688"/>
      <c r="N26" s="688"/>
    </row>
    <row r="27" spans="1:15" x14ac:dyDescent="0.35">
      <c r="A27" s="6"/>
      <c r="B27" s="655" t="s">
        <v>41</v>
      </c>
      <c r="C27" s="714">
        <v>35.594239999999999</v>
      </c>
      <c r="D27" s="715">
        <v>35.413638999999996</v>
      </c>
      <c r="E27" s="715">
        <v>26.757531999999998</v>
      </c>
      <c r="F27" s="716">
        <v>30.591999999999999</v>
      </c>
      <c r="G27" s="717">
        <v>27.878</v>
      </c>
      <c r="I27" s="688"/>
      <c r="J27" s="688"/>
      <c r="K27" s="688"/>
      <c r="L27" s="688"/>
      <c r="M27" s="688"/>
      <c r="N27" s="688"/>
    </row>
    <row r="28" spans="1:15" x14ac:dyDescent="0.35">
      <c r="A28" s="6"/>
      <c r="B28" s="655" t="s">
        <v>42</v>
      </c>
      <c r="C28" s="714">
        <v>12.83714</v>
      </c>
      <c r="D28" s="715">
        <v>13.040041</v>
      </c>
      <c r="E28" s="715">
        <v>18.214635000000001</v>
      </c>
      <c r="F28" s="716">
        <v>17.385000000000002</v>
      </c>
      <c r="G28" s="717">
        <v>18.731000000000002</v>
      </c>
      <c r="I28" s="688"/>
      <c r="J28" s="688"/>
      <c r="K28" s="688"/>
      <c r="L28" s="688"/>
      <c r="M28" s="688"/>
      <c r="N28" s="688"/>
    </row>
    <row r="29" spans="1:15" x14ac:dyDescent="0.35">
      <c r="A29" s="6"/>
      <c r="B29" s="655" t="s">
        <v>43</v>
      </c>
      <c r="C29" s="714">
        <v>17.419599999999999</v>
      </c>
      <c r="D29" s="715">
        <v>19.216601999999998</v>
      </c>
      <c r="E29" s="715">
        <v>20.514472000000001</v>
      </c>
      <c r="F29" s="716">
        <v>19.042000000000002</v>
      </c>
      <c r="G29" s="717">
        <v>21.02</v>
      </c>
      <c r="I29" s="688"/>
      <c r="J29" s="688"/>
      <c r="K29" s="688"/>
      <c r="L29" s="688"/>
      <c r="M29" s="688"/>
      <c r="N29" s="688"/>
    </row>
    <row r="30" spans="1:15" x14ac:dyDescent="0.35">
      <c r="A30" s="6"/>
      <c r="B30" s="655" t="s">
        <v>44</v>
      </c>
      <c r="C30" s="714">
        <v>12.03758</v>
      </c>
      <c r="D30" s="715">
        <v>17.429421999999999</v>
      </c>
      <c r="E30" s="715">
        <v>21.408030999999998</v>
      </c>
      <c r="F30" s="716">
        <v>22.052</v>
      </c>
      <c r="G30" s="717">
        <v>27.547000000000001</v>
      </c>
      <c r="I30" s="688"/>
      <c r="J30" s="688"/>
      <c r="K30" s="688"/>
      <c r="L30" s="688"/>
      <c r="M30" s="688"/>
      <c r="N30" s="688"/>
    </row>
    <row r="31" spans="1:15" x14ac:dyDescent="0.35">
      <c r="A31" s="6"/>
      <c r="B31" s="655" t="s">
        <v>45</v>
      </c>
      <c r="C31" s="714">
        <v>21.93187</v>
      </c>
      <c r="D31" s="715">
        <v>10.323653999999999</v>
      </c>
      <c r="E31" s="715">
        <v>23.6309</v>
      </c>
      <c r="F31" s="716">
        <v>16.635000000000002</v>
      </c>
      <c r="G31" s="717">
        <v>23.062000000000001</v>
      </c>
      <c r="I31" s="688"/>
      <c r="J31" s="688"/>
      <c r="K31" s="688"/>
      <c r="L31" s="688"/>
      <c r="M31" s="688"/>
      <c r="N31" s="688"/>
    </row>
    <row r="32" spans="1:15" x14ac:dyDescent="0.35">
      <c r="A32" s="6"/>
      <c r="B32" s="655" t="s">
        <v>46</v>
      </c>
      <c r="C32" s="714">
        <v>20.429549999999999</v>
      </c>
      <c r="D32" s="715">
        <v>14.328992999999999</v>
      </c>
      <c r="E32" s="715">
        <v>20.321337000000003</v>
      </c>
      <c r="F32" s="716">
        <v>15.276999999999999</v>
      </c>
      <c r="G32" s="717">
        <v>24.994</v>
      </c>
      <c r="I32" s="688"/>
      <c r="J32" s="688"/>
      <c r="K32" s="688"/>
      <c r="L32" s="688"/>
      <c r="M32" s="688"/>
      <c r="N32" s="688"/>
    </row>
    <row r="33" spans="1:15" x14ac:dyDescent="0.35">
      <c r="A33" s="6"/>
      <c r="B33" s="655" t="s">
        <v>55</v>
      </c>
      <c r="C33" s="714">
        <v>16.474689999999999</v>
      </c>
      <c r="D33" s="715">
        <v>16.168545000000002</v>
      </c>
      <c r="E33" s="715">
        <v>17.351096999999999</v>
      </c>
      <c r="F33" s="716">
        <v>14.541</v>
      </c>
      <c r="G33" s="717">
        <v>23.635999999999999</v>
      </c>
      <c r="I33" s="688"/>
      <c r="J33" s="688"/>
      <c r="K33" s="688"/>
      <c r="L33" s="688"/>
      <c r="M33" s="688"/>
      <c r="N33" s="688"/>
    </row>
    <row r="34" spans="1:15" x14ac:dyDescent="0.35">
      <c r="A34" s="6"/>
      <c r="B34" s="655" t="s">
        <v>56</v>
      </c>
      <c r="C34" s="714">
        <v>12.6548</v>
      </c>
      <c r="D34" s="715">
        <v>19.188001</v>
      </c>
      <c r="E34" s="715">
        <v>21.684970999999997</v>
      </c>
      <c r="F34" s="715">
        <v>13.11</v>
      </c>
      <c r="G34" s="717">
        <v>16</v>
      </c>
      <c r="I34" s="688"/>
      <c r="J34" s="688"/>
      <c r="K34" s="688"/>
      <c r="L34" s="688"/>
      <c r="M34" s="688"/>
      <c r="N34" s="688"/>
    </row>
    <row r="35" spans="1:15" x14ac:dyDescent="0.35">
      <c r="A35" s="6"/>
      <c r="B35" s="655" t="s">
        <v>57</v>
      </c>
      <c r="C35" s="714">
        <v>20.247869999999999</v>
      </c>
      <c r="D35" s="715">
        <v>14.861437000000002</v>
      </c>
      <c r="E35" s="715">
        <v>15.398775999999998</v>
      </c>
      <c r="F35" s="716">
        <v>6.7649999999999997</v>
      </c>
      <c r="G35" s="717"/>
      <c r="I35" s="688"/>
      <c r="J35" s="688"/>
      <c r="K35" s="688"/>
      <c r="L35" s="688"/>
      <c r="M35" s="688"/>
      <c r="N35" s="688"/>
    </row>
    <row r="36" spans="1:15" ht="15" thickBot="1" x14ac:dyDescent="0.4">
      <c r="A36" s="6"/>
      <c r="B36" s="659" t="s">
        <v>58</v>
      </c>
      <c r="C36" s="718">
        <v>11.521409999999999</v>
      </c>
      <c r="D36" s="719">
        <v>19.744251999999999</v>
      </c>
      <c r="E36" s="720">
        <v>15.206740000000002</v>
      </c>
      <c r="F36" s="719">
        <v>11.167999999999999</v>
      </c>
      <c r="G36" s="717"/>
      <c r="I36" s="688"/>
      <c r="J36" s="688"/>
      <c r="K36" s="688"/>
      <c r="L36" s="688"/>
      <c r="M36" s="688"/>
      <c r="N36" s="688"/>
    </row>
    <row r="37" spans="1:15" ht="15" thickBot="1" x14ac:dyDescent="0.4">
      <c r="B37" s="721"/>
      <c r="C37" s="722">
        <f>+SUM(C25:C36)</f>
        <v>212.79342000000003</v>
      </c>
      <c r="D37" s="722">
        <f t="shared" ref="D37:G37" si="1">+SUM(D25:D36)</f>
        <v>215.16145199999994</v>
      </c>
      <c r="E37" s="722">
        <f t="shared" si="1"/>
        <v>243.23502499999998</v>
      </c>
      <c r="F37" s="722">
        <f t="shared" si="1"/>
        <v>206.05899999999997</v>
      </c>
      <c r="G37" s="723">
        <f t="shared" si="1"/>
        <v>217.18600000000001</v>
      </c>
      <c r="I37" s="688"/>
      <c r="J37" s="688"/>
      <c r="K37" s="688"/>
      <c r="L37" s="688"/>
      <c r="M37" s="688"/>
      <c r="N37" s="688"/>
    </row>
    <row r="38" spans="1:15" x14ac:dyDescent="0.35">
      <c r="C38" s="16"/>
      <c r="D38" s="16"/>
      <c r="E38" s="16"/>
      <c r="F38" s="16"/>
      <c r="G38" s="16"/>
    </row>
    <row r="39" spans="1:15" x14ac:dyDescent="0.35">
      <c r="C39" s="16"/>
      <c r="D39" s="16"/>
      <c r="E39" s="16"/>
      <c r="F39" s="16"/>
      <c r="G39" s="16"/>
    </row>
    <row r="40" spans="1:15" ht="16" thickBot="1" x14ac:dyDescent="0.4">
      <c r="C40" s="786" t="s">
        <v>277</v>
      </c>
      <c r="D40" s="786"/>
      <c r="E40" s="786"/>
      <c r="F40" s="786"/>
      <c r="G40" s="786"/>
      <c r="I40" s="787" t="s">
        <v>277</v>
      </c>
      <c r="J40" s="787"/>
      <c r="K40" s="787"/>
      <c r="L40" s="787"/>
      <c r="M40" s="787"/>
      <c r="N40" s="787"/>
      <c r="O40" s="687"/>
    </row>
    <row r="41" spans="1:15" ht="15" thickBot="1" x14ac:dyDescent="0.4">
      <c r="B41" s="24"/>
      <c r="C41" s="672" t="s">
        <v>292</v>
      </c>
      <c r="D41" s="672" t="s">
        <v>293</v>
      </c>
      <c r="E41" s="672" t="s">
        <v>294</v>
      </c>
      <c r="F41" s="672" t="s">
        <v>295</v>
      </c>
      <c r="G41" s="672" t="s">
        <v>296</v>
      </c>
      <c r="I41" s="688"/>
      <c r="J41" s="688"/>
      <c r="K41" s="688"/>
      <c r="L41" s="688"/>
      <c r="M41" s="688"/>
      <c r="N41" s="688"/>
    </row>
    <row r="42" spans="1:15" x14ac:dyDescent="0.35">
      <c r="A42" s="6"/>
      <c r="B42" s="650" t="s">
        <v>39</v>
      </c>
      <c r="C42" s="710">
        <v>83.497780000000006</v>
      </c>
      <c r="D42" s="711">
        <v>88.527711999999994</v>
      </c>
      <c r="E42" s="711">
        <v>55.755136</v>
      </c>
      <c r="F42" s="712">
        <v>60.277999999999999</v>
      </c>
      <c r="G42" s="713">
        <v>77.968000000000004</v>
      </c>
      <c r="H42" s="4"/>
      <c r="I42" s="688"/>
      <c r="J42" s="688"/>
      <c r="K42" s="688"/>
      <c r="L42" s="688"/>
      <c r="M42" s="688"/>
      <c r="N42" s="688"/>
    </row>
    <row r="43" spans="1:15" x14ac:dyDescent="0.35">
      <c r="A43" s="6"/>
      <c r="B43" s="655" t="s">
        <v>40</v>
      </c>
      <c r="C43" s="714">
        <v>83.408450000000002</v>
      </c>
      <c r="D43" s="715">
        <v>67.690599000000006</v>
      </c>
      <c r="E43" s="715">
        <v>52.714599</v>
      </c>
      <c r="F43" s="716">
        <v>59.936999999999998</v>
      </c>
      <c r="G43" s="717">
        <v>72.296999999999997</v>
      </c>
      <c r="I43" s="688"/>
      <c r="J43" s="688"/>
      <c r="K43" s="688"/>
      <c r="L43" s="688"/>
      <c r="M43" s="688"/>
      <c r="N43" s="688"/>
    </row>
    <row r="44" spans="1:15" x14ac:dyDescent="0.35">
      <c r="A44" s="6"/>
      <c r="B44" s="655" t="s">
        <v>41</v>
      </c>
      <c r="C44" s="714">
        <v>81.426829999999995</v>
      </c>
      <c r="D44" s="715">
        <v>63.568779999999997</v>
      </c>
      <c r="E44" s="715">
        <v>59.829063000000005</v>
      </c>
      <c r="F44" s="716">
        <v>69.722999999999999</v>
      </c>
      <c r="G44" s="717">
        <v>72.191999999999993</v>
      </c>
      <c r="I44" s="688"/>
      <c r="J44" s="688"/>
      <c r="K44" s="688"/>
      <c r="L44" s="688"/>
      <c r="M44" s="688"/>
      <c r="N44" s="688"/>
    </row>
    <row r="45" spans="1:15" x14ac:dyDescent="0.35">
      <c r="A45" s="6"/>
      <c r="B45" s="655" t="s">
        <v>42</v>
      </c>
      <c r="C45" s="714">
        <v>73.745919999999998</v>
      </c>
      <c r="D45" s="715">
        <v>55.971190999999997</v>
      </c>
      <c r="E45" s="715">
        <v>69.545023999999998</v>
      </c>
      <c r="F45" s="716">
        <v>89.304000000000002</v>
      </c>
      <c r="G45" s="717">
        <v>79.191000000000003</v>
      </c>
      <c r="I45" s="688"/>
      <c r="J45" s="688"/>
      <c r="K45" s="688"/>
      <c r="L45" s="688"/>
      <c r="M45" s="688"/>
      <c r="N45" s="688"/>
    </row>
    <row r="46" spans="1:15" x14ac:dyDescent="0.35">
      <c r="A46" s="6"/>
      <c r="B46" s="655" t="s">
        <v>43</v>
      </c>
      <c r="C46" s="714">
        <v>88.329570000000004</v>
      </c>
      <c r="D46" s="715">
        <v>48.263340999999997</v>
      </c>
      <c r="E46" s="715">
        <v>64.995784</v>
      </c>
      <c r="F46" s="716">
        <v>90.628</v>
      </c>
      <c r="G46" s="717">
        <v>89.275999999999996</v>
      </c>
      <c r="I46" s="688"/>
      <c r="J46" s="688"/>
      <c r="K46" s="688"/>
      <c r="L46" s="688"/>
      <c r="M46" s="688"/>
      <c r="N46" s="688"/>
    </row>
    <row r="47" spans="1:15" x14ac:dyDescent="0.35">
      <c r="A47" s="6"/>
      <c r="B47" s="655" t="s">
        <v>44</v>
      </c>
      <c r="C47" s="714">
        <v>78.297970000000007</v>
      </c>
      <c r="D47" s="715">
        <v>64.195955999999995</v>
      </c>
      <c r="E47" s="715">
        <v>60.610639999999997</v>
      </c>
      <c r="F47" s="716">
        <v>96.980999999999995</v>
      </c>
      <c r="G47" s="717">
        <v>97.917000000000002</v>
      </c>
      <c r="I47" s="688"/>
      <c r="J47" s="688"/>
      <c r="K47" s="688"/>
      <c r="L47" s="688"/>
      <c r="M47" s="688"/>
      <c r="N47" s="688"/>
    </row>
    <row r="48" spans="1:15" x14ac:dyDescent="0.35">
      <c r="A48" s="6"/>
      <c r="B48" s="655" t="s">
        <v>45</v>
      </c>
      <c r="C48" s="714">
        <v>107.33327</v>
      </c>
      <c r="D48" s="715">
        <v>51.589895999999996</v>
      </c>
      <c r="E48" s="715">
        <v>74.409193999999999</v>
      </c>
      <c r="F48" s="716">
        <v>98.778000000000006</v>
      </c>
      <c r="G48" s="717">
        <v>86.625</v>
      </c>
      <c r="I48" s="688"/>
      <c r="J48" s="688"/>
      <c r="K48" s="688"/>
      <c r="L48" s="688"/>
      <c r="M48" s="688"/>
      <c r="N48" s="688"/>
    </row>
    <row r="49" spans="1:15" x14ac:dyDescent="0.35">
      <c r="A49" s="6"/>
      <c r="B49" s="655" t="s">
        <v>46</v>
      </c>
      <c r="C49" s="714">
        <v>117.81834000000001</v>
      </c>
      <c r="D49" s="715">
        <v>68.252665999999991</v>
      </c>
      <c r="E49" s="715">
        <v>72.284805000000006</v>
      </c>
      <c r="F49" s="716">
        <v>99.323999999999998</v>
      </c>
      <c r="G49" s="717">
        <v>85.094999999999999</v>
      </c>
      <c r="I49" s="688"/>
      <c r="J49" s="688"/>
      <c r="K49" s="688"/>
      <c r="L49" s="688"/>
      <c r="M49" s="688"/>
      <c r="N49" s="688"/>
    </row>
    <row r="50" spans="1:15" x14ac:dyDescent="0.35">
      <c r="A50" s="6"/>
      <c r="B50" s="655" t="s">
        <v>55</v>
      </c>
      <c r="C50" s="714">
        <v>103.44632</v>
      </c>
      <c r="D50" s="715">
        <v>65.064920000000001</v>
      </c>
      <c r="E50" s="715">
        <v>66.577892000000006</v>
      </c>
      <c r="F50" s="716">
        <v>94.483000000000004</v>
      </c>
      <c r="G50" s="717">
        <v>83.879000000000005</v>
      </c>
      <c r="I50" s="688"/>
      <c r="J50" s="688"/>
      <c r="K50" s="688"/>
      <c r="L50" s="688"/>
      <c r="M50" s="688"/>
      <c r="N50" s="688"/>
    </row>
    <row r="51" spans="1:15" x14ac:dyDescent="0.35">
      <c r="A51" s="6"/>
      <c r="B51" s="655" t="s">
        <v>56</v>
      </c>
      <c r="C51" s="714">
        <v>90.426969999999997</v>
      </c>
      <c r="D51" s="715">
        <v>58.873540999999996</v>
      </c>
      <c r="E51" s="715">
        <v>59.465797999999999</v>
      </c>
      <c r="F51" s="715">
        <v>110.997</v>
      </c>
      <c r="G51" s="717">
        <v>89</v>
      </c>
      <c r="I51" s="688"/>
      <c r="J51" s="688"/>
      <c r="K51" s="688"/>
      <c r="L51" s="688"/>
      <c r="M51" s="688"/>
      <c r="N51" s="688"/>
    </row>
    <row r="52" spans="1:15" x14ac:dyDescent="0.35">
      <c r="A52" s="6"/>
      <c r="B52" s="655" t="s">
        <v>57</v>
      </c>
      <c r="C52" s="714">
        <v>83.145229999999998</v>
      </c>
      <c r="D52" s="715">
        <v>48.126509000000006</v>
      </c>
      <c r="E52" s="715">
        <v>55.070331999999993</v>
      </c>
      <c r="F52" s="716">
        <v>76.051000000000002</v>
      </c>
      <c r="G52" s="717"/>
      <c r="I52" s="688"/>
      <c r="J52" s="688"/>
      <c r="K52" s="688"/>
      <c r="L52" s="688"/>
      <c r="M52" s="688"/>
      <c r="N52" s="688"/>
    </row>
    <row r="53" spans="1:15" ht="15" thickBot="1" x14ac:dyDescent="0.4">
      <c r="A53" s="6"/>
      <c r="B53" s="659" t="s">
        <v>58</v>
      </c>
      <c r="C53" s="718">
        <v>89.365840000000006</v>
      </c>
      <c r="D53" s="719">
        <v>58.72625</v>
      </c>
      <c r="E53" s="720">
        <v>69.067084000000008</v>
      </c>
      <c r="F53" s="719">
        <v>95.087000000000003</v>
      </c>
      <c r="G53" s="717"/>
      <c r="I53" s="688"/>
      <c r="J53" s="688"/>
      <c r="K53" s="688"/>
      <c r="L53" s="688"/>
      <c r="M53" s="688"/>
      <c r="N53" s="688"/>
    </row>
    <row r="54" spans="1:15" ht="15" thickBot="1" x14ac:dyDescent="0.4">
      <c r="B54" s="721"/>
      <c r="C54" s="722">
        <f>+SUM(C42:C53)</f>
        <v>1080.2424900000001</v>
      </c>
      <c r="D54" s="722">
        <f t="shared" ref="D54:G54" si="2">+SUM(D42:D53)</f>
        <v>738.85136100000011</v>
      </c>
      <c r="E54" s="722">
        <f t="shared" si="2"/>
        <v>760.32535099999996</v>
      </c>
      <c r="F54" s="722">
        <f t="shared" si="2"/>
        <v>1041.5709999999999</v>
      </c>
      <c r="G54" s="723">
        <f t="shared" si="2"/>
        <v>833.44</v>
      </c>
      <c r="I54" s="688"/>
      <c r="J54" s="688"/>
      <c r="K54" s="688"/>
      <c r="L54" s="688"/>
      <c r="M54" s="688"/>
      <c r="N54" s="688"/>
    </row>
    <row r="55" spans="1:15" x14ac:dyDescent="0.35">
      <c r="C55" s="16"/>
      <c r="D55" s="16"/>
      <c r="E55" s="16"/>
      <c r="F55" s="16"/>
      <c r="G55" s="16"/>
    </row>
    <row r="56" spans="1:15" x14ac:dyDescent="0.35">
      <c r="C56" s="16"/>
      <c r="D56" s="16"/>
      <c r="E56" s="16"/>
      <c r="F56" s="16"/>
      <c r="G56" s="16"/>
    </row>
    <row r="57" spans="1:15" ht="16" thickBot="1" x14ac:dyDescent="0.4">
      <c r="C57" s="790" t="s">
        <v>297</v>
      </c>
      <c r="D57" s="790"/>
      <c r="E57" s="790"/>
      <c r="F57" s="790"/>
      <c r="G57" s="790"/>
      <c r="I57" s="787" t="s">
        <v>297</v>
      </c>
      <c r="J57" s="787"/>
      <c r="K57" s="787"/>
      <c r="L57" s="787"/>
      <c r="M57" s="787"/>
      <c r="N57" s="787"/>
      <c r="O57" s="687"/>
    </row>
    <row r="58" spans="1:15" ht="15" thickBot="1" x14ac:dyDescent="0.4">
      <c r="B58" s="24"/>
      <c r="C58" s="672" t="s">
        <v>292</v>
      </c>
      <c r="D58" s="672" t="s">
        <v>293</v>
      </c>
      <c r="E58" s="672" t="s">
        <v>294</v>
      </c>
      <c r="F58" s="672" t="s">
        <v>295</v>
      </c>
      <c r="G58" s="672" t="s">
        <v>296</v>
      </c>
      <c r="I58" s="688"/>
      <c r="J58" s="688"/>
      <c r="K58" s="688"/>
      <c r="L58" s="688"/>
      <c r="M58" s="688"/>
      <c r="N58" s="688"/>
    </row>
    <row r="59" spans="1:15" x14ac:dyDescent="0.35">
      <c r="A59" s="6"/>
      <c r="B59" s="650" t="s">
        <v>39</v>
      </c>
      <c r="C59" s="710">
        <v>39.580289999999991</v>
      </c>
      <c r="D59" s="711">
        <v>42.192538999999968</v>
      </c>
      <c r="E59" s="711">
        <v>25.320353000000004</v>
      </c>
      <c r="F59" s="712">
        <v>38.408901540294202</v>
      </c>
      <c r="G59" s="713">
        <v>37.725166850769099</v>
      </c>
      <c r="H59" s="4"/>
      <c r="I59" s="688"/>
      <c r="J59" s="688"/>
      <c r="K59" s="688"/>
      <c r="L59" s="688"/>
      <c r="M59" s="688"/>
      <c r="N59" s="688"/>
    </row>
    <row r="60" spans="1:15" x14ac:dyDescent="0.35">
      <c r="A60" s="6"/>
      <c r="B60" s="655" t="s">
        <v>40</v>
      </c>
      <c r="C60" s="714">
        <v>47.737710000000106</v>
      </c>
      <c r="D60" s="715">
        <v>39.500586000000069</v>
      </c>
      <c r="E60" s="715">
        <v>46.902145999999981</v>
      </c>
      <c r="F60" s="716">
        <v>40.438747368009544</v>
      </c>
      <c r="G60" s="717">
        <v>46.12420188141212</v>
      </c>
      <c r="I60" s="688"/>
      <c r="J60" s="688"/>
      <c r="K60" s="688"/>
      <c r="L60" s="688"/>
      <c r="M60" s="688"/>
      <c r="N60" s="688"/>
    </row>
    <row r="61" spans="1:15" x14ac:dyDescent="0.35">
      <c r="A61" s="6"/>
      <c r="B61" s="655" t="s">
        <v>41</v>
      </c>
      <c r="C61" s="714">
        <v>51.740049999999883</v>
      </c>
      <c r="D61" s="715">
        <v>23.514308999999976</v>
      </c>
      <c r="E61" s="715">
        <v>37.019948999999897</v>
      </c>
      <c r="F61" s="716">
        <v>54.225039957053212</v>
      </c>
      <c r="G61" s="717">
        <v>46.919312737470037</v>
      </c>
      <c r="I61" s="688"/>
      <c r="J61" s="688"/>
      <c r="K61" s="688"/>
      <c r="L61" s="688"/>
      <c r="M61" s="688"/>
      <c r="N61" s="688"/>
    </row>
    <row r="62" spans="1:15" x14ac:dyDescent="0.35">
      <c r="A62" s="6"/>
      <c r="B62" s="655" t="s">
        <v>42</v>
      </c>
      <c r="C62" s="714">
        <v>54.079529999999977</v>
      </c>
      <c r="D62" s="715">
        <v>14.338199999999894</v>
      </c>
      <c r="E62" s="715">
        <v>38.703651000000164</v>
      </c>
      <c r="F62" s="716">
        <v>49.430284128360796</v>
      </c>
      <c r="G62" s="717">
        <v>41.017115359283281</v>
      </c>
      <c r="I62" s="688"/>
      <c r="J62" s="688"/>
      <c r="K62" s="688"/>
      <c r="L62" s="688"/>
      <c r="M62" s="688"/>
      <c r="N62" s="688"/>
    </row>
    <row r="63" spans="1:15" x14ac:dyDescent="0.35">
      <c r="A63" s="6"/>
      <c r="B63" s="655" t="s">
        <v>43</v>
      </c>
      <c r="C63" s="714">
        <v>44.300939999999855</v>
      </c>
      <c r="D63" s="715">
        <v>30.050971000000089</v>
      </c>
      <c r="E63" s="715">
        <v>31.149568000000116</v>
      </c>
      <c r="F63" s="716">
        <v>40.568916641591116</v>
      </c>
      <c r="G63" s="717">
        <v>45.61591451636771</v>
      </c>
      <c r="I63" s="688"/>
      <c r="J63" s="688"/>
      <c r="K63" s="688"/>
      <c r="L63" s="688"/>
      <c r="M63" s="688"/>
      <c r="N63" s="688"/>
    </row>
    <row r="64" spans="1:15" x14ac:dyDescent="0.35">
      <c r="A64" s="6"/>
      <c r="B64" s="655" t="s">
        <v>44</v>
      </c>
      <c r="C64" s="714">
        <v>70.669459999999845</v>
      </c>
      <c r="D64" s="715">
        <v>30.523865999999913</v>
      </c>
      <c r="E64" s="715">
        <v>29.476640999999852</v>
      </c>
      <c r="F64" s="716">
        <v>43.606513839920041</v>
      </c>
      <c r="G64" s="717">
        <v>48.161457483305782</v>
      </c>
      <c r="I64" s="688"/>
      <c r="J64" s="688"/>
      <c r="K64" s="688"/>
      <c r="L64" s="688"/>
      <c r="M64" s="688"/>
      <c r="N64" s="688"/>
    </row>
    <row r="65" spans="1:15" x14ac:dyDescent="0.35">
      <c r="A65" s="6"/>
      <c r="B65" s="655" t="s">
        <v>45</v>
      </c>
      <c r="C65" s="714">
        <v>56.208309999999756</v>
      </c>
      <c r="D65" s="715">
        <v>21.662618000000137</v>
      </c>
      <c r="E65" s="715">
        <v>33.780936000000068</v>
      </c>
      <c r="F65" s="716">
        <v>35.672966110545204</v>
      </c>
      <c r="G65" s="717">
        <v>32.422952344741702</v>
      </c>
      <c r="I65" s="688"/>
      <c r="J65" s="688"/>
      <c r="K65" s="688"/>
      <c r="L65" s="688"/>
      <c r="M65" s="688"/>
      <c r="N65" s="688"/>
    </row>
    <row r="66" spans="1:15" x14ac:dyDescent="0.35">
      <c r="A66" s="6"/>
      <c r="B66" s="655" t="s">
        <v>46</v>
      </c>
      <c r="C66" s="714">
        <v>40.9214300000001</v>
      </c>
      <c r="D66" s="715">
        <v>24.30773699999996</v>
      </c>
      <c r="E66" s="715">
        <v>33.620891999999913</v>
      </c>
      <c r="F66" s="716">
        <v>36.885763834672744</v>
      </c>
      <c r="G66" s="717">
        <v>30.781538826650518</v>
      </c>
      <c r="I66" s="688"/>
      <c r="J66" s="688"/>
      <c r="K66" s="688"/>
      <c r="L66" s="688"/>
      <c r="M66" s="688"/>
      <c r="N66" s="688"/>
    </row>
    <row r="67" spans="1:15" x14ac:dyDescent="0.35">
      <c r="A67" s="6"/>
      <c r="B67" s="655" t="s">
        <v>55</v>
      </c>
      <c r="C67" s="714">
        <v>53.415010000000166</v>
      </c>
      <c r="D67" s="715">
        <v>26.220445000000069</v>
      </c>
      <c r="E67" s="715">
        <v>26.832244999999958</v>
      </c>
      <c r="F67" s="716">
        <v>37.955560000000105</v>
      </c>
      <c r="G67" s="717">
        <v>34.923590000000004</v>
      </c>
      <c r="I67" s="688"/>
      <c r="J67" s="688"/>
      <c r="K67" s="688"/>
      <c r="L67" s="688"/>
      <c r="M67" s="688"/>
      <c r="N67" s="688"/>
    </row>
    <row r="68" spans="1:15" x14ac:dyDescent="0.35">
      <c r="A68" s="6"/>
      <c r="B68" s="655" t="s">
        <v>56</v>
      </c>
      <c r="C68" s="714">
        <v>33.554689999999937</v>
      </c>
      <c r="D68" s="715">
        <v>33.425129999999903</v>
      </c>
      <c r="E68" s="715">
        <v>34.862613000000017</v>
      </c>
      <c r="F68" s="715">
        <v>37.736179999999948</v>
      </c>
      <c r="G68" s="717">
        <v>41.375130000000013</v>
      </c>
      <c r="I68" s="688"/>
      <c r="J68" s="688"/>
      <c r="K68" s="688"/>
      <c r="L68" s="688"/>
      <c r="M68" s="688"/>
      <c r="N68" s="688"/>
    </row>
    <row r="69" spans="1:15" x14ac:dyDescent="0.35">
      <c r="A69" s="6"/>
      <c r="B69" s="655" t="s">
        <v>57</v>
      </c>
      <c r="C69" s="714">
        <v>53.860740000000078</v>
      </c>
      <c r="D69" s="715">
        <v>29.022998000000023</v>
      </c>
      <c r="E69" s="715">
        <v>30.873044000000007</v>
      </c>
      <c r="F69" s="716">
        <v>35.512659999999983</v>
      </c>
      <c r="G69" s="717"/>
      <c r="I69" s="688"/>
      <c r="J69" s="688"/>
      <c r="K69" s="688"/>
      <c r="L69" s="688"/>
      <c r="M69" s="688"/>
      <c r="N69" s="688"/>
    </row>
    <row r="70" spans="1:15" ht="15" thickBot="1" x14ac:dyDescent="0.4">
      <c r="A70" s="6"/>
      <c r="B70" s="659" t="s">
        <v>58</v>
      </c>
      <c r="C70" s="718">
        <v>48.50745999999998</v>
      </c>
      <c r="D70" s="719">
        <v>33.929872000000039</v>
      </c>
      <c r="E70" s="720">
        <v>31.315436000000048</v>
      </c>
      <c r="F70" s="719">
        <v>32.33750000000002</v>
      </c>
      <c r="G70" s="717"/>
      <c r="I70" s="688"/>
      <c r="J70" s="688"/>
      <c r="K70" s="688"/>
      <c r="L70" s="688"/>
      <c r="M70" s="688"/>
      <c r="N70" s="688"/>
    </row>
    <row r="71" spans="1:15" ht="15" thickBot="1" x14ac:dyDescent="0.4">
      <c r="B71" s="721"/>
      <c r="C71" s="722">
        <f>+SUM(C59:C70)</f>
        <v>594.57561999999962</v>
      </c>
      <c r="D71" s="722">
        <f t="shared" ref="D71:G71" si="3">+SUM(D59:D70)</f>
        <v>348.68927100000002</v>
      </c>
      <c r="E71" s="722">
        <f t="shared" si="3"/>
        <v>399.85747399999997</v>
      </c>
      <c r="F71" s="722">
        <f t="shared" si="3"/>
        <v>482.77903342044692</v>
      </c>
      <c r="G71" s="723">
        <f t="shared" si="3"/>
        <v>405.06638000000021</v>
      </c>
      <c r="I71" s="688"/>
      <c r="J71" s="688"/>
      <c r="K71" s="688"/>
      <c r="L71" s="688"/>
      <c r="M71" s="688"/>
      <c r="N71" s="688"/>
    </row>
    <row r="72" spans="1:15" x14ac:dyDescent="0.35">
      <c r="C72" s="16"/>
      <c r="D72" s="16"/>
      <c r="E72" s="16"/>
      <c r="F72" s="16"/>
      <c r="G72" s="16"/>
    </row>
    <row r="73" spans="1:15" x14ac:dyDescent="0.35">
      <c r="C73" s="16"/>
      <c r="D73" s="16"/>
      <c r="E73" s="16"/>
      <c r="F73" s="16"/>
      <c r="G73" s="289"/>
    </row>
    <row r="74" spans="1:15" ht="16" thickBot="1" x14ac:dyDescent="0.4">
      <c r="C74" s="786" t="s">
        <v>298</v>
      </c>
      <c r="D74" s="786"/>
      <c r="E74" s="786"/>
      <c r="F74" s="786"/>
      <c r="G74" s="786"/>
      <c r="I74" s="787" t="s">
        <v>298</v>
      </c>
      <c r="J74" s="787"/>
      <c r="K74" s="787"/>
      <c r="L74" s="787"/>
      <c r="M74" s="787"/>
      <c r="N74" s="787"/>
      <c r="O74" s="687"/>
    </row>
    <row r="75" spans="1:15" ht="15" thickBot="1" x14ac:dyDescent="0.4">
      <c r="B75" s="24"/>
      <c r="C75" s="672" t="s">
        <v>292</v>
      </c>
      <c r="D75" s="672" t="s">
        <v>293</v>
      </c>
      <c r="E75" s="672" t="s">
        <v>294</v>
      </c>
      <c r="F75" s="672" t="s">
        <v>295</v>
      </c>
      <c r="G75" s="672" t="s">
        <v>296</v>
      </c>
      <c r="I75" s="688"/>
      <c r="J75" s="688"/>
      <c r="K75" s="688"/>
      <c r="L75" s="688"/>
      <c r="M75" s="688"/>
      <c r="N75" s="688"/>
    </row>
    <row r="76" spans="1:15" x14ac:dyDescent="0.35">
      <c r="A76" s="6"/>
      <c r="B76" s="650" t="s">
        <v>39</v>
      </c>
      <c r="C76" s="710">
        <v>123.07807</v>
      </c>
      <c r="D76" s="711">
        <v>130.72025099999996</v>
      </c>
      <c r="E76" s="711">
        <v>81.075489000000005</v>
      </c>
      <c r="F76" s="712">
        <v>98.686901540294201</v>
      </c>
      <c r="G76" s="713">
        <v>115.6931668507691</v>
      </c>
      <c r="H76" s="4"/>
      <c r="I76" s="688"/>
      <c r="J76" s="688"/>
      <c r="K76" s="688"/>
      <c r="L76" s="688"/>
      <c r="M76" s="688"/>
      <c r="N76" s="688"/>
    </row>
    <row r="77" spans="1:15" x14ac:dyDescent="0.35">
      <c r="A77" s="6"/>
      <c r="B77" s="655" t="s">
        <v>40</v>
      </c>
      <c r="C77" s="714">
        <v>131.14616000000012</v>
      </c>
      <c r="D77" s="715">
        <v>107.19118500000008</v>
      </c>
      <c r="E77" s="715">
        <v>99.61674499999998</v>
      </c>
      <c r="F77" s="716">
        <v>100.37574736800954</v>
      </c>
      <c r="G77" s="717">
        <v>118.42120188141212</v>
      </c>
      <c r="I77" s="688"/>
      <c r="J77" s="688"/>
      <c r="K77" s="688"/>
      <c r="L77" s="688"/>
      <c r="M77" s="688"/>
      <c r="N77" s="688"/>
    </row>
    <row r="78" spans="1:15" x14ac:dyDescent="0.35">
      <c r="A78" s="6"/>
      <c r="B78" s="655" t="s">
        <v>41</v>
      </c>
      <c r="C78" s="714">
        <v>133.16687999999988</v>
      </c>
      <c r="D78" s="715">
        <v>87.083088999999973</v>
      </c>
      <c r="E78" s="715">
        <v>96.849011999999902</v>
      </c>
      <c r="F78" s="716">
        <v>123.94803995705321</v>
      </c>
      <c r="G78" s="717">
        <v>119.11131273747003</v>
      </c>
      <c r="I78" s="688"/>
      <c r="J78" s="688"/>
      <c r="K78" s="688"/>
      <c r="L78" s="688"/>
      <c r="M78" s="688"/>
      <c r="N78" s="688"/>
    </row>
    <row r="79" spans="1:15" x14ac:dyDescent="0.35">
      <c r="A79" s="6"/>
      <c r="B79" s="655" t="s">
        <v>42</v>
      </c>
      <c r="C79" s="714">
        <v>127.82544999999998</v>
      </c>
      <c r="D79" s="715">
        <v>70.309390999999891</v>
      </c>
      <c r="E79" s="715">
        <v>108.24867500000016</v>
      </c>
      <c r="F79" s="716">
        <v>138.7342841283608</v>
      </c>
      <c r="G79" s="717">
        <v>120.20811535928328</v>
      </c>
      <c r="I79" s="688"/>
      <c r="J79" s="688"/>
      <c r="K79" s="688"/>
      <c r="L79" s="688"/>
      <c r="M79" s="688"/>
      <c r="N79" s="688"/>
    </row>
    <row r="80" spans="1:15" x14ac:dyDescent="0.35">
      <c r="A80" s="6"/>
      <c r="B80" s="655" t="s">
        <v>43</v>
      </c>
      <c r="C80" s="714">
        <v>132.63050999999984</v>
      </c>
      <c r="D80" s="715">
        <v>78.314312000000086</v>
      </c>
      <c r="E80" s="715">
        <v>96.145352000000116</v>
      </c>
      <c r="F80" s="716">
        <v>131.19691664159112</v>
      </c>
      <c r="G80" s="717">
        <v>134.89191451636771</v>
      </c>
      <c r="I80" s="688"/>
      <c r="J80" s="688"/>
      <c r="K80" s="688"/>
      <c r="L80" s="688"/>
      <c r="M80" s="688"/>
      <c r="N80" s="688"/>
    </row>
    <row r="81" spans="1:14" x14ac:dyDescent="0.35">
      <c r="A81" s="6"/>
      <c r="B81" s="655" t="s">
        <v>44</v>
      </c>
      <c r="C81" s="714">
        <v>148.96742999999987</v>
      </c>
      <c r="D81" s="715">
        <v>94.719821999999908</v>
      </c>
      <c r="E81" s="715">
        <v>90.087280999999848</v>
      </c>
      <c r="F81" s="716">
        <v>140.58751383992004</v>
      </c>
      <c r="G81" s="717">
        <v>146.07845748330578</v>
      </c>
      <c r="I81" s="688"/>
      <c r="J81" s="688"/>
      <c r="K81" s="688"/>
      <c r="L81" s="688"/>
      <c r="M81" s="688"/>
      <c r="N81" s="688"/>
    </row>
    <row r="82" spans="1:14" x14ac:dyDescent="0.35">
      <c r="A82" s="6"/>
      <c r="B82" s="655" t="s">
        <v>45</v>
      </c>
      <c r="C82" s="714">
        <v>163.54157999999975</v>
      </c>
      <c r="D82" s="715">
        <v>73.252514000000133</v>
      </c>
      <c r="E82" s="715">
        <v>108.19013000000007</v>
      </c>
      <c r="F82" s="716">
        <v>134.45096611054521</v>
      </c>
      <c r="G82" s="717">
        <v>119.0479523447417</v>
      </c>
      <c r="I82" s="688"/>
      <c r="J82" s="688"/>
      <c r="K82" s="688"/>
      <c r="L82" s="688"/>
      <c r="M82" s="688"/>
      <c r="N82" s="688"/>
    </row>
    <row r="83" spans="1:14" x14ac:dyDescent="0.35">
      <c r="A83" s="6"/>
      <c r="B83" s="655" t="s">
        <v>46</v>
      </c>
      <c r="C83" s="714">
        <v>158.73977000000011</v>
      </c>
      <c r="D83" s="715">
        <v>92.560402999999951</v>
      </c>
      <c r="E83" s="715">
        <v>105.90569699999992</v>
      </c>
      <c r="F83" s="716">
        <v>136.20976383467274</v>
      </c>
      <c r="G83" s="717">
        <v>115.87653882665052</v>
      </c>
      <c r="I83" s="688"/>
      <c r="J83" s="688"/>
      <c r="K83" s="688"/>
      <c r="L83" s="688"/>
      <c r="M83" s="688"/>
      <c r="N83" s="688"/>
    </row>
    <row r="84" spans="1:14" x14ac:dyDescent="0.35">
      <c r="A84" s="6"/>
      <c r="B84" s="655" t="s">
        <v>55</v>
      </c>
      <c r="C84" s="714">
        <v>156.86133000000018</v>
      </c>
      <c r="D84" s="715">
        <v>91.28536500000007</v>
      </c>
      <c r="E84" s="715">
        <v>93.410136999999963</v>
      </c>
      <c r="F84" s="716">
        <v>132.43856000000011</v>
      </c>
      <c r="G84" s="717">
        <v>118.80259000000001</v>
      </c>
      <c r="I84" s="688"/>
      <c r="J84" s="688"/>
      <c r="K84" s="688"/>
      <c r="L84" s="688"/>
      <c r="M84" s="688"/>
      <c r="N84" s="688"/>
    </row>
    <row r="85" spans="1:14" x14ac:dyDescent="0.35">
      <c r="A85" s="6"/>
      <c r="B85" s="655" t="s">
        <v>56</v>
      </c>
      <c r="C85" s="714">
        <v>123.98165999999993</v>
      </c>
      <c r="D85" s="715">
        <v>92.298670999999899</v>
      </c>
      <c r="E85" s="715">
        <v>94.328411000000017</v>
      </c>
      <c r="F85" s="715">
        <v>148.73317999999995</v>
      </c>
      <c r="G85" s="717">
        <v>130.37513000000001</v>
      </c>
      <c r="I85" s="688"/>
      <c r="J85" s="688"/>
      <c r="K85" s="688"/>
      <c r="L85" s="688"/>
      <c r="M85" s="688"/>
      <c r="N85" s="688"/>
    </row>
    <row r="86" spans="1:14" x14ac:dyDescent="0.35">
      <c r="A86" s="6"/>
      <c r="B86" s="655" t="s">
        <v>57</v>
      </c>
      <c r="C86" s="714">
        <v>137.00597000000008</v>
      </c>
      <c r="D86" s="715">
        <v>77.149507000000028</v>
      </c>
      <c r="E86" s="715">
        <v>85.943376000000001</v>
      </c>
      <c r="F86" s="716">
        <v>111.56365999999998</v>
      </c>
      <c r="G86" s="717"/>
      <c r="I86" s="688"/>
      <c r="J86" s="688"/>
      <c r="K86" s="688"/>
      <c r="L86" s="688"/>
      <c r="M86" s="688"/>
      <c r="N86" s="688"/>
    </row>
    <row r="87" spans="1:14" ht="15" thickBot="1" x14ac:dyDescent="0.4">
      <c r="A87" s="6"/>
      <c r="B87" s="659" t="s">
        <v>58</v>
      </c>
      <c r="C87" s="718">
        <v>137.87329999999997</v>
      </c>
      <c r="D87" s="719">
        <v>92.656122000000039</v>
      </c>
      <c r="E87" s="720">
        <v>100.38252000000006</v>
      </c>
      <c r="F87" s="719">
        <v>127.42450000000002</v>
      </c>
      <c r="G87" s="717"/>
      <c r="I87" s="688"/>
      <c r="J87" s="688"/>
      <c r="K87" s="688"/>
      <c r="L87" s="688"/>
      <c r="M87" s="688"/>
      <c r="N87" s="688"/>
    </row>
    <row r="88" spans="1:14" ht="15" thickBot="1" x14ac:dyDescent="0.4">
      <c r="B88" s="721"/>
      <c r="C88" s="722">
        <f>+SUM(C76:C87)</f>
        <v>1674.8181099999997</v>
      </c>
      <c r="D88" s="722">
        <f t="shared" ref="D88:G88" si="4">+SUM(D76:D87)</f>
        <v>1087.540632</v>
      </c>
      <c r="E88" s="722">
        <f t="shared" si="4"/>
        <v>1160.1828250000001</v>
      </c>
      <c r="F88" s="722">
        <f t="shared" si="4"/>
        <v>1524.3500334204468</v>
      </c>
      <c r="G88" s="723">
        <f t="shared" si="4"/>
        <v>1238.5063800000003</v>
      </c>
      <c r="I88" s="688"/>
      <c r="J88" s="688"/>
      <c r="K88" s="688"/>
      <c r="L88" s="688"/>
      <c r="M88" s="688"/>
      <c r="N88" s="688"/>
    </row>
    <row r="90" spans="1:14" ht="15.5" x14ac:dyDescent="0.35">
      <c r="B90" s="791" t="s">
        <v>119</v>
      </c>
      <c r="C90" s="791"/>
      <c r="D90" s="791"/>
      <c r="E90" s="791"/>
      <c r="F90" s="791"/>
      <c r="G90" s="791"/>
      <c r="H90" s="791"/>
      <c r="I90" s="791"/>
      <c r="J90" s="791"/>
      <c r="K90" s="791"/>
      <c r="L90" s="791"/>
      <c r="M90" s="791"/>
      <c r="N90" s="791"/>
    </row>
  </sheetData>
  <mergeCells count="12">
    <mergeCell ref="C57:G57"/>
    <mergeCell ref="I57:N57"/>
    <mergeCell ref="C74:G74"/>
    <mergeCell ref="I74:N74"/>
    <mergeCell ref="B90:N90"/>
    <mergeCell ref="C40:G40"/>
    <mergeCell ref="I40:N40"/>
    <mergeCell ref="D2:L4"/>
    <mergeCell ref="C6:G6"/>
    <mergeCell ref="I6:N6"/>
    <mergeCell ref="C23:G23"/>
    <mergeCell ref="I23:N23"/>
  </mergeCells>
  <conditionalFormatting sqref="G25:G36">
    <cfRule type="expression" dxfId="22" priority="7" stopIfTrue="1">
      <formula>ISNA(G25)</formula>
    </cfRule>
    <cfRule type="expression" dxfId="21" priority="8" stopIfTrue="1">
      <formula>AND(ISNUMBER(G25), G25&gt;0, G25&gt;0, ROW(G25)=MAX(IF(ISNUMBER($G$25:$G$36), ROW($G$25:$G$36))))</formula>
    </cfRule>
  </conditionalFormatting>
  <conditionalFormatting sqref="G42:G53">
    <cfRule type="expression" dxfId="20" priority="5" stopIfTrue="1">
      <formula>ISNA(G42)</formula>
    </cfRule>
    <cfRule type="expression" dxfId="19" priority="6" stopIfTrue="1">
      <formula>AND(ISNUMBER(G42), G42&gt;0, G42&gt;0, ROW(G42)=MAX(IF(ISNUMBER($G$42:$G$53), ROW($G$42:$G$53))))</formula>
    </cfRule>
  </conditionalFormatting>
  <conditionalFormatting sqref="G59:G70">
    <cfRule type="expression" dxfId="18" priority="3" stopIfTrue="1">
      <formula>ISNA(G59)</formula>
    </cfRule>
    <cfRule type="expression" dxfId="17" priority="4" stopIfTrue="1">
      <formula>AND(ISNUMBER(G59), G59&gt;0, G59&gt;0, ROW(G59)=MAX(IF(ISNUMBER($G$59:$G$70), ROW($G$59:$G$70))))</formula>
    </cfRule>
  </conditionalFormatting>
  <conditionalFormatting sqref="G76:G87">
    <cfRule type="expression" dxfId="16" priority="1" stopIfTrue="1">
      <formula>ISNA(G76)</formula>
    </cfRule>
    <cfRule type="expression" dxfId="15" priority="2" stopIfTrue="1">
      <formula>AND(ISNUMBER(G76), G76&gt;0, G76&gt;0, ROW(G76)=MAX(IF(ISNUMBER($G$76:$G$87), ROW($G$76:$G$87))))</formula>
    </cfRule>
  </conditionalFormatting>
  <pageMargins left="0.70866141732283472" right="0.70866141732283472" top="0.74803149606299213" bottom="0.74803149606299213" header="0.31496062992125984" footer="0.31496062992125984"/>
  <pageSetup paperSize="9" scale="50" orientation="portrait" r:id="rId1"/>
  <headerFooter>
    <oddHeader>&amp;L&amp;G&amp;RCAMPAÑA: 2025/2026. MES: JULIO
Fecha de emisión de datos: 25/08/2026</oddHeader>
  </headerFooter>
  <drawing r:id="rId2"/>
  <legacyDrawingHF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2CE6D2-8E44-4A93-975C-430E308A372C}">
  <dimension ref="D2:Q56"/>
  <sheetViews>
    <sheetView view="pageLayout" topLeftCell="E36" zoomScale="70" zoomScaleNormal="70" zoomScalePageLayoutView="70" workbookViewId="0">
      <selection activeCell="J42" sqref="J42:J51"/>
    </sheetView>
  </sheetViews>
  <sheetFormatPr baseColWidth="10" defaultColWidth="11.453125" defaultRowHeight="14.5" x14ac:dyDescent="0.35"/>
  <cols>
    <col min="3" max="3" width="11.453125" customWidth="1"/>
    <col min="11" max="11" width="11.7265625" customWidth="1"/>
    <col min="12" max="12" width="14.1796875" customWidth="1"/>
    <col min="16" max="16" width="13" customWidth="1"/>
    <col min="17" max="17" width="13.26953125" customWidth="1"/>
  </cols>
  <sheetData>
    <row r="2" spans="4:17" ht="15" customHeight="1" x14ac:dyDescent="0.35">
      <c r="G2" s="761" t="s">
        <v>299</v>
      </c>
      <c r="H2" s="761"/>
      <c r="I2" s="761"/>
      <c r="J2" s="761"/>
      <c r="K2" s="761"/>
      <c r="L2" s="761"/>
      <c r="M2" s="761"/>
      <c r="N2" s="761"/>
      <c r="O2" s="761"/>
    </row>
    <row r="3" spans="4:17" ht="15" customHeight="1" x14ac:dyDescent="0.35">
      <c r="G3" s="761"/>
      <c r="H3" s="761"/>
      <c r="I3" s="761"/>
      <c r="J3" s="761"/>
      <c r="K3" s="761"/>
      <c r="L3" s="761"/>
      <c r="M3" s="761"/>
      <c r="N3" s="761"/>
      <c r="O3" s="761"/>
    </row>
    <row r="4" spans="4:17" ht="24.75" customHeight="1" x14ac:dyDescent="0.35">
      <c r="G4" s="761"/>
      <c r="H4" s="761"/>
      <c r="I4" s="761"/>
      <c r="J4" s="761"/>
      <c r="K4" s="761"/>
      <c r="L4" s="761"/>
      <c r="M4" s="761"/>
      <c r="N4" s="761"/>
      <c r="O4" s="761"/>
    </row>
    <row r="5" spans="4:17" ht="26.25" customHeight="1" x14ac:dyDescent="0.35">
      <c r="I5" s="616"/>
      <c r="J5" s="616"/>
      <c r="K5" s="616"/>
      <c r="L5" s="616"/>
      <c r="M5" s="616"/>
    </row>
    <row r="6" spans="4:17" ht="15" thickBot="1" x14ac:dyDescent="0.4">
      <c r="F6" s="792" t="s">
        <v>300</v>
      </c>
      <c r="G6" s="792"/>
      <c r="H6" s="792"/>
      <c r="I6" s="792"/>
      <c r="J6" s="792"/>
      <c r="L6" s="787" t="s">
        <v>300</v>
      </c>
      <c r="M6" s="787"/>
      <c r="N6" s="787"/>
      <c r="O6" s="787"/>
      <c r="P6" s="787"/>
      <c r="Q6" s="787"/>
    </row>
    <row r="7" spans="4:17" ht="15" thickBot="1" x14ac:dyDescent="0.4">
      <c r="E7" s="24"/>
      <c r="F7" s="672" t="s">
        <v>292</v>
      </c>
      <c r="G7" s="672" t="s">
        <v>293</v>
      </c>
      <c r="H7" s="672" t="s">
        <v>294</v>
      </c>
      <c r="I7" s="672" t="s">
        <v>295</v>
      </c>
      <c r="J7" s="672" t="s">
        <v>296</v>
      </c>
      <c r="M7" s="688"/>
      <c r="N7" s="688"/>
      <c r="O7" s="688"/>
      <c r="P7" s="688"/>
    </row>
    <row r="8" spans="4:17" x14ac:dyDescent="0.35">
      <c r="D8" s="6"/>
      <c r="E8" s="650" t="s">
        <v>39</v>
      </c>
      <c r="F8" s="725">
        <v>171.77331999999998</v>
      </c>
      <c r="G8" s="726">
        <v>155.70436999999998</v>
      </c>
      <c r="H8" s="726">
        <v>82.324390000000008</v>
      </c>
      <c r="I8" s="726">
        <v>54.821289999999998</v>
      </c>
      <c r="J8" s="726">
        <v>97.732749999999996</v>
      </c>
      <c r="K8" s="4"/>
      <c r="M8" s="688"/>
      <c r="N8" s="688"/>
      <c r="O8" s="688"/>
      <c r="P8" s="688"/>
    </row>
    <row r="9" spans="4:17" x14ac:dyDescent="0.35">
      <c r="D9" s="6"/>
      <c r="E9" s="655" t="s">
        <v>40</v>
      </c>
      <c r="F9" s="727">
        <v>345.36573999999996</v>
      </c>
      <c r="G9" s="727">
        <v>234.30274</v>
      </c>
      <c r="H9" s="727">
        <v>236.68863000000002</v>
      </c>
      <c r="I9" s="727">
        <v>236.50212999999997</v>
      </c>
      <c r="J9" s="727">
        <v>258.26740999999998</v>
      </c>
      <c r="M9" s="688"/>
      <c r="N9" s="688"/>
      <c r="O9" s="688"/>
      <c r="P9" s="688"/>
    </row>
    <row r="10" spans="4:17" x14ac:dyDescent="0.35">
      <c r="D10" s="6"/>
      <c r="E10" s="655" t="s">
        <v>41</v>
      </c>
      <c r="F10" s="727">
        <v>740.33460000000002</v>
      </c>
      <c r="G10" s="727">
        <v>396.56389000000001</v>
      </c>
      <c r="H10" s="727">
        <v>471.98804999999999</v>
      </c>
      <c r="I10" s="727">
        <v>697.73919000000001</v>
      </c>
      <c r="J10" s="727">
        <v>562.22154999999998</v>
      </c>
      <c r="M10" s="688"/>
      <c r="N10" s="688"/>
      <c r="O10" s="688"/>
      <c r="P10" s="688"/>
    </row>
    <row r="11" spans="4:17" x14ac:dyDescent="0.35">
      <c r="D11" s="6"/>
      <c r="E11" s="655" t="s">
        <v>42</v>
      </c>
      <c r="F11" s="727">
        <v>1055.0070900000001</v>
      </c>
      <c r="G11" s="727">
        <v>503.45074</v>
      </c>
      <c r="H11" s="727">
        <v>554.38471000000004</v>
      </c>
      <c r="I11" s="727">
        <v>888.37991</v>
      </c>
      <c r="J11" s="727">
        <v>740.16749000000004</v>
      </c>
      <c r="M11" s="688"/>
      <c r="N11" s="688"/>
      <c r="O11" s="688"/>
      <c r="P11" s="688"/>
    </row>
    <row r="12" spans="4:17" x14ac:dyDescent="0.35">
      <c r="D12" s="6"/>
      <c r="E12" s="655" t="s">
        <v>43</v>
      </c>
      <c r="F12" s="727">
        <v>1024.68668</v>
      </c>
      <c r="G12" s="727">
        <v>474.38193000000001</v>
      </c>
      <c r="H12" s="727">
        <v>527.90192999999999</v>
      </c>
      <c r="I12" s="727">
        <v>905.64439000000004</v>
      </c>
      <c r="J12" s="727">
        <v>749.92598999999996</v>
      </c>
      <c r="M12" s="688"/>
      <c r="N12" s="688"/>
      <c r="O12" s="688"/>
      <c r="P12" s="688"/>
    </row>
    <row r="13" spans="4:17" x14ac:dyDescent="0.35">
      <c r="D13" s="6"/>
      <c r="E13" s="655" t="s">
        <v>44</v>
      </c>
      <c r="F13" s="727">
        <v>931.13413000000003</v>
      </c>
      <c r="G13" s="727">
        <v>409.40063000000004</v>
      </c>
      <c r="H13" s="727">
        <v>474.62288000000001</v>
      </c>
      <c r="I13" s="727">
        <v>788.05705</v>
      </c>
      <c r="J13" s="727">
        <v>703.55987000000005</v>
      </c>
      <c r="M13" s="688"/>
      <c r="N13" s="688"/>
      <c r="O13" s="688"/>
      <c r="P13" s="688"/>
    </row>
    <row r="14" spans="4:17" x14ac:dyDescent="0.35">
      <c r="D14" s="6"/>
      <c r="E14" s="655" t="s">
        <v>45</v>
      </c>
      <c r="F14" s="727">
        <v>796.21762000000001</v>
      </c>
      <c r="G14" s="727">
        <v>350.80296999999996</v>
      </c>
      <c r="H14" s="727">
        <v>399.02364999999998</v>
      </c>
      <c r="I14" s="727">
        <v>678.02169000000004</v>
      </c>
      <c r="J14" s="727">
        <v>609.79009000000008</v>
      </c>
      <c r="M14" s="688"/>
      <c r="N14" s="688"/>
      <c r="O14" s="688"/>
      <c r="P14" s="688"/>
    </row>
    <row r="15" spans="4:17" x14ac:dyDescent="0.35">
      <c r="D15" s="6"/>
      <c r="E15" s="655" t="s">
        <v>46</v>
      </c>
      <c r="F15" s="727">
        <v>664.76520000000005</v>
      </c>
      <c r="G15" s="727">
        <v>271.39996000000002</v>
      </c>
      <c r="H15" s="727">
        <v>320.47838999999999</v>
      </c>
      <c r="I15" s="727">
        <v>563.77396999999996</v>
      </c>
      <c r="J15" s="727">
        <v>513.94209000000001</v>
      </c>
      <c r="M15" s="688"/>
      <c r="N15" s="688"/>
      <c r="O15" s="688"/>
      <c r="P15" s="688"/>
    </row>
    <row r="16" spans="4:17" x14ac:dyDescent="0.35">
      <c r="D16" s="6"/>
      <c r="E16" s="655" t="s">
        <v>55</v>
      </c>
      <c r="F16" s="727">
        <v>534.84075999999993</v>
      </c>
      <c r="G16" s="727">
        <v>211.13153999999997</v>
      </c>
      <c r="H16" s="727">
        <v>252.31005000000002</v>
      </c>
      <c r="I16" s="727">
        <v>449.60960999999998</v>
      </c>
      <c r="J16" s="727">
        <v>424.58381000000003</v>
      </c>
      <c r="M16" s="688"/>
      <c r="N16" s="688"/>
      <c r="O16" s="688"/>
      <c r="P16" s="688"/>
    </row>
    <row r="17" spans="4:17" x14ac:dyDescent="0.35">
      <c r="D17" s="6"/>
      <c r="E17" s="655" t="s">
        <v>56</v>
      </c>
      <c r="F17" s="727">
        <v>425.15010000000001</v>
      </c>
      <c r="G17" s="727">
        <v>159.67197000000002</v>
      </c>
      <c r="H17" s="727">
        <v>189.36770999999999</v>
      </c>
      <c r="I17" s="727">
        <v>321.44963000000001</v>
      </c>
      <c r="J17" s="727">
        <v>333.51109000000002</v>
      </c>
      <c r="M17" s="688"/>
      <c r="N17" s="688"/>
      <c r="O17" s="688"/>
      <c r="P17" s="688"/>
    </row>
    <row r="18" spans="4:17" x14ac:dyDescent="0.35">
      <c r="D18" s="6"/>
      <c r="E18" s="655" t="s">
        <v>57</v>
      </c>
      <c r="F18" s="727">
        <v>331.14209999999997</v>
      </c>
      <c r="G18" s="727">
        <v>125.45559999999999</v>
      </c>
      <c r="H18" s="727">
        <v>139.47251</v>
      </c>
      <c r="I18" s="727">
        <v>239.81246999999999</v>
      </c>
      <c r="J18" s="727"/>
      <c r="M18" s="688"/>
      <c r="N18" s="688"/>
      <c r="O18" s="688"/>
      <c r="P18" s="688"/>
    </row>
    <row r="19" spans="4:17" ht="15" thickBot="1" x14ac:dyDescent="0.4">
      <c r="D19" s="6"/>
      <c r="E19" s="659" t="s">
        <v>58</v>
      </c>
      <c r="F19" s="728">
        <v>227.69511</v>
      </c>
      <c r="G19" s="728">
        <v>84.41313000000001</v>
      </c>
      <c r="H19" s="728">
        <v>78.305929999999989</v>
      </c>
      <c r="I19" s="728">
        <v>141.15647000000001</v>
      </c>
      <c r="J19" s="728"/>
    </row>
    <row r="20" spans="4:17" x14ac:dyDescent="0.35">
      <c r="E20" s="670"/>
      <c r="F20" s="729"/>
      <c r="G20" s="729"/>
      <c r="H20" s="730"/>
      <c r="I20" s="730"/>
      <c r="J20" s="730"/>
    </row>
    <row r="23" spans="4:17" ht="15" thickBot="1" x14ac:dyDescent="0.4">
      <c r="F23" s="792" t="s">
        <v>301</v>
      </c>
      <c r="G23" s="792"/>
      <c r="H23" s="792"/>
      <c r="I23" s="792"/>
      <c r="J23" s="792"/>
      <c r="L23" s="787" t="s">
        <v>301</v>
      </c>
      <c r="M23" s="787"/>
      <c r="N23" s="787"/>
      <c r="O23" s="787"/>
      <c r="P23" s="787"/>
      <c r="Q23" s="787"/>
    </row>
    <row r="24" spans="4:17" ht="15" thickBot="1" x14ac:dyDescent="0.4">
      <c r="E24" s="724"/>
      <c r="F24" s="672" t="s">
        <v>292</v>
      </c>
      <c r="G24" s="672" t="s">
        <v>293</v>
      </c>
      <c r="H24" s="672" t="s">
        <v>294</v>
      </c>
      <c r="I24" s="672" t="s">
        <v>295</v>
      </c>
      <c r="J24" s="672" t="s">
        <v>296</v>
      </c>
      <c r="M24" s="688"/>
      <c r="N24" s="688"/>
      <c r="O24" s="688"/>
      <c r="P24" s="688"/>
    </row>
    <row r="25" spans="4:17" x14ac:dyDescent="0.35">
      <c r="D25" s="6"/>
      <c r="E25" s="650" t="s">
        <v>39</v>
      </c>
      <c r="F25" s="725">
        <v>192.8152</v>
      </c>
      <c r="G25" s="725">
        <v>212.10380000000001</v>
      </c>
      <c r="H25" s="725">
        <v>137.9716</v>
      </c>
      <c r="I25" s="725">
        <v>86.128100000000003</v>
      </c>
      <c r="J25" s="731">
        <v>128.53308999999999</v>
      </c>
      <c r="M25" s="688"/>
      <c r="N25" s="688"/>
      <c r="O25" s="688"/>
      <c r="P25" s="688"/>
    </row>
    <row r="26" spans="4:17" x14ac:dyDescent="0.35">
      <c r="D26" s="6"/>
      <c r="E26" s="655" t="s">
        <v>40</v>
      </c>
      <c r="F26" s="727">
        <v>195.1934</v>
      </c>
      <c r="G26" s="727">
        <v>217.5282</v>
      </c>
      <c r="H26" s="727">
        <v>142.23269999999999</v>
      </c>
      <c r="I26" s="727">
        <v>94.317800000000005</v>
      </c>
      <c r="J26" s="696">
        <v>135.25396000000001</v>
      </c>
      <c r="M26" s="688"/>
      <c r="N26" s="688"/>
      <c r="O26" s="688"/>
      <c r="P26" s="688"/>
    </row>
    <row r="27" spans="4:17" x14ac:dyDescent="0.35">
      <c r="D27" s="6"/>
      <c r="E27" s="655" t="s">
        <v>41</v>
      </c>
      <c r="F27" s="727">
        <v>245.36189999999999</v>
      </c>
      <c r="G27" s="727">
        <v>242.46109999999999</v>
      </c>
      <c r="H27" s="727">
        <v>165.08199999999999</v>
      </c>
      <c r="I27" s="727">
        <v>136.1557</v>
      </c>
      <c r="J27" s="696">
        <v>165.35590999999999</v>
      </c>
      <c r="M27" s="688"/>
      <c r="N27" s="688"/>
      <c r="O27" s="688"/>
      <c r="P27" s="688"/>
    </row>
    <row r="28" spans="4:17" x14ac:dyDescent="0.35">
      <c r="D28" s="6"/>
      <c r="E28" s="655" t="s">
        <v>42</v>
      </c>
      <c r="F28" s="727">
        <v>286.88850000000002</v>
      </c>
      <c r="G28" s="727">
        <v>260.65730000000002</v>
      </c>
      <c r="H28" s="727">
        <v>180.8159</v>
      </c>
      <c r="I28" s="727">
        <v>175.64659999999998</v>
      </c>
      <c r="J28" s="696">
        <v>215.90770000000001</v>
      </c>
      <c r="M28" s="688"/>
      <c r="N28" s="688"/>
      <c r="O28" s="688"/>
      <c r="P28" s="688"/>
    </row>
    <row r="29" spans="4:17" x14ac:dyDescent="0.35">
      <c r="D29" s="6"/>
      <c r="E29" s="655" t="s">
        <v>43</v>
      </c>
      <c r="F29" s="727">
        <v>310.80520000000001</v>
      </c>
      <c r="G29" s="727">
        <v>266.70580000000001</v>
      </c>
      <c r="H29" s="727">
        <v>184.75970000000001</v>
      </c>
      <c r="I29" s="727">
        <v>200.29760000000005</v>
      </c>
      <c r="J29" s="696">
        <v>235.66833</v>
      </c>
      <c r="M29" s="688"/>
      <c r="N29" s="688"/>
      <c r="O29" s="688"/>
      <c r="P29" s="688"/>
    </row>
    <row r="30" spans="4:17" x14ac:dyDescent="0.35">
      <c r="D30" s="6"/>
      <c r="E30" s="655" t="s">
        <v>44</v>
      </c>
      <c r="F30" s="727">
        <v>288.18549999999999</v>
      </c>
      <c r="G30" s="727">
        <v>262.41399999999999</v>
      </c>
      <c r="H30" s="727">
        <v>183.45050000000001</v>
      </c>
      <c r="I30" s="727">
        <v>211.55319999999998</v>
      </c>
      <c r="J30" s="696">
        <v>248.49628999999999</v>
      </c>
      <c r="M30" s="688"/>
      <c r="N30" s="688"/>
      <c r="O30" s="688"/>
      <c r="P30" s="688"/>
    </row>
    <row r="31" spans="4:17" x14ac:dyDescent="0.35">
      <c r="D31" s="6"/>
      <c r="E31" s="655" t="s">
        <v>45</v>
      </c>
      <c r="F31" s="727">
        <v>288.60899999999998</v>
      </c>
      <c r="G31" s="727">
        <v>259.05500000000001</v>
      </c>
      <c r="H31" s="727">
        <v>177.31720000000001</v>
      </c>
      <c r="I31" s="727">
        <v>206.93770000000001</v>
      </c>
      <c r="J31" s="696">
        <v>258.49155000000002</v>
      </c>
      <c r="M31" s="688"/>
      <c r="N31" s="688"/>
      <c r="O31" s="688"/>
      <c r="P31" s="688"/>
    </row>
    <row r="32" spans="4:17" x14ac:dyDescent="0.35">
      <c r="D32" s="6"/>
      <c r="E32" s="655" t="s">
        <v>46</v>
      </c>
      <c r="F32" s="727">
        <v>284.66480000000001</v>
      </c>
      <c r="G32" s="727">
        <v>260.26749999999998</v>
      </c>
      <c r="H32" s="727">
        <v>170.4718</v>
      </c>
      <c r="I32" s="727">
        <v>200.47430000000003</v>
      </c>
      <c r="J32" s="696">
        <v>264.88632000000001</v>
      </c>
      <c r="M32" s="688"/>
      <c r="N32" s="688"/>
      <c r="O32" s="688"/>
      <c r="P32" s="688"/>
    </row>
    <row r="33" spans="4:17" x14ac:dyDescent="0.35">
      <c r="D33" s="6"/>
      <c r="E33" s="655" t="s">
        <v>55</v>
      </c>
      <c r="F33" s="727">
        <v>274.20260000000002</v>
      </c>
      <c r="G33" s="727">
        <v>245.41909999999999</v>
      </c>
      <c r="H33" s="727">
        <v>162.5891</v>
      </c>
      <c r="I33" s="727">
        <v>196.74110000000002</v>
      </c>
      <c r="J33" s="696">
        <v>259.07801000000001</v>
      </c>
      <c r="M33" s="688"/>
      <c r="N33" s="688"/>
      <c r="O33" s="688"/>
      <c r="P33" s="688"/>
    </row>
    <row r="34" spans="4:17" x14ac:dyDescent="0.35">
      <c r="D34" s="6"/>
      <c r="E34" s="655" t="s">
        <v>56</v>
      </c>
      <c r="F34" s="727">
        <v>272.56639999999999</v>
      </c>
      <c r="G34" s="727">
        <v>223.768</v>
      </c>
      <c r="H34" s="727">
        <v>152.9032</v>
      </c>
      <c r="I34" s="727">
        <v>189.27790000000002</v>
      </c>
      <c r="J34" s="717">
        <v>235.7756</v>
      </c>
      <c r="M34" s="688"/>
      <c r="N34" s="688"/>
      <c r="O34" s="688"/>
      <c r="P34" s="688"/>
    </row>
    <row r="35" spans="4:17" x14ac:dyDescent="0.35">
      <c r="D35" s="6"/>
      <c r="E35" s="655" t="s">
        <v>57</v>
      </c>
      <c r="F35" s="727">
        <v>249.81630000000001</v>
      </c>
      <c r="G35" s="727">
        <v>195.69630000000001</v>
      </c>
      <c r="H35" s="727">
        <v>132.1592</v>
      </c>
      <c r="I35" s="727">
        <v>166.11640000000003</v>
      </c>
      <c r="J35" s="696"/>
      <c r="M35" s="688"/>
      <c r="N35" s="688"/>
      <c r="O35" s="688"/>
      <c r="P35" s="688"/>
    </row>
    <row r="36" spans="4:17" ht="15" thickBot="1" x14ac:dyDescent="0.4">
      <c r="D36" s="6"/>
      <c r="E36" s="659" t="s">
        <v>58</v>
      </c>
      <c r="F36" s="732">
        <v>226.91139999999999</v>
      </c>
      <c r="G36" s="732">
        <v>163.82689999999999</v>
      </c>
      <c r="H36" s="732">
        <v>108.563</v>
      </c>
      <c r="I36" s="732">
        <v>148.51589999999999</v>
      </c>
      <c r="J36" s="733"/>
      <c r="M36" s="688"/>
      <c r="N36" s="688"/>
      <c r="O36" s="688"/>
      <c r="P36" s="688"/>
    </row>
    <row r="37" spans="4:17" x14ac:dyDescent="0.35">
      <c r="E37" s="670"/>
      <c r="F37" s="730"/>
      <c r="G37" s="730"/>
      <c r="H37" s="730"/>
      <c r="I37" s="730"/>
      <c r="J37" s="730"/>
      <c r="M37" s="688"/>
      <c r="N37" s="688"/>
      <c r="O37" s="688"/>
      <c r="P37" s="688"/>
    </row>
    <row r="38" spans="4:17" ht="23.25" customHeight="1" x14ac:dyDescent="0.35">
      <c r="J38" s="180"/>
    </row>
    <row r="40" spans="4:17" ht="15" thickBot="1" x14ac:dyDescent="0.4">
      <c r="F40" s="792" t="s">
        <v>302</v>
      </c>
      <c r="G40" s="792"/>
      <c r="H40" s="792"/>
      <c r="I40" s="792"/>
      <c r="J40" s="792"/>
      <c r="L40" s="787" t="s">
        <v>302</v>
      </c>
      <c r="M40" s="787"/>
      <c r="N40" s="787"/>
      <c r="O40" s="787"/>
      <c r="P40" s="787"/>
      <c r="Q40" s="787"/>
    </row>
    <row r="41" spans="4:17" ht="15" thickBot="1" x14ac:dyDescent="0.4">
      <c r="E41" s="724"/>
      <c r="F41" s="672" t="s">
        <v>292</v>
      </c>
      <c r="G41" s="672" t="s">
        <v>293</v>
      </c>
      <c r="H41" s="672" t="s">
        <v>294</v>
      </c>
      <c r="I41" s="672" t="s">
        <v>295</v>
      </c>
      <c r="J41" s="672" t="s">
        <v>296</v>
      </c>
    </row>
    <row r="42" spans="4:17" x14ac:dyDescent="0.35">
      <c r="D42" s="6"/>
      <c r="E42" s="650" t="s">
        <v>39</v>
      </c>
      <c r="F42" s="734">
        <v>364.58852000000002</v>
      </c>
      <c r="G42" s="734">
        <v>367.80817000000002</v>
      </c>
      <c r="H42" s="734">
        <v>220.29599000000002</v>
      </c>
      <c r="I42" s="734">
        <v>140.94938999999999</v>
      </c>
      <c r="J42" s="734">
        <v>226.26583999999997</v>
      </c>
    </row>
    <row r="43" spans="4:17" x14ac:dyDescent="0.35">
      <c r="D43" s="6"/>
      <c r="E43" s="655" t="s">
        <v>40</v>
      </c>
      <c r="F43" s="735">
        <v>540.55913999999996</v>
      </c>
      <c r="G43" s="735">
        <v>451.83094</v>
      </c>
      <c r="H43" s="735">
        <v>378.92133000000001</v>
      </c>
      <c r="I43" s="735">
        <v>330.81993</v>
      </c>
      <c r="J43" s="735">
        <v>393.52136999999999</v>
      </c>
    </row>
    <row r="44" spans="4:17" x14ac:dyDescent="0.35">
      <c r="D44" s="6"/>
      <c r="E44" s="655" t="s">
        <v>41</v>
      </c>
      <c r="F44" s="735">
        <v>985.69650000000001</v>
      </c>
      <c r="G44" s="735">
        <v>639.02499</v>
      </c>
      <c r="H44" s="735">
        <v>637.07005000000004</v>
      </c>
      <c r="I44" s="735">
        <v>833.89489000000003</v>
      </c>
      <c r="J44" s="735">
        <v>727.57745999999997</v>
      </c>
    </row>
    <row r="45" spans="4:17" x14ac:dyDescent="0.35">
      <c r="D45" s="6"/>
      <c r="E45" s="655" t="s">
        <v>42</v>
      </c>
      <c r="F45" s="735">
        <v>1341.8955900000001</v>
      </c>
      <c r="G45" s="735">
        <v>764.10804000000007</v>
      </c>
      <c r="H45" s="735">
        <v>735.2006100000001</v>
      </c>
      <c r="I45" s="735">
        <v>1064.0265099999999</v>
      </c>
      <c r="J45" s="735">
        <v>956.07519000000002</v>
      </c>
    </row>
    <row r="46" spans="4:17" x14ac:dyDescent="0.35">
      <c r="D46" s="6"/>
      <c r="E46" s="655" t="s">
        <v>43</v>
      </c>
      <c r="F46" s="735">
        <v>1335.49188</v>
      </c>
      <c r="G46" s="735">
        <v>741.08772999999997</v>
      </c>
      <c r="H46" s="735">
        <v>712.66163000000006</v>
      </c>
      <c r="I46" s="735">
        <v>1105.94199</v>
      </c>
      <c r="J46" s="735">
        <v>985.59431999999993</v>
      </c>
    </row>
    <row r="47" spans="4:17" x14ac:dyDescent="0.35">
      <c r="D47" s="6"/>
      <c r="E47" s="655" t="s">
        <v>44</v>
      </c>
      <c r="F47" s="727">
        <v>1219.31963</v>
      </c>
      <c r="G47" s="727">
        <v>671.81463000000008</v>
      </c>
      <c r="H47" s="727">
        <v>658.07338000000004</v>
      </c>
      <c r="I47" s="727">
        <v>999.61024999999995</v>
      </c>
      <c r="J47" s="727">
        <v>952.05616000000009</v>
      </c>
    </row>
    <row r="48" spans="4:17" x14ac:dyDescent="0.35">
      <c r="D48" s="6"/>
      <c r="E48" s="655" t="s">
        <v>45</v>
      </c>
      <c r="F48" s="727">
        <v>1084.82662</v>
      </c>
      <c r="G48" s="727">
        <v>609.85797000000002</v>
      </c>
      <c r="H48" s="727">
        <v>576.34085000000005</v>
      </c>
      <c r="I48" s="727">
        <v>884.95938999999998</v>
      </c>
      <c r="J48" s="727">
        <v>868.28164000000015</v>
      </c>
    </row>
    <row r="49" spans="4:17" x14ac:dyDescent="0.35">
      <c r="D49" s="6"/>
      <c r="E49" s="655" t="s">
        <v>46</v>
      </c>
      <c r="F49" s="727">
        <v>949.43000000000006</v>
      </c>
      <c r="G49" s="727">
        <v>531.66746000000001</v>
      </c>
      <c r="H49" s="727">
        <v>490.95019000000002</v>
      </c>
      <c r="I49" s="727">
        <v>764.24827000000005</v>
      </c>
      <c r="J49" s="727">
        <v>778.82841000000008</v>
      </c>
    </row>
    <row r="50" spans="4:17" x14ac:dyDescent="0.35">
      <c r="D50" s="6"/>
      <c r="E50" s="655" t="s">
        <v>55</v>
      </c>
      <c r="F50" s="727">
        <v>809.04335999999989</v>
      </c>
      <c r="G50" s="727">
        <v>456.55063999999993</v>
      </c>
      <c r="H50" s="727">
        <v>414.89915000000002</v>
      </c>
      <c r="I50" s="727">
        <v>646.35070999999994</v>
      </c>
      <c r="J50" s="727">
        <v>683.66182000000003</v>
      </c>
    </row>
    <row r="51" spans="4:17" x14ac:dyDescent="0.35">
      <c r="D51" s="6"/>
      <c r="E51" s="655" t="s">
        <v>56</v>
      </c>
      <c r="F51" s="727">
        <v>697.7165</v>
      </c>
      <c r="G51" s="727">
        <v>383.43997000000002</v>
      </c>
      <c r="H51" s="727">
        <v>342.27090999999996</v>
      </c>
      <c r="I51" s="727">
        <v>510.72753</v>
      </c>
      <c r="J51" s="736">
        <v>569.28669000000002</v>
      </c>
    </row>
    <row r="52" spans="4:17" x14ac:dyDescent="0.35">
      <c r="D52" s="6"/>
      <c r="E52" s="655" t="s">
        <v>57</v>
      </c>
      <c r="F52" s="727">
        <v>580.95839999999998</v>
      </c>
      <c r="G52" s="727">
        <v>321.15190000000001</v>
      </c>
      <c r="H52" s="727">
        <v>271.63171</v>
      </c>
      <c r="I52" s="727">
        <v>405.92887000000002</v>
      </c>
      <c r="J52" s="727"/>
    </row>
    <row r="53" spans="4:17" ht="15" thickBot="1" x14ac:dyDescent="0.4">
      <c r="D53" s="6"/>
      <c r="E53" s="659" t="s">
        <v>58</v>
      </c>
      <c r="F53" s="732">
        <v>454.60650999999996</v>
      </c>
      <c r="G53" s="732">
        <v>248.24002999999999</v>
      </c>
      <c r="H53" s="732">
        <v>186.86892999999998</v>
      </c>
      <c r="I53" s="732">
        <v>289.67237</v>
      </c>
      <c r="J53" s="732"/>
    </row>
    <row r="54" spans="4:17" x14ac:dyDescent="0.35">
      <c r="E54" s="670"/>
      <c r="F54" s="730"/>
      <c r="G54" s="730"/>
      <c r="H54" s="730"/>
      <c r="I54" s="730"/>
      <c r="J54" s="730"/>
    </row>
    <row r="56" spans="4:17" ht="15.5" x14ac:dyDescent="0.35">
      <c r="E56" s="791" t="s">
        <v>119</v>
      </c>
      <c r="F56" s="791"/>
      <c r="G56" s="791"/>
      <c r="H56" s="791"/>
      <c r="I56" s="791"/>
      <c r="J56" s="791"/>
      <c r="K56" s="791"/>
      <c r="L56" s="791"/>
      <c r="M56" s="791"/>
      <c r="N56" s="791"/>
      <c r="O56" s="791"/>
      <c r="P56" s="791"/>
      <c r="Q56" s="791"/>
    </row>
  </sheetData>
  <mergeCells count="8">
    <mergeCell ref="E56:Q56"/>
    <mergeCell ref="G2:O4"/>
    <mergeCell ref="F6:J6"/>
    <mergeCell ref="L6:Q6"/>
    <mergeCell ref="F23:J23"/>
    <mergeCell ref="L23:Q23"/>
    <mergeCell ref="F40:J40"/>
    <mergeCell ref="L40:Q40"/>
  </mergeCells>
  <pageMargins left="0.7" right="0.7" top="0.75" bottom="0.75" header="0.3" footer="0.3"/>
  <pageSetup paperSize="9" scale="55" fitToWidth="0" fitToHeight="0" orientation="landscape" r:id="rId1"/>
  <headerFooter>
    <oddHeader>&amp;L&amp;G&amp;RCAMPAÑA: 2025/2026. MES: JULIO
Fecha de emisión de datos: 25/08/2026</oddHeader>
  </headerFooter>
  <drawing r:id="rId2"/>
  <legacyDrawingHF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DB54D-1A29-4A28-B7B1-CA2EF39FF579}">
  <dimension ref="B2:K84"/>
  <sheetViews>
    <sheetView view="pageLayout" topLeftCell="B68" zoomScale="55" zoomScaleNormal="60" zoomScaleSheetLayoutView="70" zoomScalePageLayoutView="55" workbookViewId="0">
      <selection activeCell="H88" sqref="H88"/>
    </sheetView>
  </sheetViews>
  <sheetFormatPr baseColWidth="10" defaultColWidth="11.453125" defaultRowHeight="14.5" x14ac:dyDescent="0.35"/>
  <cols>
    <col min="1" max="1" width="14.81640625" customWidth="1"/>
    <col min="2" max="2" width="12.54296875" customWidth="1"/>
    <col min="3" max="3" width="12.1796875" customWidth="1"/>
    <col min="10" max="10" width="15.1796875" customWidth="1"/>
    <col min="11" max="11" width="19.26953125" customWidth="1"/>
    <col min="12" max="12" width="11.453125" customWidth="1"/>
  </cols>
  <sheetData>
    <row r="2" spans="2:11" ht="15" customHeight="1" x14ac:dyDescent="0.35">
      <c r="E2" s="761" t="s">
        <v>303</v>
      </c>
      <c r="F2" s="761"/>
      <c r="G2" s="761"/>
      <c r="H2" s="761"/>
      <c r="I2" s="761"/>
    </row>
    <row r="3" spans="2:11" ht="15" customHeight="1" x14ac:dyDescent="0.35">
      <c r="E3" s="761"/>
      <c r="F3" s="761"/>
      <c r="G3" s="761"/>
      <c r="H3" s="761"/>
      <c r="I3" s="761"/>
    </row>
    <row r="4" spans="2:11" ht="15" customHeight="1" x14ac:dyDescent="0.35">
      <c r="E4" s="761"/>
      <c r="F4" s="761"/>
      <c r="G4" s="761"/>
      <c r="H4" s="761"/>
      <c r="I4" s="761"/>
    </row>
    <row r="5" spans="2:11" ht="15" customHeight="1" x14ac:dyDescent="0.35">
      <c r="E5" s="616"/>
      <c r="F5" s="616"/>
      <c r="G5" s="616"/>
      <c r="H5" s="616"/>
      <c r="I5" s="616"/>
    </row>
    <row r="6" spans="2:11" ht="16" thickBot="1" x14ac:dyDescent="0.4">
      <c r="D6" s="793" t="s">
        <v>304</v>
      </c>
      <c r="E6" s="793"/>
      <c r="F6" s="793"/>
      <c r="G6" s="793"/>
      <c r="H6" s="793"/>
      <c r="I6" s="793"/>
      <c r="J6" s="793"/>
      <c r="K6" s="793"/>
    </row>
    <row r="7" spans="2:11" ht="30" customHeight="1" thickBot="1" x14ac:dyDescent="0.4">
      <c r="C7" s="724"/>
      <c r="D7" s="737" t="s">
        <v>292</v>
      </c>
      <c r="E7" s="737" t="s">
        <v>293</v>
      </c>
      <c r="F7" s="737" t="s">
        <v>294</v>
      </c>
      <c r="G7" s="737" t="s">
        <v>295</v>
      </c>
      <c r="H7" s="737" t="s">
        <v>296</v>
      </c>
      <c r="I7" s="738" t="s">
        <v>305</v>
      </c>
      <c r="J7" s="738" t="s">
        <v>306</v>
      </c>
      <c r="K7" s="738" t="s">
        <v>307</v>
      </c>
    </row>
    <row r="8" spans="2:11" x14ac:dyDescent="0.35">
      <c r="B8" s="6"/>
      <c r="C8" s="650" t="s">
        <v>39</v>
      </c>
      <c r="D8" s="725">
        <f>+'02_CUADRYGRÁF.COMP.ÚLT.5 CAMP.'!C8</f>
        <v>51.3461</v>
      </c>
      <c r="E8" s="726">
        <f>+'02_CUADRYGRÁF.COMP.ÚLT.5 CAMP.'!D8</f>
        <v>30.671399999999998</v>
      </c>
      <c r="F8" s="726">
        <f>+'02_CUADRYGRÁF.COMP.ÚLT.5 CAMP.'!E8</f>
        <v>38.6693</v>
      </c>
      <c r="G8" s="739">
        <f>+'02_CUADRYGRÁF.COMP.ÚLT.5 CAMP.'!F8</f>
        <v>36.869638065065338</v>
      </c>
      <c r="H8" s="740">
        <f>+IF(ISNUMBER('02_CUADRYGRÁF.COMP.ÚLT.5 CAMP.'!G8),'02_CUADRYGRÁF.COMP.ÚLT.5 CAMP.'!G8,NA())</f>
        <v>43.145436850769094</v>
      </c>
      <c r="I8" s="741">
        <f>IF(ISNUMBER(H8),H8/G8-1,"")</f>
        <v>0.17021590433376654</v>
      </c>
      <c r="J8" s="741">
        <f>IF(ISNUMBER(H8),H8/AVERAGE(E8:G8)-1,"")</f>
        <v>0.21867901854350102</v>
      </c>
      <c r="K8" s="741">
        <f>IF(ISNUMBER(H8),H8/AVERAGE(D8:G8)-1,"")</f>
        <v>9.5364616784533451E-2</v>
      </c>
    </row>
    <row r="9" spans="2:11" x14ac:dyDescent="0.35">
      <c r="B9" s="6"/>
      <c r="C9" s="655" t="s">
        <v>40</v>
      </c>
      <c r="D9" s="727">
        <f>+'02_CUADRYGRÁF.COMP.ÚLT.5 CAMP.'!C9+'04_CUADROS ACUMULADOS'!D8</f>
        <v>339.51589999999999</v>
      </c>
      <c r="E9" s="727">
        <f>+'02_CUADRYGRÁF.COMP.ÚLT.5 CAMP.'!D9+'04_CUADROS ACUMULADOS'!E8</f>
        <v>199.68899999999999</v>
      </c>
      <c r="F9" s="727">
        <f>+'02_CUADRYGRÁF.COMP.ÚLT.5 CAMP.'!E9+'04_CUADROS ACUMULADOS'!F8</f>
        <v>268.68360000000001</v>
      </c>
      <c r="G9" s="736">
        <f>+'02_CUADRYGRÁF.COMP.ÚLT.5 CAMP.'!F9+'04_CUADROS ACUMULADOS'!G8</f>
        <v>303.53992543307487</v>
      </c>
      <c r="H9" s="742">
        <f>+IF(ISNUMBER('02_CUADRYGRÁF.COMP.ÚLT.5 CAMP.'!G9),('02_CUADRYGRÁF.COMP.ÚLT.5 CAMP.'!G9+H8),NA())</f>
        <v>303.64616873218125</v>
      </c>
      <c r="I9" s="743">
        <f t="shared" ref="I9:I19" si="0">IF(ISNUMBER(H9),H9/G9-1,"")</f>
        <v>3.50014249212105E-4</v>
      </c>
      <c r="J9" s="743">
        <f t="shared" ref="J9:J19" si="1">IF(ISNUMBER(H9),H9/AVERAGE(E9:G9)-1,"")</f>
        <v>0.18010587493119035</v>
      </c>
      <c r="K9" s="743">
        <f t="shared" ref="K9:K19" si="2">IF(ISNUMBER(H9),H9/AVERAGE(D9:G9)-1,"")</f>
        <v>9.2814118421935099E-2</v>
      </c>
    </row>
    <row r="10" spans="2:11" x14ac:dyDescent="0.35">
      <c r="B10" s="6"/>
      <c r="C10" s="655" t="s">
        <v>41</v>
      </c>
      <c r="D10" s="727">
        <f>+'02_CUADRYGRÁF.COMP.ÚLT.5 CAMP.'!C10+'04_CUADROS ACUMULADOS'!D9</f>
        <v>882.22590000000002</v>
      </c>
      <c r="E10" s="727">
        <f>+'02_CUADRYGRÁF.COMP.ÚLT.5 CAMP.'!D10+'04_CUADROS ACUMULADOS'!E9</f>
        <v>438.55250000000001</v>
      </c>
      <c r="F10" s="727">
        <f>+'02_CUADRYGRÁF.COMP.ÚLT.5 CAMP.'!E10+'04_CUADROS ACUMULADOS'!F9</f>
        <v>597.16419999999994</v>
      </c>
      <c r="G10" s="736">
        <f>+'02_CUADRYGRÁF.COMP.ÚLT.5 CAMP.'!F10+'04_CUADROS ACUMULADOS'!G9</f>
        <v>899.97092539012806</v>
      </c>
      <c r="H10" s="742">
        <f>+IF(ISNUMBER('02_CUADRYGRÁF.COMP.ÚLT.5 CAMP.'!G10),('02_CUADRYGRÁF.COMP.ÚLT.5 CAMP.'!G10+H9),NA())</f>
        <v>728.93557146965122</v>
      </c>
      <c r="I10" s="743">
        <f t="shared" si="0"/>
        <v>-0.19004542157440785</v>
      </c>
      <c r="J10" s="743">
        <f t="shared" si="1"/>
        <v>0.12973120545119654</v>
      </c>
      <c r="K10" s="743">
        <f t="shared" si="2"/>
        <v>3.471673619754978E-2</v>
      </c>
    </row>
    <row r="11" spans="2:11" x14ac:dyDescent="0.35">
      <c r="B11" s="6"/>
      <c r="C11" s="655" t="s">
        <v>42</v>
      </c>
      <c r="D11" s="727">
        <f>+'02_CUADRYGRÁF.COMP.ÚLT.5 CAMP.'!C11+'04_CUADROS ACUMULADOS'!D10</f>
        <v>1353.4133000000002</v>
      </c>
      <c r="E11" s="727">
        <f>+'02_CUADRYGRÁF.COMP.ÚLT.5 CAMP.'!D11+'04_CUADROS ACUMULADOS'!E10</f>
        <v>620.9049</v>
      </c>
      <c r="F11" s="727">
        <f>+'02_CUADRYGRÁF.COMP.ÚLT.5 CAMP.'!E11+'04_CUADROS ACUMULADOS'!F10</f>
        <v>785.35109999999997</v>
      </c>
      <c r="G11" s="736">
        <f>+'02_CUADRYGRÁF.COMP.ÚLT.5 CAMP.'!F11+'04_CUADROS ACUMULADOS'!G10</f>
        <v>1251.4518295184887</v>
      </c>
      <c r="H11" s="742">
        <f>+IF(ISNUMBER('02_CUADRYGRÁF.COMP.ÚLT.5 CAMP.'!G11),('02_CUADRYGRÁF.COMP.ÚLT.5 CAMP.'!G11+H10),NA())</f>
        <v>1058.9104168289346</v>
      </c>
      <c r="I11" s="743">
        <f t="shared" si="0"/>
        <v>-0.15385443382478159</v>
      </c>
      <c r="J11" s="743">
        <f t="shared" si="1"/>
        <v>0.19528987167199241</v>
      </c>
      <c r="K11" s="743">
        <f t="shared" si="2"/>
        <v>5.5974509506822701E-2</v>
      </c>
    </row>
    <row r="12" spans="2:11" x14ac:dyDescent="0.35">
      <c r="B12" s="6"/>
      <c r="C12" s="655" t="s">
        <v>43</v>
      </c>
      <c r="D12" s="727">
        <f>+'02_CUADRYGRÁF.COMP.ÚLT.5 CAMP.'!C12+'04_CUADROS ACUMULADOS'!D11</f>
        <v>1462.2205000000001</v>
      </c>
      <c r="E12" s="727">
        <f>+'02_CUADRYGRÁF.COMP.ÚLT.5 CAMP.'!D12+'04_CUADROS ACUMULADOS'!E11</f>
        <v>656.98230000000001</v>
      </c>
      <c r="F12" s="727">
        <f>+'02_CUADRYGRÁF.COMP.ÚLT.5 CAMP.'!E12+'04_CUADROS ACUMULADOS'!F11</f>
        <v>838.49309999999991</v>
      </c>
      <c r="G12" s="736">
        <f>+'02_CUADRYGRÁF.COMP.ÚLT.5 CAMP.'!F12+'04_CUADROS ACUMULADOS'!G11</f>
        <v>1405.52222616008</v>
      </c>
      <c r="H12" s="742">
        <f>+IF(ISNUMBER('02_CUADRYGRÁF.COMP.ÚLT.5 CAMP.'!G12),('02_CUADRYGRÁF.COMP.ÚLT.5 CAMP.'!G12+H11),NA())</f>
        <v>1202.3014613453022</v>
      </c>
      <c r="I12" s="743">
        <f t="shared" si="0"/>
        <v>-0.14458737189093174</v>
      </c>
      <c r="J12" s="743">
        <f t="shared" si="1"/>
        <v>0.24333241485971291</v>
      </c>
      <c r="K12" s="743">
        <f t="shared" si="2"/>
        <v>0.10221531592637279</v>
      </c>
    </row>
    <row r="13" spans="2:11" x14ac:dyDescent="0.35">
      <c r="B13" s="6"/>
      <c r="C13" s="655" t="s">
        <v>44</v>
      </c>
      <c r="D13" s="727">
        <f>+'02_CUADRYGRÁF.COMP.ÚLT.5 CAMP.'!C13+'04_CUADROS ACUMULADOS'!D12</f>
        <v>1482.9781</v>
      </c>
      <c r="E13" s="727">
        <f>+'02_CUADRYGRÁF.COMP.ÚLT.5 CAMP.'!D13+'04_CUADROS ACUMULADOS'!E12</f>
        <v>664.99959999999999</v>
      </c>
      <c r="F13" s="727">
        <f>+'02_CUADRYGRÁF.COMP.ÚLT.5 CAMP.'!E13+'04_CUADROS ACUMULADOS'!F12</f>
        <v>852.59019999999987</v>
      </c>
      <c r="G13" s="736">
        <f>+'02_CUADRYGRÁF.COMP.ÚLT.5 CAMP.'!F13+'04_CUADROS ACUMULADOS'!G12</f>
        <v>1417.7259999999999</v>
      </c>
      <c r="H13" s="742">
        <f>+IF(ISNUMBER('02_CUADRYGRÁF.COMP.ÚLT.5 CAMP.'!G13),('02_CUADRYGRÁF.COMP.ÚLT.5 CAMP.'!G13+H12),NA())</f>
        <v>1287.2947588286081</v>
      </c>
      <c r="I13" s="743">
        <f t="shared" si="0"/>
        <v>-9.2000316825248118E-2</v>
      </c>
      <c r="J13" s="743">
        <f t="shared" si="1"/>
        <v>0.31566227950185977</v>
      </c>
      <c r="K13" s="743">
        <f t="shared" si="2"/>
        <v>0.16542248022804307</v>
      </c>
    </row>
    <row r="14" spans="2:11" x14ac:dyDescent="0.35">
      <c r="B14" s="6"/>
      <c r="C14" s="655" t="s">
        <v>45</v>
      </c>
      <c r="D14" s="727">
        <f>+'02_CUADRYGRÁF.COMP.ÚLT.5 CAMP.'!C14+'04_CUADROS ACUMULADOS'!D13</f>
        <v>1490.0948000000001</v>
      </c>
      <c r="E14" s="727">
        <f>+'02_CUADRYGRÁF.COMP.ÚLT.5 CAMP.'!D14+'04_CUADROS ACUMULADOS'!E13</f>
        <v>665.97180000000003</v>
      </c>
      <c r="F14" s="727">
        <f>+'02_CUADRYGRÁF.COMP.ÚLT.5 CAMP.'!E14+'04_CUADROS ACUMULADOS'!F13</f>
        <v>855.38429999999983</v>
      </c>
      <c r="G14" s="736">
        <f>+'02_CUADRYGRÁF.COMP.ÚLT.5 CAMP.'!F14+'04_CUADROS ACUMULADOS'!G13</f>
        <v>1420.8911061105453</v>
      </c>
      <c r="H14" s="742">
        <f>+IF(ISNUMBER('02_CUADRYGRÁF.COMP.ÚLT.5 CAMP.'!G14),('02_CUADRYGRÁF.COMP.ÚLT.5 CAMP.'!G14+H13),NA())</f>
        <v>1299.5061911733499</v>
      </c>
      <c r="I14" s="743">
        <f t="shared" si="0"/>
        <v>-8.5428724562480074E-2</v>
      </c>
      <c r="J14" s="743">
        <f t="shared" si="1"/>
        <v>0.32501394356785918</v>
      </c>
      <c r="K14" s="743">
        <f t="shared" si="2"/>
        <v>0.17274902467527631</v>
      </c>
    </row>
    <row r="15" spans="2:11" x14ac:dyDescent="0.35">
      <c r="B15" s="6"/>
      <c r="C15" s="655" t="s">
        <v>46</v>
      </c>
      <c r="D15" s="727">
        <f>+'02_CUADRYGRÁF.COMP.ÚLT.5 CAMP.'!C15+'04_CUADROS ACUMULADOS'!D14</f>
        <v>1493.0084000000002</v>
      </c>
      <c r="E15" s="727">
        <f>+'02_CUADRYGRÁF.COMP.ÚLT.5 CAMP.'!D15+'04_CUADROS ACUMULADOS'!E14</f>
        <v>666.0127</v>
      </c>
      <c r="F15" s="727">
        <f>+'02_CUADRYGRÁF.COMP.ÚLT.5 CAMP.'!E15+'04_CUADROS ACUMULADOS'!F14</f>
        <v>855.57669999999985</v>
      </c>
      <c r="G15" s="736">
        <f>+'02_CUADRYGRÁF.COMP.ÚLT.5 CAMP.'!F15+'04_CUADROS ACUMULADOS'!G14</f>
        <v>1421.112749945218</v>
      </c>
      <c r="H15" s="742">
        <f>+IF(ISNUMBER('02_CUADRYGRÁF.COMP.ÚLT.5 CAMP.'!G15),('02_CUADRYGRÁF.COMP.ÚLT.5 CAMP.'!G15+H14),NA())</f>
        <v>1300.9355000000003</v>
      </c>
      <c r="I15" s="743">
        <f t="shared" si="0"/>
        <v>-8.4565598296018618E-2</v>
      </c>
      <c r="J15" s="743">
        <f t="shared" si="1"/>
        <v>0.32626623461455551</v>
      </c>
      <c r="K15" s="743">
        <f t="shared" si="2"/>
        <v>0.17314733263293514</v>
      </c>
    </row>
    <row r="16" spans="2:11" x14ac:dyDescent="0.35">
      <c r="B16" s="6"/>
      <c r="C16" s="655" t="s">
        <v>55</v>
      </c>
      <c r="D16" s="727">
        <f>+'02_CUADRYGRÁF.COMP.ÚLT.5 CAMP.'!C16+'04_CUADROS ACUMULADOS'!D15</f>
        <v>1493.0084000000002</v>
      </c>
      <c r="E16" s="727">
        <f>+'02_CUADRYGRÁF.COMP.ÚLT.5 CAMP.'!D16+'04_CUADROS ACUMULADOS'!E15</f>
        <v>666.0127</v>
      </c>
      <c r="F16" s="727">
        <f>+'02_CUADRYGRÁF.COMP.ÚLT.5 CAMP.'!E16+'04_CUADROS ACUMULADOS'!F15</f>
        <v>855.57669999999985</v>
      </c>
      <c r="G16" s="736">
        <f>+'02_CUADRYGRÁF.COMP.ÚLT.5 CAMP.'!F16+'04_CUADROS ACUMULADOS'!G15</f>
        <v>1421.112749945218</v>
      </c>
      <c r="H16" s="742" t="e">
        <f>+IF(ISNUMBER('02_CUADRYGRÁF.COMP.ÚLT.5 CAMP.'!G16),('02_CUADRYGRÁF.COMP.ÚLT.5 CAMP.'!G16+H15),NA())</f>
        <v>#N/A</v>
      </c>
      <c r="I16" s="743" t="str">
        <f t="shared" ref="I16:I17" si="3">IF(ISNUMBER(H16),H16/G16-1,"")</f>
        <v/>
      </c>
      <c r="J16" s="743" t="str">
        <f t="shared" ref="J16:J17" si="4">IF(ISNUMBER(H16),H16/AVERAGE(E16:G16)-1,"")</f>
        <v/>
      </c>
      <c r="K16" s="743" t="str">
        <f t="shared" ref="K16:K17" si="5">IF(ISNUMBER(H16),H16/AVERAGE(D16:G16)-1,"")</f>
        <v/>
      </c>
    </row>
    <row r="17" spans="2:11" x14ac:dyDescent="0.35">
      <c r="B17" s="6"/>
      <c r="C17" s="655" t="s">
        <v>56</v>
      </c>
      <c r="D17" s="727">
        <f>+'02_CUADRYGRÁF.COMP.ÚLT.5 CAMP.'!C17+'04_CUADROS ACUMULADOS'!D16</f>
        <v>1493.0084000000002</v>
      </c>
      <c r="E17" s="727">
        <f>+'02_CUADRYGRÁF.COMP.ÚLT.5 CAMP.'!D17+'04_CUADROS ACUMULADOS'!E16</f>
        <v>666.0127</v>
      </c>
      <c r="F17" s="727">
        <f>+'02_CUADRYGRÁF.COMP.ÚLT.5 CAMP.'!E17+'04_CUADROS ACUMULADOS'!F16</f>
        <v>855.57669999999985</v>
      </c>
      <c r="G17" s="736">
        <f>+'02_CUADRYGRÁF.COMP.ÚLT.5 CAMP.'!F17+'04_CUADROS ACUMULADOS'!G16</f>
        <v>1421.112749945218</v>
      </c>
      <c r="H17" s="742" t="e">
        <f>+IF(ISNUMBER('02_CUADRYGRÁF.COMP.ÚLT.5 CAMP.'!G17),('02_CUADRYGRÁF.COMP.ÚLT.5 CAMP.'!G17+H16),NA())</f>
        <v>#N/A</v>
      </c>
      <c r="I17" s="743" t="str">
        <f t="shared" si="3"/>
        <v/>
      </c>
      <c r="J17" s="743" t="str">
        <f t="shared" si="4"/>
        <v/>
      </c>
      <c r="K17" s="743" t="str">
        <f t="shared" si="5"/>
        <v/>
      </c>
    </row>
    <row r="18" spans="2:11" x14ac:dyDescent="0.35">
      <c r="B18" s="6"/>
      <c r="C18" s="655" t="s">
        <v>57</v>
      </c>
      <c r="D18" s="727">
        <f>+'02_CUADRYGRÁF.COMP.ÚLT.5 CAMP.'!C18+'04_CUADROS ACUMULADOS'!D17</f>
        <v>1493.0084000000002</v>
      </c>
      <c r="E18" s="727">
        <f>+'02_CUADRYGRÁF.COMP.ÚLT.5 CAMP.'!D18+'04_CUADROS ACUMULADOS'!E17</f>
        <v>666.0127</v>
      </c>
      <c r="F18" s="727">
        <f>+'02_CUADRYGRÁF.COMP.ÚLT.5 CAMP.'!E18+'04_CUADROS ACUMULADOS'!F17</f>
        <v>855.57669999999985</v>
      </c>
      <c r="G18" s="736">
        <f>+'02_CUADRYGRÁF.COMP.ÚLT.5 CAMP.'!F18+'04_CUADROS ACUMULADOS'!G17</f>
        <v>1421.112749945218</v>
      </c>
      <c r="H18" s="742" t="e">
        <f>+IF(ISNUMBER('02_CUADRYGRÁF.COMP.ÚLT.5 CAMP.'!G18),('02_CUADRYGRÁF.COMP.ÚLT.5 CAMP.'!G18+H17),NA())</f>
        <v>#N/A</v>
      </c>
      <c r="I18" s="743" t="str">
        <f t="shared" si="0"/>
        <v/>
      </c>
      <c r="J18" s="743" t="str">
        <f t="shared" si="1"/>
        <v/>
      </c>
      <c r="K18" s="743" t="str">
        <f t="shared" si="2"/>
        <v/>
      </c>
    </row>
    <row r="19" spans="2:11" ht="15" thickBot="1" x14ac:dyDescent="0.4">
      <c r="B19" s="6"/>
      <c r="C19" s="659" t="s">
        <v>58</v>
      </c>
      <c r="D19" s="728">
        <f>+'02_CUADRYGRÁF.COMP.ÚLT.5 CAMP.'!C19+'04_CUADROS ACUMULADOS'!D18</f>
        <v>1493.0084000000002</v>
      </c>
      <c r="E19" s="728">
        <f>+'02_CUADRYGRÁF.COMP.ÚLT.5 CAMP.'!D19+'04_CUADROS ACUMULADOS'!E18</f>
        <v>666.0127</v>
      </c>
      <c r="F19" s="728">
        <f>+'02_CUADRYGRÁF.COMP.ÚLT.5 CAMP.'!E19+'04_CUADROS ACUMULADOS'!F18</f>
        <v>855.57669999999985</v>
      </c>
      <c r="G19" s="744">
        <f>+'02_CUADRYGRÁF.COMP.ÚLT.5 CAMP.'!F19+'04_CUADROS ACUMULADOS'!G18</f>
        <v>1421.112749945218</v>
      </c>
      <c r="H19" s="745" t="e">
        <f>+IF(ISNUMBER('02_CUADRYGRÁF.COMP.ÚLT.5 CAMP.'!G19),('02_CUADRYGRÁF.COMP.ÚLT.5 CAMP.'!G19+H18),NA())</f>
        <v>#N/A</v>
      </c>
      <c r="I19" s="746" t="str">
        <f t="shared" si="0"/>
        <v/>
      </c>
      <c r="J19" s="746" t="str">
        <f t="shared" si="1"/>
        <v/>
      </c>
      <c r="K19" s="746" t="str">
        <f t="shared" si="2"/>
        <v/>
      </c>
    </row>
    <row r="21" spans="2:11" ht="5.25" customHeight="1" x14ac:dyDescent="0.35"/>
    <row r="22" spans="2:11" ht="16" thickBot="1" x14ac:dyDescent="0.4">
      <c r="D22" s="794" t="s">
        <v>308</v>
      </c>
      <c r="E22" s="794"/>
      <c r="F22" s="794"/>
      <c r="G22" s="794"/>
      <c r="H22" s="794"/>
      <c r="I22" s="794"/>
      <c r="J22" s="794"/>
      <c r="K22" s="794"/>
    </row>
    <row r="23" spans="2:11" ht="28.5" customHeight="1" thickBot="1" x14ac:dyDescent="0.4">
      <c r="C23" s="724"/>
      <c r="D23" s="737" t="s">
        <v>292</v>
      </c>
      <c r="E23" s="737" t="s">
        <v>293</v>
      </c>
      <c r="F23" s="737" t="s">
        <v>294</v>
      </c>
      <c r="G23" s="737" t="s">
        <v>295</v>
      </c>
      <c r="H23" s="737" t="s">
        <v>296</v>
      </c>
      <c r="I23" s="738" t="s">
        <v>305</v>
      </c>
      <c r="J23" s="738" t="s">
        <v>306</v>
      </c>
      <c r="K23" s="738" t="s">
        <v>307</v>
      </c>
    </row>
    <row r="24" spans="2:11" x14ac:dyDescent="0.35">
      <c r="C24" s="650" t="s">
        <v>39</v>
      </c>
      <c r="D24" s="725">
        <f>+'02_CUADRYGRÁF.COMP.ÚLT.5 CAMP.'!C25</f>
        <v>12.69769</v>
      </c>
      <c r="E24" s="725">
        <f>+'02_CUADRYGRÁF.COMP.ÚLT.5 CAMP.'!D25</f>
        <v>13.250510999999999</v>
      </c>
      <c r="F24" s="725">
        <f>+'02_CUADRYGRÁF.COMP.ÚLT.5 CAMP.'!E25</f>
        <v>14.465849000000002</v>
      </c>
      <c r="G24" s="725">
        <f>+'02_CUADRYGRÁF.COMP.ÚLT.5 CAMP.'!F25</f>
        <v>15.916</v>
      </c>
      <c r="H24" s="747">
        <f>+IF(ISNUMBER('02_CUADRYGRÁF.COMP.ÚLT.5 CAMP.'!G25),'02_CUADRYGRÁF.COMP.ÚLT.5 CAMP.'!G25,NA())</f>
        <v>9.1419999999999995</v>
      </c>
      <c r="I24" s="741">
        <f>IF(ISNUMBER(H24),H24/G24-1,"")</f>
        <v>-0.42560944961045488</v>
      </c>
      <c r="J24" s="741">
        <f>IF(ISNUMBER(H24),H24/AVERAGE(E24:G24)-1,"")</f>
        <v>-0.37142982868678209</v>
      </c>
      <c r="K24" s="741">
        <f>IF(ISNUMBER(H24),H24/AVERAGE(D24:G24)-1,"")</f>
        <v>-0.350826068856676</v>
      </c>
    </row>
    <row r="25" spans="2:11" x14ac:dyDescent="0.35">
      <c r="C25" s="655" t="s">
        <v>40</v>
      </c>
      <c r="D25" s="727">
        <f>+'02_CUADRYGRÁF.COMP.ÚLT.5 CAMP.'!C26+'04_CUADROS ACUMULADOS'!D24</f>
        <v>31.644669999999998</v>
      </c>
      <c r="E25" s="727">
        <f>+'02_CUADRYGRÁF.COMP.ÚLT.5 CAMP.'!D26+'04_CUADROS ACUMULADOS'!E24</f>
        <v>35.446866</v>
      </c>
      <c r="F25" s="727">
        <f>+'02_CUADRYGRÁF.COMP.ÚLT.5 CAMP.'!E26+'04_CUADROS ACUMULADOS'!F24</f>
        <v>42.746533999999997</v>
      </c>
      <c r="G25" s="727">
        <f>+'02_CUADRYGRÁF.COMP.ÚLT.5 CAMP.'!F26+'04_CUADROS ACUMULADOS'!G24</f>
        <v>39.492000000000004</v>
      </c>
      <c r="H25" s="736">
        <f>+IF(ISNUMBER('02_CUADRYGRÁF.COMP.ÚLT.5 CAMP.'!G26),('02_CUADRYGRÁF.COMP.ÚLT.5 CAMP.'!G26+H24),NA())</f>
        <v>34.317999999999998</v>
      </c>
      <c r="I25" s="743">
        <f t="shared" ref="I25:I35" si="6">IF(ISNUMBER(H25),H25/G25-1,"")</f>
        <v>-0.13101387622809701</v>
      </c>
      <c r="J25" s="743">
        <f t="shared" ref="J25:J35" si="7">IF(ISNUMBER(H25),H25/AVERAGE(E25:G25)-1,"")</f>
        <v>-0.12517610510734567</v>
      </c>
      <c r="K25" s="743">
        <f t="shared" ref="K25:K35" si="8">IF(ISNUMBER(H25),H25/AVERAGE(D25:G25)-1,"")</f>
        <v>-8.0747769019327342E-2</v>
      </c>
    </row>
    <row r="26" spans="2:11" x14ac:dyDescent="0.35">
      <c r="C26" s="655" t="s">
        <v>41</v>
      </c>
      <c r="D26" s="727">
        <f>+'02_CUADRYGRÁF.COMP.ÚLT.5 CAMP.'!C27+'04_CUADROS ACUMULADOS'!D25</f>
        <v>67.238910000000004</v>
      </c>
      <c r="E26" s="727">
        <f>+'02_CUADRYGRÁF.COMP.ÚLT.5 CAMP.'!D27+'04_CUADROS ACUMULADOS'!E25</f>
        <v>70.860504999999989</v>
      </c>
      <c r="F26" s="727">
        <f>+'02_CUADRYGRÁF.COMP.ÚLT.5 CAMP.'!E27+'04_CUADROS ACUMULADOS'!F25</f>
        <v>69.504065999999995</v>
      </c>
      <c r="G26" s="727">
        <f>+'02_CUADRYGRÁF.COMP.ÚLT.5 CAMP.'!F27+'04_CUADROS ACUMULADOS'!G25</f>
        <v>70.084000000000003</v>
      </c>
      <c r="H26" s="736">
        <f>+IF(ISNUMBER('02_CUADRYGRÁF.COMP.ÚLT.5 CAMP.'!G27),('02_CUADRYGRÁF.COMP.ÚLT.5 CAMP.'!G27+H25),NA())</f>
        <v>62.195999999999998</v>
      </c>
      <c r="I26" s="743">
        <f t="shared" si="6"/>
        <v>-0.1125506535015125</v>
      </c>
      <c r="J26" s="743">
        <f t="shared" si="7"/>
        <v>-0.11337958194071085</v>
      </c>
      <c r="K26" s="743">
        <f t="shared" si="8"/>
        <v>-0.10408636678871386</v>
      </c>
    </row>
    <row r="27" spans="2:11" x14ac:dyDescent="0.35">
      <c r="C27" s="655" t="s">
        <v>42</v>
      </c>
      <c r="D27" s="727">
        <f>+'02_CUADRYGRÁF.COMP.ÚLT.5 CAMP.'!C28+'04_CUADROS ACUMULADOS'!D26</f>
        <v>80.076050000000009</v>
      </c>
      <c r="E27" s="727">
        <f>+'02_CUADRYGRÁF.COMP.ÚLT.5 CAMP.'!D28+'04_CUADROS ACUMULADOS'!E26</f>
        <v>83.900545999999991</v>
      </c>
      <c r="F27" s="727">
        <f>+'02_CUADRYGRÁF.COMP.ÚLT.5 CAMP.'!E28+'04_CUADROS ACUMULADOS'!F26</f>
        <v>87.718700999999996</v>
      </c>
      <c r="G27" s="727">
        <f>+'02_CUADRYGRÁF.COMP.ÚLT.5 CAMP.'!F28+'04_CUADROS ACUMULADOS'!G26</f>
        <v>87.469000000000008</v>
      </c>
      <c r="H27" s="736">
        <f>+IF(ISNUMBER('02_CUADRYGRÁF.COMP.ÚLT.5 CAMP.'!G28),('02_CUADRYGRÁF.COMP.ÚLT.5 CAMP.'!G28+H26),NA())</f>
        <v>80.926999999999992</v>
      </c>
      <c r="I27" s="743">
        <f t="shared" si="6"/>
        <v>-7.4792212098000577E-2</v>
      </c>
      <c r="J27" s="743">
        <f t="shared" si="7"/>
        <v>-6.2940898280113844E-2</v>
      </c>
      <c r="K27" s="743">
        <f t="shared" si="8"/>
        <v>-4.5571710043525004E-2</v>
      </c>
    </row>
    <row r="28" spans="2:11" x14ac:dyDescent="0.35">
      <c r="C28" s="655" t="s">
        <v>43</v>
      </c>
      <c r="D28" s="727">
        <f>+'02_CUADRYGRÁF.COMP.ÚLT.5 CAMP.'!C29+'04_CUADROS ACUMULADOS'!D27</f>
        <v>97.495650000000012</v>
      </c>
      <c r="E28" s="727">
        <f>+'02_CUADRYGRÁF.COMP.ÚLT.5 CAMP.'!D29+'04_CUADROS ACUMULADOS'!E27</f>
        <v>103.11714799999999</v>
      </c>
      <c r="F28" s="727">
        <f>+'02_CUADRYGRÁF.COMP.ÚLT.5 CAMP.'!E29+'04_CUADROS ACUMULADOS'!F27</f>
        <v>108.23317299999999</v>
      </c>
      <c r="G28" s="727">
        <f>+'02_CUADRYGRÁF.COMP.ÚLT.5 CAMP.'!F29+'04_CUADROS ACUMULADOS'!G27</f>
        <v>106.51100000000001</v>
      </c>
      <c r="H28" s="736">
        <f>+IF(ISNUMBER('02_CUADRYGRÁF.COMP.ÚLT.5 CAMP.'!G29),('02_CUADRYGRÁF.COMP.ÚLT.5 CAMP.'!G29+H27),NA())</f>
        <v>101.94699999999999</v>
      </c>
      <c r="I28" s="743">
        <f t="shared" si="6"/>
        <v>-4.2850034268761217E-2</v>
      </c>
      <c r="J28" s="743">
        <f t="shared" si="7"/>
        <v>-3.7816243140825656E-2</v>
      </c>
      <c r="K28" s="743">
        <f t="shared" si="8"/>
        <v>-1.8222809603453238E-2</v>
      </c>
    </row>
    <row r="29" spans="2:11" x14ac:dyDescent="0.35">
      <c r="C29" s="655" t="s">
        <v>44</v>
      </c>
      <c r="D29" s="727">
        <f>+'02_CUADRYGRÁF.COMP.ÚLT.5 CAMP.'!C30+'04_CUADROS ACUMULADOS'!D28</f>
        <v>109.53323000000002</v>
      </c>
      <c r="E29" s="727">
        <f>+'02_CUADRYGRÁF.COMP.ÚLT.5 CAMP.'!D30+'04_CUADROS ACUMULADOS'!E28</f>
        <v>120.54656999999999</v>
      </c>
      <c r="F29" s="727">
        <f>+'02_CUADRYGRÁF.COMP.ÚLT.5 CAMP.'!E30+'04_CUADROS ACUMULADOS'!F28</f>
        <v>129.64120399999999</v>
      </c>
      <c r="G29" s="727">
        <f>+'02_CUADRYGRÁF.COMP.ÚLT.5 CAMP.'!F30+'04_CUADROS ACUMULADOS'!G28</f>
        <v>128.56300000000002</v>
      </c>
      <c r="H29" s="736">
        <f>+IF(ISNUMBER('02_CUADRYGRÁF.COMP.ÚLT.5 CAMP.'!G30),('02_CUADRYGRÁF.COMP.ÚLT.5 CAMP.'!G30+H28),NA())</f>
        <v>129.494</v>
      </c>
      <c r="I29" s="743">
        <f t="shared" si="6"/>
        <v>7.2415858372936182E-3</v>
      </c>
      <c r="J29" s="743">
        <f t="shared" si="7"/>
        <v>2.5692953435390242E-2</v>
      </c>
      <c r="K29" s="743">
        <f t="shared" si="8"/>
        <v>6.0808864834327014E-2</v>
      </c>
    </row>
    <row r="30" spans="2:11" x14ac:dyDescent="0.35">
      <c r="C30" s="655" t="s">
        <v>45</v>
      </c>
      <c r="D30" s="727">
        <f>+'02_CUADRYGRÁF.COMP.ÚLT.5 CAMP.'!C31+'04_CUADROS ACUMULADOS'!D29</f>
        <v>131.46510000000001</v>
      </c>
      <c r="E30" s="727">
        <f>+'02_CUADRYGRÁF.COMP.ÚLT.5 CAMP.'!D31+'04_CUADROS ACUMULADOS'!E29</f>
        <v>130.87022399999998</v>
      </c>
      <c r="F30" s="727">
        <f>+'02_CUADRYGRÁF.COMP.ÚLT.5 CAMP.'!E31+'04_CUADROS ACUMULADOS'!F29</f>
        <v>153.27210399999998</v>
      </c>
      <c r="G30" s="727">
        <f>+'02_CUADRYGRÁF.COMP.ÚLT.5 CAMP.'!F31+'04_CUADROS ACUMULADOS'!G29</f>
        <v>145.19800000000001</v>
      </c>
      <c r="H30" s="736">
        <f>+IF(ISNUMBER('02_CUADRYGRÁF.COMP.ÚLT.5 CAMP.'!G31),('02_CUADRYGRÁF.COMP.ÚLT.5 CAMP.'!G31+H29),NA())</f>
        <v>152.55600000000001</v>
      </c>
      <c r="I30" s="743">
        <f t="shared" si="6"/>
        <v>5.0675629140897183E-2</v>
      </c>
      <c r="J30" s="743">
        <f t="shared" si="7"/>
        <v>6.5979527550927175E-2</v>
      </c>
      <c r="K30" s="743">
        <f t="shared" si="8"/>
        <v>8.8120709131224828E-2</v>
      </c>
    </row>
    <row r="31" spans="2:11" x14ac:dyDescent="0.35">
      <c r="C31" s="655" t="s">
        <v>46</v>
      </c>
      <c r="D31" s="727">
        <f>+'02_CUADRYGRÁF.COMP.ÚLT.5 CAMP.'!C32+'04_CUADROS ACUMULADOS'!D30</f>
        <v>151.89465000000001</v>
      </c>
      <c r="E31" s="727">
        <f>+'02_CUADRYGRÁF.COMP.ÚLT.5 CAMP.'!D32+'04_CUADROS ACUMULADOS'!E30</f>
        <v>145.19921699999998</v>
      </c>
      <c r="F31" s="727">
        <f>+'02_CUADRYGRÁF.COMP.ÚLT.5 CAMP.'!E32+'04_CUADROS ACUMULADOS'!F30</f>
        <v>173.59344099999998</v>
      </c>
      <c r="G31" s="727">
        <f>+'02_CUADRYGRÁF.COMP.ÚLT.5 CAMP.'!F32+'04_CUADROS ACUMULADOS'!G30</f>
        <v>160.47499999999999</v>
      </c>
      <c r="H31" s="736">
        <f>+IF(ISNUMBER('02_CUADRYGRÁF.COMP.ÚLT.5 CAMP.'!G32),('02_CUADRYGRÁF.COMP.ÚLT.5 CAMP.'!G32+H30),NA())</f>
        <v>177.55</v>
      </c>
      <c r="I31" s="743">
        <f t="shared" si="6"/>
        <v>0.10640286649010755</v>
      </c>
      <c r="J31" s="743">
        <f t="shared" si="7"/>
        <v>0.11138315116602349</v>
      </c>
      <c r="K31" s="743">
        <f t="shared" si="8"/>
        <v>0.12522562104579937</v>
      </c>
    </row>
    <row r="32" spans="2:11" x14ac:dyDescent="0.35">
      <c r="C32" s="655" t="s">
        <v>55</v>
      </c>
      <c r="D32" s="727">
        <f>+'02_CUADRYGRÁF.COMP.ÚLT.5 CAMP.'!C33+'04_CUADROS ACUMULADOS'!D31</f>
        <v>168.36934000000002</v>
      </c>
      <c r="E32" s="727">
        <f>+'02_CUADRYGRÁF.COMP.ÚLT.5 CAMP.'!D33+'04_CUADROS ACUMULADOS'!E31</f>
        <v>161.36776199999997</v>
      </c>
      <c r="F32" s="727">
        <f>+'02_CUADRYGRÁF.COMP.ÚLT.5 CAMP.'!E33+'04_CUADROS ACUMULADOS'!F31</f>
        <v>190.94453799999999</v>
      </c>
      <c r="G32" s="727">
        <f>+'02_CUADRYGRÁF.COMP.ÚLT.5 CAMP.'!F33+'04_CUADROS ACUMULADOS'!G31</f>
        <v>175.01599999999999</v>
      </c>
      <c r="H32" s="736">
        <f>+IF(ISNUMBER('02_CUADRYGRÁF.COMP.ÚLT.5 CAMP.'!G33),('02_CUADRYGRÁF.COMP.ÚLT.5 CAMP.'!G33+H31),NA())</f>
        <v>201.18600000000001</v>
      </c>
      <c r="I32" s="743">
        <f t="shared" si="6"/>
        <v>0.14952918590300324</v>
      </c>
      <c r="J32" s="743">
        <f t="shared" si="7"/>
        <v>0.14455833301569476</v>
      </c>
      <c r="K32" s="743">
        <f t="shared" si="8"/>
        <v>0.15674389811067924</v>
      </c>
    </row>
    <row r="33" spans="2:11" x14ac:dyDescent="0.35">
      <c r="C33" s="655" t="s">
        <v>56</v>
      </c>
      <c r="D33" s="727">
        <f>+'02_CUADRYGRÁF.COMP.ÚLT.5 CAMP.'!C34+'04_CUADROS ACUMULADOS'!D32</f>
        <v>181.02414000000002</v>
      </c>
      <c r="E33" s="727">
        <f>+'02_CUADRYGRÁF.COMP.ÚLT.5 CAMP.'!D34+'04_CUADROS ACUMULADOS'!E32</f>
        <v>180.55576299999996</v>
      </c>
      <c r="F33" s="727">
        <f>+'02_CUADRYGRÁF.COMP.ÚLT.5 CAMP.'!E34+'04_CUADROS ACUMULADOS'!F32</f>
        <v>212.62950899999998</v>
      </c>
      <c r="G33" s="727">
        <f>+'02_CUADRYGRÁF.COMP.ÚLT.5 CAMP.'!F34+'04_CUADROS ACUMULADOS'!G32</f>
        <v>188.12599999999998</v>
      </c>
      <c r="H33" s="736">
        <f>+IF(ISNUMBER('02_CUADRYGRÁF.COMP.ÚLT.5 CAMP.'!G34),('02_CUADRYGRÁF.COMP.ÚLT.5 CAMP.'!G34+H32),NA())</f>
        <v>217.18600000000001</v>
      </c>
      <c r="I33" s="743">
        <f t="shared" si="6"/>
        <v>0.15447093968935732</v>
      </c>
      <c r="J33" s="743">
        <f t="shared" si="7"/>
        <v>0.12084184736056547</v>
      </c>
      <c r="K33" s="743">
        <f t="shared" si="8"/>
        <v>0.13958237584796884</v>
      </c>
    </row>
    <row r="34" spans="2:11" x14ac:dyDescent="0.35">
      <c r="C34" s="655" t="s">
        <v>57</v>
      </c>
      <c r="D34" s="727">
        <f>+'02_CUADRYGRÁF.COMP.ÚLT.5 CAMP.'!C35+'04_CUADROS ACUMULADOS'!D33</f>
        <v>201.27201000000002</v>
      </c>
      <c r="E34" s="727">
        <f>+'02_CUADRYGRÁF.COMP.ÚLT.5 CAMP.'!D35+'04_CUADROS ACUMULADOS'!E33</f>
        <v>195.41719999999995</v>
      </c>
      <c r="F34" s="727">
        <f>+'02_CUADRYGRÁF.COMP.ÚLT.5 CAMP.'!E35+'04_CUADROS ACUMULADOS'!F33</f>
        <v>228.02828499999998</v>
      </c>
      <c r="G34" s="727">
        <f>+'02_CUADRYGRÁF.COMP.ÚLT.5 CAMP.'!F35+'04_CUADROS ACUMULADOS'!G33</f>
        <v>194.89099999999996</v>
      </c>
      <c r="H34" s="736" t="e">
        <f>+IF(ISNUMBER('02_CUADRYGRÁF.COMP.ÚLT.5 CAMP.'!G35),('02_CUADRYGRÁF.COMP.ÚLT.5 CAMP.'!G35+H33),NA())</f>
        <v>#N/A</v>
      </c>
      <c r="I34" s="743" t="str">
        <f t="shared" si="6"/>
        <v/>
      </c>
      <c r="J34" s="743" t="str">
        <f t="shared" si="7"/>
        <v/>
      </c>
      <c r="K34" s="743" t="str">
        <f t="shared" si="8"/>
        <v/>
      </c>
    </row>
    <row r="35" spans="2:11" ht="15" thickBot="1" x14ac:dyDescent="0.4">
      <c r="C35" s="659" t="s">
        <v>58</v>
      </c>
      <c r="D35" s="732">
        <f>+'02_CUADRYGRÁF.COMP.ÚLT.5 CAMP.'!C36+'04_CUADROS ACUMULADOS'!D34</f>
        <v>212.79342000000003</v>
      </c>
      <c r="E35" s="732">
        <f>+'02_CUADRYGRÁF.COMP.ÚLT.5 CAMP.'!D36+'04_CUADROS ACUMULADOS'!E34</f>
        <v>215.16145199999994</v>
      </c>
      <c r="F35" s="732">
        <f>+'02_CUADRYGRÁF.COMP.ÚLT.5 CAMP.'!E36+'04_CUADROS ACUMULADOS'!F34</f>
        <v>243.23502499999998</v>
      </c>
      <c r="G35" s="732">
        <f>+'02_CUADRYGRÁF.COMP.ÚLT.5 CAMP.'!F36+'04_CUADROS ACUMULADOS'!G34</f>
        <v>206.05899999999997</v>
      </c>
      <c r="H35" s="748" t="e">
        <f>+IF(ISNUMBER('02_CUADRYGRÁF.COMP.ÚLT.5 CAMP.'!G36),('02_CUADRYGRÁF.COMP.ÚLT.5 CAMP.'!G36+H34),NA())</f>
        <v>#N/A</v>
      </c>
      <c r="I35" s="746" t="str">
        <f t="shared" si="6"/>
        <v/>
      </c>
      <c r="J35" s="746" t="str">
        <f t="shared" si="7"/>
        <v/>
      </c>
      <c r="K35" s="746" t="str">
        <f t="shared" si="8"/>
        <v/>
      </c>
    </row>
    <row r="37" spans="2:11" ht="5.25" customHeight="1" x14ac:dyDescent="0.35"/>
    <row r="38" spans="2:11" ht="16" thickBot="1" x14ac:dyDescent="0.4">
      <c r="D38" s="794" t="s">
        <v>309</v>
      </c>
      <c r="E38" s="794"/>
      <c r="F38" s="794"/>
      <c r="G38" s="794"/>
      <c r="H38" s="794"/>
      <c r="I38" s="794"/>
      <c r="J38" s="794"/>
      <c r="K38" s="794"/>
    </row>
    <row r="39" spans="2:11" ht="24" thickBot="1" x14ac:dyDescent="0.4">
      <c r="C39" s="724"/>
      <c r="D39" s="737" t="s">
        <v>292</v>
      </c>
      <c r="E39" s="737" t="s">
        <v>293</v>
      </c>
      <c r="F39" s="737" t="s">
        <v>294</v>
      </c>
      <c r="G39" s="737" t="s">
        <v>295</v>
      </c>
      <c r="H39" s="737" t="s">
        <v>296</v>
      </c>
      <c r="I39" s="738" t="s">
        <v>305</v>
      </c>
      <c r="J39" s="738" t="s">
        <v>306</v>
      </c>
      <c r="K39" s="738" t="s">
        <v>307</v>
      </c>
    </row>
    <row r="40" spans="2:11" x14ac:dyDescent="0.35">
      <c r="B40" s="6"/>
      <c r="C40" s="650" t="s">
        <v>39</v>
      </c>
      <c r="D40" s="725">
        <f>+'02_CUADRYGRÁF.COMP.ÚLT.5 CAMP.'!C42</f>
        <v>83.497780000000006</v>
      </c>
      <c r="E40" s="725">
        <f>+'02_CUADRYGRÁF.COMP.ÚLT.5 CAMP.'!D42</f>
        <v>88.527711999999994</v>
      </c>
      <c r="F40" s="725">
        <f>+'02_CUADRYGRÁF.COMP.ÚLT.5 CAMP.'!E42</f>
        <v>55.755136</v>
      </c>
      <c r="G40" s="725">
        <f>+'02_CUADRYGRÁF.COMP.ÚLT.5 CAMP.'!F42</f>
        <v>60.277999999999999</v>
      </c>
      <c r="H40" s="747">
        <f>+IF(ISNUMBER('02_CUADRYGRÁF.COMP.ÚLT.5 CAMP.'!G42),'02_CUADRYGRÁF.COMP.ÚLT.5 CAMP.'!G42,NA())</f>
        <v>77.968000000000004</v>
      </c>
      <c r="I40" s="741">
        <f>IF(ISNUMBER(H40),H40/G40-1,"")</f>
        <v>0.29347357244765937</v>
      </c>
      <c r="J40" s="741">
        <f>IF(ISNUMBER(H40),H40/AVERAGE(E40:G40)-1,"")</f>
        <v>0.14344461458235647</v>
      </c>
      <c r="K40" s="741">
        <f>IF(ISNUMBER(H40),H40/AVERAGE(D40:G40)-1,"")</f>
        <v>8.2668490665726679E-2</v>
      </c>
    </row>
    <row r="41" spans="2:11" x14ac:dyDescent="0.35">
      <c r="B41" s="6"/>
      <c r="C41" s="655" t="s">
        <v>40</v>
      </c>
      <c r="D41" s="727">
        <f>+'02_CUADRYGRÁF.COMP.ÚLT.5 CAMP.'!C43+'04_CUADROS ACUMULADOS'!D40</f>
        <v>166.90622999999999</v>
      </c>
      <c r="E41" s="727">
        <f>+'02_CUADRYGRÁF.COMP.ÚLT.5 CAMP.'!D43+'04_CUADROS ACUMULADOS'!E40</f>
        <v>156.218311</v>
      </c>
      <c r="F41" s="727">
        <f>+'02_CUADRYGRÁF.COMP.ÚLT.5 CAMP.'!E43+'04_CUADROS ACUMULADOS'!F40</f>
        <v>108.469735</v>
      </c>
      <c r="G41" s="727">
        <f>+'02_CUADRYGRÁF.COMP.ÚLT.5 CAMP.'!F43+'04_CUADROS ACUMULADOS'!G40</f>
        <v>120.215</v>
      </c>
      <c r="H41" s="736">
        <f>+IF(ISNUMBER('02_CUADRYGRÁF.COMP.ÚLT.5 CAMP.'!G43),('02_CUADRYGRÁF.COMP.ÚLT.5 CAMP.'!G43+H40),NA())</f>
        <v>150.26499999999999</v>
      </c>
      <c r="I41" s="743">
        <f t="shared" ref="I41:I51" si="9">IF(ISNUMBER(H41),H41/G41-1,"")</f>
        <v>0.24996880588944803</v>
      </c>
      <c r="J41" s="743">
        <f t="shared" ref="J41:J51" si="10">IF(ISNUMBER(H41),H41/AVERAGE(E41:G41)-1,"")</f>
        <v>0.17119104326339873</v>
      </c>
      <c r="K41" s="743">
        <f t="shared" ref="K41:K51" si="11">IF(ISNUMBER(H41),H41/AVERAGE(D41:G41)-1,"")</f>
        <v>8.9253164348762848E-2</v>
      </c>
    </row>
    <row r="42" spans="2:11" x14ac:dyDescent="0.35">
      <c r="B42" s="6"/>
      <c r="C42" s="655" t="s">
        <v>41</v>
      </c>
      <c r="D42" s="727">
        <f>+'02_CUADRYGRÁF.COMP.ÚLT.5 CAMP.'!C44+'04_CUADROS ACUMULADOS'!D41</f>
        <v>248.33305999999999</v>
      </c>
      <c r="E42" s="727">
        <f>+'02_CUADRYGRÁF.COMP.ÚLT.5 CAMP.'!D44+'04_CUADROS ACUMULADOS'!E41</f>
        <v>219.787091</v>
      </c>
      <c r="F42" s="727">
        <f>+'02_CUADRYGRÁF.COMP.ÚLT.5 CAMP.'!E44+'04_CUADROS ACUMULADOS'!F41</f>
        <v>168.29879800000001</v>
      </c>
      <c r="G42" s="727">
        <f>+'02_CUADRYGRÁF.COMP.ÚLT.5 CAMP.'!F44+'04_CUADROS ACUMULADOS'!G41</f>
        <v>189.93799999999999</v>
      </c>
      <c r="H42" s="736">
        <f>+IF(ISNUMBER('02_CUADRYGRÁF.COMP.ÚLT.5 CAMP.'!G44),('02_CUADRYGRÁF.COMP.ÚLT.5 CAMP.'!G44+H41),NA())</f>
        <v>222.45699999999999</v>
      </c>
      <c r="I42" s="743">
        <f t="shared" si="9"/>
        <v>0.1712084996156642</v>
      </c>
      <c r="J42" s="743">
        <f t="shared" si="10"/>
        <v>0.15457338822894218</v>
      </c>
      <c r="K42" s="743">
        <f t="shared" si="11"/>
        <v>7.6808274047683867E-2</v>
      </c>
    </row>
    <row r="43" spans="2:11" x14ac:dyDescent="0.35">
      <c r="B43" s="6"/>
      <c r="C43" s="655" t="s">
        <v>42</v>
      </c>
      <c r="D43" s="727">
        <f>+'02_CUADRYGRÁF.COMP.ÚLT.5 CAMP.'!C45+'04_CUADROS ACUMULADOS'!D42</f>
        <v>322.07898</v>
      </c>
      <c r="E43" s="727">
        <f>+'02_CUADRYGRÁF.COMP.ÚLT.5 CAMP.'!D45+'04_CUADROS ACUMULADOS'!E42</f>
        <v>275.75828200000001</v>
      </c>
      <c r="F43" s="727">
        <f>+'02_CUADRYGRÁF.COMP.ÚLT.5 CAMP.'!E45+'04_CUADROS ACUMULADOS'!F42</f>
        <v>237.84382199999999</v>
      </c>
      <c r="G43" s="727">
        <f>+'02_CUADRYGRÁF.COMP.ÚLT.5 CAMP.'!F45+'04_CUADROS ACUMULADOS'!G42</f>
        <v>279.24199999999996</v>
      </c>
      <c r="H43" s="736">
        <f>+IF(ISNUMBER('02_CUADRYGRÁF.COMP.ÚLT.5 CAMP.'!G45),('02_CUADRYGRÁF.COMP.ÚLT.5 CAMP.'!G45+H42),NA())</f>
        <v>301.64800000000002</v>
      </c>
      <c r="I43" s="743">
        <f t="shared" si="9"/>
        <v>8.0238646048947038E-2</v>
      </c>
      <c r="J43" s="743">
        <f t="shared" si="10"/>
        <v>0.14138958142520308</v>
      </c>
      <c r="K43" s="743">
        <f t="shared" si="11"/>
        <v>8.2219946214693307E-2</v>
      </c>
    </row>
    <row r="44" spans="2:11" x14ac:dyDescent="0.35">
      <c r="B44" s="6"/>
      <c r="C44" s="655" t="s">
        <v>43</v>
      </c>
      <c r="D44" s="727">
        <f>+'02_CUADRYGRÁF.COMP.ÚLT.5 CAMP.'!C46+'04_CUADROS ACUMULADOS'!D43</f>
        <v>410.40854999999999</v>
      </c>
      <c r="E44" s="727">
        <f>+'02_CUADRYGRÁF.COMP.ÚLT.5 CAMP.'!D46+'04_CUADROS ACUMULADOS'!E43</f>
        <v>324.02162299999998</v>
      </c>
      <c r="F44" s="727">
        <f>+'02_CUADRYGRÁF.COMP.ÚLT.5 CAMP.'!E46+'04_CUADROS ACUMULADOS'!F43</f>
        <v>302.839606</v>
      </c>
      <c r="G44" s="727">
        <f>+'02_CUADRYGRÁF.COMP.ÚLT.5 CAMP.'!F46+'04_CUADROS ACUMULADOS'!G43</f>
        <v>369.86999999999995</v>
      </c>
      <c r="H44" s="736">
        <f>+IF(ISNUMBER('02_CUADRYGRÁF.COMP.ÚLT.5 CAMP.'!G46),('02_CUADRYGRÁF.COMP.ÚLT.5 CAMP.'!G46+H43),NA())</f>
        <v>390.92400000000004</v>
      </c>
      <c r="I44" s="743">
        <f t="shared" si="9"/>
        <v>5.6922702571173822E-2</v>
      </c>
      <c r="J44" s="743">
        <f t="shared" si="10"/>
        <v>0.17661809510736237</v>
      </c>
      <c r="K44" s="743">
        <f t="shared" si="11"/>
        <v>0.11125847150114598</v>
      </c>
    </row>
    <row r="45" spans="2:11" x14ac:dyDescent="0.35">
      <c r="B45" s="6"/>
      <c r="C45" s="655" t="s">
        <v>44</v>
      </c>
      <c r="D45" s="727">
        <f>+'02_CUADRYGRÁF.COMP.ÚLT.5 CAMP.'!C47+'04_CUADROS ACUMULADOS'!D44</f>
        <v>488.70652000000001</v>
      </c>
      <c r="E45" s="727">
        <f>+'02_CUADRYGRÁF.COMP.ÚLT.5 CAMP.'!D47+'04_CUADROS ACUMULADOS'!E44</f>
        <v>388.217579</v>
      </c>
      <c r="F45" s="727">
        <f>+'02_CUADRYGRÁF.COMP.ÚLT.5 CAMP.'!E47+'04_CUADROS ACUMULADOS'!F44</f>
        <v>363.45024599999999</v>
      </c>
      <c r="G45" s="727">
        <f>+'02_CUADRYGRÁF.COMP.ÚLT.5 CAMP.'!F47+'04_CUADROS ACUMULADOS'!G44</f>
        <v>466.85099999999994</v>
      </c>
      <c r="H45" s="736">
        <f>+IF(ISNUMBER('02_CUADRYGRÁF.COMP.ÚLT.5 CAMP.'!G47),('02_CUADRYGRÁF.COMP.ÚLT.5 CAMP.'!G47+H44),NA())</f>
        <v>488.84100000000001</v>
      </c>
      <c r="I45" s="743">
        <f t="shared" si="9"/>
        <v>4.7102822956361035E-2</v>
      </c>
      <c r="J45" s="743">
        <f t="shared" si="10"/>
        <v>0.20352921096643706</v>
      </c>
      <c r="K45" s="743">
        <f t="shared" si="11"/>
        <v>0.14534616401210942</v>
      </c>
    </row>
    <row r="46" spans="2:11" x14ac:dyDescent="0.35">
      <c r="B46" s="6"/>
      <c r="C46" s="655" t="s">
        <v>45</v>
      </c>
      <c r="D46" s="727">
        <f>+'02_CUADRYGRÁF.COMP.ÚLT.5 CAMP.'!C48+'04_CUADROS ACUMULADOS'!D45</f>
        <v>596.03979000000004</v>
      </c>
      <c r="E46" s="727">
        <f>+'02_CUADRYGRÁF.COMP.ÚLT.5 CAMP.'!D48+'04_CUADROS ACUMULADOS'!E45</f>
        <v>439.80747500000001</v>
      </c>
      <c r="F46" s="727">
        <f>+'02_CUADRYGRÁF.COMP.ÚLT.5 CAMP.'!E48+'04_CUADROS ACUMULADOS'!F45</f>
        <v>437.85944000000001</v>
      </c>
      <c r="G46" s="727">
        <f>+'02_CUADRYGRÁF.COMP.ÚLT.5 CAMP.'!F48+'04_CUADROS ACUMULADOS'!G45</f>
        <v>565.62899999999991</v>
      </c>
      <c r="H46" s="736">
        <f>+IF(ISNUMBER('02_CUADRYGRÁF.COMP.ÚLT.5 CAMP.'!G48),('02_CUADRYGRÁF.COMP.ÚLT.5 CAMP.'!G48+H45),NA())</f>
        <v>575.46600000000001</v>
      </c>
      <c r="I46" s="743">
        <f t="shared" si="9"/>
        <v>1.7391258227566375E-2</v>
      </c>
      <c r="J46" s="743">
        <f t="shared" si="10"/>
        <v>0.19614971680980609</v>
      </c>
      <c r="K46" s="743">
        <f t="shared" si="11"/>
        <v>0.12873226039064534</v>
      </c>
    </row>
    <row r="47" spans="2:11" x14ac:dyDescent="0.35">
      <c r="B47" s="6"/>
      <c r="C47" s="655" t="s">
        <v>46</v>
      </c>
      <c r="D47" s="727">
        <f>+'02_CUADRYGRÁF.COMP.ÚLT.5 CAMP.'!C49+'04_CUADROS ACUMULADOS'!D46</f>
        <v>713.85813000000007</v>
      </c>
      <c r="E47" s="727">
        <f>+'02_CUADRYGRÁF.COMP.ÚLT.5 CAMP.'!D49+'04_CUADROS ACUMULADOS'!E46</f>
        <v>508.06014099999999</v>
      </c>
      <c r="F47" s="727">
        <f>+'02_CUADRYGRÁF.COMP.ÚLT.5 CAMP.'!E49+'04_CUADROS ACUMULADOS'!F46</f>
        <v>510.14424500000001</v>
      </c>
      <c r="G47" s="727">
        <f>+'02_CUADRYGRÁF.COMP.ÚLT.5 CAMP.'!F49+'04_CUADROS ACUMULADOS'!G46</f>
        <v>664.95299999999986</v>
      </c>
      <c r="H47" s="736">
        <f>+IF(ISNUMBER('02_CUADRYGRÁF.COMP.ÚLT.5 CAMP.'!G49),('02_CUADRYGRÁF.COMP.ÚLT.5 CAMP.'!G49+H46),NA())</f>
        <v>660.56100000000004</v>
      </c>
      <c r="I47" s="743">
        <f t="shared" si="9"/>
        <v>-6.6049780961959792E-3</v>
      </c>
      <c r="J47" s="743">
        <f t="shared" si="10"/>
        <v>0.17736048719094666</v>
      </c>
      <c r="K47" s="743">
        <f t="shared" si="11"/>
        <v>0.10230575578802403</v>
      </c>
    </row>
    <row r="48" spans="2:11" x14ac:dyDescent="0.35">
      <c r="B48" s="6"/>
      <c r="C48" s="655" t="s">
        <v>55</v>
      </c>
      <c r="D48" s="727">
        <f>+'02_CUADRYGRÁF.COMP.ÚLT.5 CAMP.'!C50+'04_CUADROS ACUMULADOS'!D47</f>
        <v>817.30445000000009</v>
      </c>
      <c r="E48" s="727">
        <f>+'02_CUADRYGRÁF.COMP.ÚLT.5 CAMP.'!D50+'04_CUADROS ACUMULADOS'!E47</f>
        <v>573.12506099999996</v>
      </c>
      <c r="F48" s="727">
        <f>+'02_CUADRYGRÁF.COMP.ÚLT.5 CAMP.'!E50+'04_CUADROS ACUMULADOS'!F47</f>
        <v>576.72213699999998</v>
      </c>
      <c r="G48" s="727">
        <f>+'02_CUADRYGRÁF.COMP.ÚLT.5 CAMP.'!F50+'04_CUADROS ACUMULADOS'!G47</f>
        <v>759.43599999999992</v>
      </c>
      <c r="H48" s="736">
        <f>+IF(ISNUMBER('02_CUADRYGRÁF.COMP.ÚLT.5 CAMP.'!G50),('02_CUADRYGRÁF.COMP.ÚLT.5 CAMP.'!G50+H47),NA())</f>
        <v>744.44</v>
      </c>
      <c r="I48" s="743">
        <f t="shared" si="9"/>
        <v>-1.9746232730605162E-2</v>
      </c>
      <c r="J48" s="743">
        <f t="shared" si="10"/>
        <v>0.16971646864091872</v>
      </c>
      <c r="K48" s="743">
        <f t="shared" si="11"/>
        <v>9.2119669134509419E-2</v>
      </c>
    </row>
    <row r="49" spans="2:11" x14ac:dyDescent="0.35">
      <c r="B49" s="6"/>
      <c r="C49" s="655" t="s">
        <v>56</v>
      </c>
      <c r="D49" s="727">
        <f>+'02_CUADRYGRÁF.COMP.ÚLT.5 CAMP.'!C51+'04_CUADROS ACUMULADOS'!D48</f>
        <v>907.73142000000007</v>
      </c>
      <c r="E49" s="727">
        <f>+'02_CUADRYGRÁF.COMP.ÚLT.5 CAMP.'!D51+'04_CUADROS ACUMULADOS'!E48</f>
        <v>631.99860200000001</v>
      </c>
      <c r="F49" s="727">
        <f>+'02_CUADRYGRÁF.COMP.ÚLT.5 CAMP.'!E51+'04_CUADROS ACUMULADOS'!F48</f>
        <v>636.18793499999992</v>
      </c>
      <c r="G49" s="727">
        <f>+'02_CUADRYGRÁF.COMP.ÚLT.5 CAMP.'!F51+'04_CUADROS ACUMULADOS'!G48</f>
        <v>870.43299999999988</v>
      </c>
      <c r="H49" s="736">
        <f>+IF(ISNUMBER('02_CUADRYGRÁF.COMP.ÚLT.5 CAMP.'!G51),('02_CUADRYGRÁF.COMP.ÚLT.5 CAMP.'!G51+H48),NA())</f>
        <v>833.44</v>
      </c>
      <c r="I49" s="743">
        <f t="shared" si="9"/>
        <v>-4.2499537586465408E-2</v>
      </c>
      <c r="J49" s="743">
        <f t="shared" si="10"/>
        <v>0.16912800839151787</v>
      </c>
      <c r="K49" s="743">
        <f t="shared" si="11"/>
        <v>9.4345348601277523E-2</v>
      </c>
    </row>
    <row r="50" spans="2:11" x14ac:dyDescent="0.35">
      <c r="B50" s="6"/>
      <c r="C50" s="655" t="s">
        <v>57</v>
      </c>
      <c r="D50" s="727">
        <f>+'02_CUADRYGRÁF.COMP.ÚLT.5 CAMP.'!C52+'04_CUADROS ACUMULADOS'!D49</f>
        <v>990.87665000000004</v>
      </c>
      <c r="E50" s="727">
        <f>+'02_CUADRYGRÁF.COMP.ÚLT.5 CAMP.'!D52+'04_CUADROS ACUMULADOS'!E49</f>
        <v>680.12511100000006</v>
      </c>
      <c r="F50" s="727">
        <f>+'02_CUADRYGRÁF.COMP.ÚLT.5 CAMP.'!E52+'04_CUADROS ACUMULADOS'!F49</f>
        <v>691.25826699999993</v>
      </c>
      <c r="G50" s="727">
        <f>+'02_CUADRYGRÁF.COMP.ÚLT.5 CAMP.'!F52+'04_CUADROS ACUMULADOS'!G49</f>
        <v>946.48399999999992</v>
      </c>
      <c r="H50" s="736" t="e">
        <f>+IF(ISNUMBER('02_CUADRYGRÁF.COMP.ÚLT.5 CAMP.'!G52),('02_CUADRYGRÁF.COMP.ÚLT.5 CAMP.'!G52+H49),NA())</f>
        <v>#N/A</v>
      </c>
      <c r="I50" s="743" t="str">
        <f t="shared" si="9"/>
        <v/>
      </c>
      <c r="J50" s="743" t="str">
        <f t="shared" si="10"/>
        <v/>
      </c>
      <c r="K50" s="743" t="str">
        <f t="shared" si="11"/>
        <v/>
      </c>
    </row>
    <row r="51" spans="2:11" ht="15" thickBot="1" x14ac:dyDescent="0.4">
      <c r="B51" s="6"/>
      <c r="C51" s="659" t="s">
        <v>58</v>
      </c>
      <c r="D51" s="728">
        <f>+'02_CUADRYGRÁF.COMP.ÚLT.5 CAMP.'!C53+'04_CUADROS ACUMULADOS'!D50</f>
        <v>1080.2424900000001</v>
      </c>
      <c r="E51" s="728">
        <f>+'02_CUADRYGRÁF.COMP.ÚLT.5 CAMP.'!D53+'04_CUADROS ACUMULADOS'!E50</f>
        <v>738.85136100000011</v>
      </c>
      <c r="F51" s="728">
        <f>+'02_CUADRYGRÁF.COMP.ÚLT.5 CAMP.'!E53+'04_CUADROS ACUMULADOS'!F50</f>
        <v>760.32535099999996</v>
      </c>
      <c r="G51" s="728">
        <f>+'02_CUADRYGRÁF.COMP.ÚLT.5 CAMP.'!F53+'04_CUADROS ACUMULADOS'!G50</f>
        <v>1041.5709999999999</v>
      </c>
      <c r="H51" s="748" t="e">
        <f>+IF(ISNUMBER('02_CUADRYGRÁF.COMP.ÚLT.5 CAMP.'!G53),('02_CUADRYGRÁF.COMP.ÚLT.5 CAMP.'!G53+H50),NA())</f>
        <v>#N/A</v>
      </c>
      <c r="I51" s="746" t="str">
        <f t="shared" si="9"/>
        <v/>
      </c>
      <c r="J51" s="746" t="str">
        <f t="shared" si="10"/>
        <v/>
      </c>
      <c r="K51" s="746" t="str">
        <f t="shared" si="11"/>
        <v/>
      </c>
    </row>
    <row r="53" spans="2:11" ht="6" customHeight="1" x14ac:dyDescent="0.35"/>
    <row r="54" spans="2:11" ht="16" thickBot="1" x14ac:dyDescent="0.4">
      <c r="D54" s="794" t="s">
        <v>310</v>
      </c>
      <c r="E54" s="794"/>
      <c r="F54" s="794"/>
      <c r="G54" s="794"/>
      <c r="H54" s="794"/>
      <c r="I54" s="794"/>
      <c r="J54" s="794"/>
      <c r="K54" s="794"/>
    </row>
    <row r="55" spans="2:11" ht="35.5" customHeight="1" thickBot="1" x14ac:dyDescent="0.4">
      <c r="C55" s="724"/>
      <c r="D55" s="737" t="s">
        <v>292</v>
      </c>
      <c r="E55" s="737" t="s">
        <v>293</v>
      </c>
      <c r="F55" s="737" t="s">
        <v>294</v>
      </c>
      <c r="G55" s="737" t="s">
        <v>295</v>
      </c>
      <c r="H55" s="737" t="s">
        <v>296</v>
      </c>
      <c r="I55" s="738" t="s">
        <v>305</v>
      </c>
      <c r="J55" s="738" t="s">
        <v>306</v>
      </c>
      <c r="K55" s="738" t="s">
        <v>307</v>
      </c>
    </row>
    <row r="56" spans="2:11" x14ac:dyDescent="0.35">
      <c r="B56" s="6"/>
      <c r="C56" s="650" t="s">
        <v>39</v>
      </c>
      <c r="D56" s="725">
        <f>+'02_CUADRYGRÁF.COMP.ÚLT.5 CAMP.'!C59</f>
        <v>39.580289999999991</v>
      </c>
      <c r="E56" s="726">
        <f>+'02_CUADRYGRÁF.COMP.ÚLT.5 CAMP.'!D59</f>
        <v>42.192538999999968</v>
      </c>
      <c r="F56" s="726">
        <f>+'02_CUADRYGRÁF.COMP.ÚLT.5 CAMP.'!E59</f>
        <v>25.320353000000004</v>
      </c>
      <c r="G56" s="739">
        <f>+'02_CUADRYGRÁF.COMP.ÚLT.5 CAMP.'!F59</f>
        <v>38.408901540294202</v>
      </c>
      <c r="H56" s="747">
        <f>+IF(ISNUMBER('02_CUADRYGRÁF.COMP.ÚLT.5 CAMP.'!G59),'02_CUADRYGRÁF.COMP.ÚLT.5 CAMP.'!G59,NA())</f>
        <v>37.725166850769099</v>
      </c>
      <c r="I56" s="741">
        <f>IF(ISNUMBER(H56),H56/G56-1,"")</f>
        <v>-1.7801464298785152E-2</v>
      </c>
      <c r="J56" s="741">
        <f>IF(ISNUMBER(H56),H56/AVERAGE(E56:G56)-1,"")</f>
        <v>6.8481723822526819E-2</v>
      </c>
      <c r="K56" s="741">
        <f>IF(ISNUMBER(H56),H56/AVERAGE(D56:G56)-1,"")</f>
        <v>3.7103137848106371E-2</v>
      </c>
    </row>
    <row r="57" spans="2:11" x14ac:dyDescent="0.35">
      <c r="B57" s="6"/>
      <c r="C57" s="655" t="s">
        <v>40</v>
      </c>
      <c r="D57" s="727">
        <f>+'02_CUADRYGRÁF.COMP.ÚLT.5 CAMP.'!C60+'04_CUADROS ACUMULADOS'!D56</f>
        <v>87.318000000000097</v>
      </c>
      <c r="E57" s="727">
        <f>+'02_CUADRYGRÁF.COMP.ÚLT.5 CAMP.'!D60+'04_CUADROS ACUMULADOS'!E56</f>
        <v>81.693125000000038</v>
      </c>
      <c r="F57" s="727">
        <f>+'02_CUADRYGRÁF.COMP.ÚLT.5 CAMP.'!E60+'04_CUADROS ACUMULADOS'!F56</f>
        <v>72.222498999999985</v>
      </c>
      <c r="G57" s="736">
        <f>+'02_CUADRYGRÁF.COMP.ÚLT.5 CAMP.'!F60+'04_CUADROS ACUMULADOS'!G56</f>
        <v>78.847648908303739</v>
      </c>
      <c r="H57" s="736">
        <f>+IF(ISNUMBER('02_CUADRYGRÁF.COMP.ÚLT.5 CAMP.'!G60),('02_CUADRYGRÁF.COMP.ÚLT.5 CAMP.'!G60+H56),NA())</f>
        <v>83.849368732181219</v>
      </c>
      <c r="I57" s="743">
        <f t="shared" ref="I57:I67" si="12">IF(ISNUMBER(H57),H57/G57-1,"")</f>
        <v>6.3435243702627764E-2</v>
      </c>
      <c r="J57" s="743">
        <f t="shared" ref="J57:J67" si="13">IF(ISNUMBER(H57),H57/AVERAGE(E57:G57)-1,"")</f>
        <v>8.0703596635024466E-2</v>
      </c>
      <c r="K57" s="743">
        <f t="shared" ref="K57:K67" si="14">IF(ISNUMBER(H57),H57/AVERAGE(D57:G57)-1,"")</f>
        <v>4.7850978225798313E-2</v>
      </c>
    </row>
    <row r="58" spans="2:11" x14ac:dyDescent="0.35">
      <c r="B58" s="6"/>
      <c r="C58" s="655" t="s">
        <v>41</v>
      </c>
      <c r="D58" s="727">
        <f>+'02_CUADRYGRÁF.COMP.ÚLT.5 CAMP.'!C61+'04_CUADROS ACUMULADOS'!D57</f>
        <v>139.05804999999998</v>
      </c>
      <c r="E58" s="727">
        <f>+'02_CUADRYGRÁF.COMP.ÚLT.5 CAMP.'!D61+'04_CUADROS ACUMULADOS'!E57</f>
        <v>105.20743400000001</v>
      </c>
      <c r="F58" s="727">
        <f>+'02_CUADRYGRÁF.COMP.ÚLT.5 CAMP.'!E61+'04_CUADROS ACUMULADOS'!F57</f>
        <v>109.24244799999988</v>
      </c>
      <c r="G58" s="736">
        <f>+'02_CUADRYGRÁF.COMP.ÚLT.5 CAMP.'!F61+'04_CUADROS ACUMULADOS'!G57</f>
        <v>133.07268886535695</v>
      </c>
      <c r="H58" s="736">
        <f>+IF(ISNUMBER('02_CUADRYGRÁF.COMP.ÚLT.5 CAMP.'!G61),('02_CUADRYGRÁF.COMP.ÚLT.5 CAMP.'!G61+H57),NA())</f>
        <v>130.76868146965126</v>
      </c>
      <c r="I58" s="743">
        <f t="shared" si="12"/>
        <v>-1.7313901262165809E-2</v>
      </c>
      <c r="J58" s="743">
        <f t="shared" si="13"/>
        <v>0.12886493510934494</v>
      </c>
      <c r="K58" s="743">
        <f t="shared" si="14"/>
        <v>7.500114769952293E-2</v>
      </c>
    </row>
    <row r="59" spans="2:11" x14ac:dyDescent="0.35">
      <c r="B59" s="6"/>
      <c r="C59" s="655" t="s">
        <v>42</v>
      </c>
      <c r="D59" s="727">
        <f>+'02_CUADRYGRÁF.COMP.ÚLT.5 CAMP.'!C62+'04_CUADROS ACUMULADOS'!D58</f>
        <v>193.13757999999996</v>
      </c>
      <c r="E59" s="727">
        <f>+'02_CUADRYGRÁF.COMP.ÚLT.5 CAMP.'!D62+'04_CUADROS ACUMULADOS'!E58</f>
        <v>119.54563399999989</v>
      </c>
      <c r="F59" s="727">
        <f>+'02_CUADRYGRÁF.COMP.ÚLT.5 CAMP.'!E62+'04_CUADROS ACUMULADOS'!F58</f>
        <v>147.94609900000006</v>
      </c>
      <c r="G59" s="736">
        <f>+'02_CUADRYGRÁF.COMP.ÚLT.5 CAMP.'!F62+'04_CUADROS ACUMULADOS'!G58</f>
        <v>182.50297299371775</v>
      </c>
      <c r="H59" s="736">
        <f>+IF(ISNUMBER('02_CUADRYGRÁF.COMP.ÚLT.5 CAMP.'!G62),('02_CUADRYGRÁF.COMP.ÚLT.5 CAMP.'!G62+H58),NA())</f>
        <v>171.78579682893454</v>
      </c>
      <c r="I59" s="743">
        <f t="shared" si="12"/>
        <v>-5.8723296333107577E-2</v>
      </c>
      <c r="J59" s="743">
        <f t="shared" si="13"/>
        <v>0.14525211879714517</v>
      </c>
      <c r="K59" s="743">
        <f t="shared" si="14"/>
        <v>6.8432113082331547E-2</v>
      </c>
    </row>
    <row r="60" spans="2:11" x14ac:dyDescent="0.35">
      <c r="B60" s="6"/>
      <c r="C60" s="655" t="s">
        <v>43</v>
      </c>
      <c r="D60" s="727">
        <f>+'02_CUADRYGRÁF.COMP.ÚLT.5 CAMP.'!C63+'04_CUADROS ACUMULADOS'!D59</f>
        <v>237.43851999999981</v>
      </c>
      <c r="E60" s="727">
        <f>+'02_CUADRYGRÁF.COMP.ÚLT.5 CAMP.'!D63+'04_CUADROS ACUMULADOS'!E59</f>
        <v>149.59660499999998</v>
      </c>
      <c r="F60" s="727">
        <f>+'02_CUADRYGRÁF.COMP.ÚLT.5 CAMP.'!E63+'04_CUADROS ACUMULADOS'!F59</f>
        <v>179.09566700000016</v>
      </c>
      <c r="G60" s="736">
        <f>+'02_CUADRYGRÁF.COMP.ÚLT.5 CAMP.'!F63+'04_CUADROS ACUMULADOS'!G59</f>
        <v>223.07188963530888</v>
      </c>
      <c r="H60" s="736">
        <f>+IF(ISNUMBER('02_CUADRYGRÁF.COMP.ÚLT.5 CAMP.'!G63),('02_CUADRYGRÁF.COMP.ÚLT.5 CAMP.'!G63+H59),NA())</f>
        <v>217.40171134530226</v>
      </c>
      <c r="I60" s="743">
        <f t="shared" si="12"/>
        <v>-2.541861414845481E-2</v>
      </c>
      <c r="J60" s="743">
        <f t="shared" si="13"/>
        <v>0.18203605704095138</v>
      </c>
      <c r="K60" s="743">
        <f t="shared" si="14"/>
        <v>0.10188024650308392</v>
      </c>
    </row>
    <row r="61" spans="2:11" x14ac:dyDescent="0.35">
      <c r="B61" s="6"/>
      <c r="C61" s="655" t="s">
        <v>44</v>
      </c>
      <c r="D61" s="727">
        <f>+'02_CUADRYGRÁF.COMP.ÚLT.5 CAMP.'!C64+'04_CUADROS ACUMULADOS'!D60</f>
        <v>308.10797999999966</v>
      </c>
      <c r="E61" s="727">
        <f>+'02_CUADRYGRÁF.COMP.ÚLT.5 CAMP.'!D64+'04_CUADROS ACUMULADOS'!E60</f>
        <v>180.1204709999999</v>
      </c>
      <c r="F61" s="727">
        <f>+'02_CUADRYGRÁF.COMP.ÚLT.5 CAMP.'!E64+'04_CUADROS ACUMULADOS'!F60</f>
        <v>208.57230800000002</v>
      </c>
      <c r="G61" s="736">
        <f>+'02_CUADRYGRÁF.COMP.ÚLT.5 CAMP.'!F64+'04_CUADROS ACUMULADOS'!G60</f>
        <v>266.67840347522895</v>
      </c>
      <c r="H61" s="736">
        <f>+IF(ISNUMBER('02_CUADRYGRÁF.COMP.ÚLT.5 CAMP.'!G64),('02_CUADRYGRÁF.COMP.ÚLT.5 CAMP.'!G64+H60),NA())</f>
        <v>265.56316882860801</v>
      </c>
      <c r="I61" s="743">
        <f t="shared" si="12"/>
        <v>-4.1819458647108787E-3</v>
      </c>
      <c r="J61" s="743">
        <f t="shared" si="13"/>
        <v>0.21563097034089784</v>
      </c>
      <c r="K61" s="743">
        <f t="shared" si="14"/>
        <v>0.10251753923297025</v>
      </c>
    </row>
    <row r="62" spans="2:11" x14ac:dyDescent="0.35">
      <c r="B62" s="6"/>
      <c r="C62" s="655" t="s">
        <v>45</v>
      </c>
      <c r="D62" s="727">
        <f>+'02_CUADRYGRÁF.COMP.ÚLT.5 CAMP.'!C65+'04_CUADROS ACUMULADOS'!D61</f>
        <v>364.31628999999941</v>
      </c>
      <c r="E62" s="727">
        <f>+'02_CUADRYGRÁF.COMP.ÚLT.5 CAMP.'!D65+'04_CUADROS ACUMULADOS'!E61</f>
        <v>201.78308900000002</v>
      </c>
      <c r="F62" s="727">
        <f>+'02_CUADRYGRÁF.COMP.ÚLT.5 CAMP.'!E65+'04_CUADROS ACUMULADOS'!F61</f>
        <v>242.35324400000007</v>
      </c>
      <c r="G62" s="736">
        <f>+'02_CUADRYGRÁF.COMP.ÚLT.5 CAMP.'!F65+'04_CUADROS ACUMULADOS'!G61</f>
        <v>302.35136958577414</v>
      </c>
      <c r="H62" s="736">
        <f>+IF(ISNUMBER('02_CUADRYGRÁF.COMP.ÚLT.5 CAMP.'!G65),('02_CUADRYGRÁF.COMP.ÚLT.5 CAMP.'!G65+H61),NA())</f>
        <v>297.98612117334972</v>
      </c>
      <c r="I62" s="743">
        <f t="shared" si="12"/>
        <v>-1.4437667070616778E-2</v>
      </c>
      <c r="J62" s="743">
        <f t="shared" si="13"/>
        <v>0.19755269969411171</v>
      </c>
      <c r="K62" s="743">
        <f t="shared" si="14"/>
        <v>7.3046633473780709E-2</v>
      </c>
    </row>
    <row r="63" spans="2:11" x14ac:dyDescent="0.35">
      <c r="B63" s="6"/>
      <c r="C63" s="655" t="s">
        <v>46</v>
      </c>
      <c r="D63" s="727">
        <f>+'02_CUADRYGRÁF.COMP.ÚLT.5 CAMP.'!C66+'04_CUADROS ACUMULADOS'!D62</f>
        <v>405.23771999999951</v>
      </c>
      <c r="E63" s="727">
        <f>+'02_CUADRYGRÁF.COMP.ÚLT.5 CAMP.'!D66+'04_CUADROS ACUMULADOS'!E62</f>
        <v>226.09082599999999</v>
      </c>
      <c r="F63" s="727">
        <f>+'02_CUADRYGRÁF.COMP.ÚLT.5 CAMP.'!E66+'04_CUADROS ACUMULADOS'!F62</f>
        <v>275.97413599999999</v>
      </c>
      <c r="G63" s="736">
        <f>+'02_CUADRYGRÁF.COMP.ÚLT.5 CAMP.'!F66+'04_CUADROS ACUMULADOS'!G62</f>
        <v>339.23713342044687</v>
      </c>
      <c r="H63" s="736">
        <f>+IF(ISNUMBER('02_CUADRYGRÁF.COMP.ÚLT.5 CAMP.'!G66),('02_CUADRYGRÁF.COMP.ÚLT.5 CAMP.'!G66+H62),NA())</f>
        <v>328.76766000000021</v>
      </c>
      <c r="I63" s="743">
        <f t="shared" si="12"/>
        <v>-3.0861814315212066E-2</v>
      </c>
      <c r="J63" s="743">
        <f t="shared" si="13"/>
        <v>0.1723529340635821</v>
      </c>
      <c r="K63" s="743">
        <f t="shared" si="14"/>
        <v>5.4976843685044852E-2</v>
      </c>
    </row>
    <row r="64" spans="2:11" x14ac:dyDescent="0.35">
      <c r="B64" s="6"/>
      <c r="C64" s="655" t="s">
        <v>55</v>
      </c>
      <c r="D64" s="727">
        <f>+'02_CUADRYGRÁF.COMP.ÚLT.5 CAMP.'!C67+'04_CUADROS ACUMULADOS'!D63</f>
        <v>458.65272999999968</v>
      </c>
      <c r="E64" s="727">
        <f>+'02_CUADRYGRÁF.COMP.ÚLT.5 CAMP.'!D67+'04_CUADROS ACUMULADOS'!E63</f>
        <v>252.31127100000006</v>
      </c>
      <c r="F64" s="727">
        <f>+'02_CUADRYGRÁF.COMP.ÚLT.5 CAMP.'!E67+'04_CUADROS ACUMULADOS'!F63</f>
        <v>302.80638099999993</v>
      </c>
      <c r="G64" s="736">
        <f>+'02_CUADRYGRÁF.COMP.ÚLT.5 CAMP.'!F67+'04_CUADROS ACUMULADOS'!G63</f>
        <v>377.19269342044697</v>
      </c>
      <c r="H64" s="736">
        <f>+IF(ISNUMBER('02_CUADRYGRÁF.COMP.ÚLT.5 CAMP.'!G67),('02_CUADRYGRÁF.COMP.ÚLT.5 CAMP.'!G67+H63),NA())</f>
        <v>363.6912500000002</v>
      </c>
      <c r="I64" s="743">
        <f t="shared" si="12"/>
        <v>-3.5794551845671818E-2</v>
      </c>
      <c r="J64" s="743">
        <f t="shared" si="13"/>
        <v>0.17029029588635036</v>
      </c>
      <c r="K64" s="743">
        <f t="shared" si="14"/>
        <v>4.5868884449192571E-2</v>
      </c>
    </row>
    <row r="65" spans="2:11" x14ac:dyDescent="0.35">
      <c r="B65" s="6"/>
      <c r="C65" s="655" t="s">
        <v>56</v>
      </c>
      <c r="D65" s="727">
        <f>+'02_CUADRYGRÁF.COMP.ÚLT.5 CAMP.'!C68+'04_CUADROS ACUMULADOS'!D64</f>
        <v>492.20741999999962</v>
      </c>
      <c r="E65" s="727">
        <f>+'02_CUADRYGRÁF.COMP.ÚLT.5 CAMP.'!D68+'04_CUADROS ACUMULADOS'!E64</f>
        <v>285.73640099999994</v>
      </c>
      <c r="F65" s="727">
        <f>+'02_CUADRYGRÁF.COMP.ÚLT.5 CAMP.'!E68+'04_CUADROS ACUMULADOS'!F64</f>
        <v>337.66899399999994</v>
      </c>
      <c r="G65" s="736">
        <f>+'02_CUADRYGRÁF.COMP.ÚLT.5 CAMP.'!F68+'04_CUADROS ACUMULADOS'!G64</f>
        <v>414.92887342044691</v>
      </c>
      <c r="H65" s="736">
        <f>+IF(ISNUMBER('02_CUADRYGRÁF.COMP.ÚLT.5 CAMP.'!G68),('02_CUADRYGRÁF.COMP.ÚLT.5 CAMP.'!G68+H64),NA())</f>
        <v>405.06638000000021</v>
      </c>
      <c r="I65" s="743">
        <f t="shared" si="12"/>
        <v>-2.3769118160290148E-2</v>
      </c>
      <c r="J65" s="743">
        <f t="shared" si="13"/>
        <v>0.17033519643785544</v>
      </c>
      <c r="K65" s="743">
        <f t="shared" si="14"/>
        <v>5.8622272270251852E-2</v>
      </c>
    </row>
    <row r="66" spans="2:11" x14ac:dyDescent="0.35">
      <c r="B66" s="6"/>
      <c r="C66" s="655" t="s">
        <v>57</v>
      </c>
      <c r="D66" s="727">
        <f>+'02_CUADRYGRÁF.COMP.ÚLT.5 CAMP.'!C69+'04_CUADROS ACUMULADOS'!D65</f>
        <v>546.06815999999969</v>
      </c>
      <c r="E66" s="727">
        <f>+'02_CUADRYGRÁF.COMP.ÚLT.5 CAMP.'!D69+'04_CUADROS ACUMULADOS'!E65</f>
        <v>314.75939899999997</v>
      </c>
      <c r="F66" s="727">
        <f>+'02_CUADRYGRÁF.COMP.ÚLT.5 CAMP.'!E69+'04_CUADROS ACUMULADOS'!F65</f>
        <v>368.54203799999993</v>
      </c>
      <c r="G66" s="736">
        <f>+'02_CUADRYGRÁF.COMP.ÚLT.5 CAMP.'!F69+'04_CUADROS ACUMULADOS'!G65</f>
        <v>450.44153342044689</v>
      </c>
      <c r="H66" s="736" t="e">
        <f>+IF(ISNUMBER('02_CUADRYGRÁF.COMP.ÚLT.5 CAMP.'!G69),('02_CUADRYGRÁF.COMP.ÚLT.5 CAMP.'!G69+H65),NA())</f>
        <v>#N/A</v>
      </c>
      <c r="I66" s="743" t="str">
        <f t="shared" si="12"/>
        <v/>
      </c>
      <c r="J66" s="743" t="str">
        <f t="shared" si="13"/>
        <v/>
      </c>
      <c r="K66" s="743" t="str">
        <f t="shared" si="14"/>
        <v/>
      </c>
    </row>
    <row r="67" spans="2:11" ht="15" thickBot="1" x14ac:dyDescent="0.4">
      <c r="B67" s="6"/>
      <c r="C67" s="659" t="s">
        <v>58</v>
      </c>
      <c r="D67" s="728">
        <f>+'02_CUADRYGRÁF.COMP.ÚLT.5 CAMP.'!C70+'04_CUADROS ACUMULADOS'!D66</f>
        <v>594.57561999999962</v>
      </c>
      <c r="E67" s="728">
        <f>+'02_CUADRYGRÁF.COMP.ÚLT.5 CAMP.'!D70+'04_CUADROS ACUMULADOS'!E66</f>
        <v>348.68927100000002</v>
      </c>
      <c r="F67" s="728">
        <f>+'02_CUADRYGRÁF.COMP.ÚLT.5 CAMP.'!E70+'04_CUADROS ACUMULADOS'!F66</f>
        <v>399.85747399999997</v>
      </c>
      <c r="G67" s="744">
        <f>+'02_CUADRYGRÁF.COMP.ÚLT.5 CAMP.'!F70+'04_CUADROS ACUMULADOS'!G66</f>
        <v>482.77903342044692</v>
      </c>
      <c r="H67" s="748" t="e">
        <f>+IF(ISNUMBER('02_CUADRYGRÁF.COMP.ÚLT.5 CAMP.'!G70),('02_CUADRYGRÁF.COMP.ÚLT.5 CAMP.'!G70+H66),NA())</f>
        <v>#N/A</v>
      </c>
      <c r="I67" s="746" t="str">
        <f t="shared" si="12"/>
        <v/>
      </c>
      <c r="J67" s="746" t="str">
        <f t="shared" si="13"/>
        <v/>
      </c>
      <c r="K67" s="746" t="str">
        <f t="shared" si="14"/>
        <v/>
      </c>
    </row>
    <row r="69" spans="2:11" ht="6" customHeight="1" x14ac:dyDescent="0.35"/>
    <row r="70" spans="2:11" ht="16" thickBot="1" x14ac:dyDescent="0.4">
      <c r="D70" s="794" t="s">
        <v>311</v>
      </c>
      <c r="E70" s="794"/>
      <c r="F70" s="794"/>
      <c r="G70" s="794"/>
      <c r="H70" s="794"/>
      <c r="I70" s="794"/>
      <c r="J70" s="794"/>
      <c r="K70" s="794"/>
    </row>
    <row r="71" spans="2:11" ht="24" thickBot="1" x14ac:dyDescent="0.4">
      <c r="C71" s="724"/>
      <c r="D71" s="737" t="s">
        <v>292</v>
      </c>
      <c r="E71" s="737" t="s">
        <v>293</v>
      </c>
      <c r="F71" s="737" t="s">
        <v>294</v>
      </c>
      <c r="G71" s="737" t="s">
        <v>295</v>
      </c>
      <c r="H71" s="737" t="s">
        <v>296</v>
      </c>
      <c r="I71" s="738" t="s">
        <v>305</v>
      </c>
      <c r="J71" s="738" t="s">
        <v>306</v>
      </c>
      <c r="K71" s="738" t="s">
        <v>307</v>
      </c>
    </row>
    <row r="72" spans="2:11" x14ac:dyDescent="0.35">
      <c r="B72" s="6"/>
      <c r="C72" s="650" t="s">
        <v>39</v>
      </c>
      <c r="D72" s="725">
        <f>+'02_CUADRYGRÁF.COMP.ÚLT.5 CAMP.'!C76</f>
        <v>123.07807</v>
      </c>
      <c r="E72" s="725">
        <f>+'02_CUADRYGRÁF.COMP.ÚLT.5 CAMP.'!D76</f>
        <v>130.72025099999996</v>
      </c>
      <c r="F72" s="725">
        <f>+'02_CUADRYGRÁF.COMP.ÚLT.5 CAMP.'!E76</f>
        <v>81.075489000000005</v>
      </c>
      <c r="G72" s="725">
        <f>+'02_CUADRYGRÁF.COMP.ÚLT.5 CAMP.'!F76</f>
        <v>98.686901540294201</v>
      </c>
      <c r="H72" s="747">
        <f>+IF(ISNUMBER('02_CUADRYGRÁF.COMP.ÚLT.5 CAMP.'!G76),'02_CUADRYGRÁF.COMP.ÚLT.5 CAMP.'!G76,NA())</f>
        <v>115.6931668507691</v>
      </c>
      <c r="I72" s="741">
        <f>IF(ISNUMBER(H72),H72/G72-1,"")</f>
        <v>0.17232545601334115</v>
      </c>
      <c r="J72" s="741">
        <f>IF(ISNUMBER(H72),H72/AVERAGE(E72:G72)-1,"")</f>
        <v>0.11787086978665662</v>
      </c>
      <c r="K72" s="741">
        <f>IF(ISNUMBER(H72),H72/AVERAGE(D72:G72)-1,"")</f>
        <v>6.7376851926923997E-2</v>
      </c>
    </row>
    <row r="73" spans="2:11" x14ac:dyDescent="0.35">
      <c r="B73" s="6"/>
      <c r="C73" s="655" t="s">
        <v>40</v>
      </c>
      <c r="D73" s="727">
        <f>+'02_CUADRYGRÁF.COMP.ÚLT.5 CAMP.'!C77+'04_CUADROS ACUMULADOS'!D72</f>
        <v>254.22423000000012</v>
      </c>
      <c r="E73" s="727">
        <f>+'02_CUADRYGRÁF.COMP.ÚLT.5 CAMP.'!D77+'04_CUADROS ACUMULADOS'!E72</f>
        <v>237.91143600000004</v>
      </c>
      <c r="F73" s="727">
        <f>+'02_CUADRYGRÁF.COMP.ÚLT.5 CAMP.'!E77+'04_CUADROS ACUMULADOS'!F72</f>
        <v>180.69223399999998</v>
      </c>
      <c r="G73" s="727">
        <f>+'02_CUADRYGRÁF.COMP.ÚLT.5 CAMP.'!F77+'04_CUADROS ACUMULADOS'!G72</f>
        <v>199.06264890830374</v>
      </c>
      <c r="H73" s="736">
        <f>+IF(ISNUMBER('02_CUADRYGRÁF.COMP.ÚLT.5 CAMP.'!G77),('02_CUADRYGRÁF.COMP.ÚLT.5 CAMP.'!G77+H72),NA())</f>
        <v>234.11436873218122</v>
      </c>
      <c r="I73" s="743">
        <f t="shared" ref="I73:I83" si="15">IF(ISNUMBER(H73),H73/G73-1,"")</f>
        <v>0.17608386111662622</v>
      </c>
      <c r="J73" s="743">
        <f t="shared" ref="J73:J83" si="16">IF(ISNUMBER(H73),H73/AVERAGE(E73:G73)-1,"")</f>
        <v>0.1370914759249009</v>
      </c>
      <c r="K73" s="743">
        <f t="shared" ref="K73:K83" si="17">IF(ISNUMBER(H73),H73/AVERAGE(D73:G73)-1,"")</f>
        <v>7.4053934982166503E-2</v>
      </c>
    </row>
    <row r="74" spans="2:11" x14ac:dyDescent="0.35">
      <c r="B74" s="6"/>
      <c r="C74" s="655" t="s">
        <v>41</v>
      </c>
      <c r="D74" s="727">
        <f>+'02_CUADRYGRÁF.COMP.ÚLT.5 CAMP.'!C78+'04_CUADROS ACUMULADOS'!D73</f>
        <v>387.39111000000003</v>
      </c>
      <c r="E74" s="727">
        <f>+'02_CUADRYGRÁF.COMP.ÚLT.5 CAMP.'!D78+'04_CUADROS ACUMULADOS'!E73</f>
        <v>324.99452500000001</v>
      </c>
      <c r="F74" s="727">
        <f>+'02_CUADRYGRÁF.COMP.ÚLT.5 CAMP.'!E78+'04_CUADROS ACUMULADOS'!F73</f>
        <v>277.54124599999989</v>
      </c>
      <c r="G74" s="727">
        <f>+'02_CUADRYGRÁF.COMP.ÚLT.5 CAMP.'!F78+'04_CUADROS ACUMULADOS'!G73</f>
        <v>323.01068886535694</v>
      </c>
      <c r="H74" s="736">
        <f>+IF(ISNUMBER('02_CUADRYGRÁF.COMP.ÚLT.5 CAMP.'!G78),('02_CUADRYGRÁF.COMP.ÚLT.5 CAMP.'!G78+H73),NA())</f>
        <v>353.22568146965125</v>
      </c>
      <c r="I74" s="743">
        <f t="shared" si="15"/>
        <v>9.3541773216331725E-2</v>
      </c>
      <c r="J74" s="743">
        <f t="shared" si="16"/>
        <v>0.14492042307969011</v>
      </c>
      <c r="K74" s="743">
        <f t="shared" si="17"/>
        <v>7.6138544823193488E-2</v>
      </c>
    </row>
    <row r="75" spans="2:11" x14ac:dyDescent="0.35">
      <c r="B75" s="6"/>
      <c r="C75" s="655" t="s">
        <v>42</v>
      </c>
      <c r="D75" s="727">
        <f>+'02_CUADRYGRÁF.COMP.ÚLT.5 CAMP.'!C79+'04_CUADROS ACUMULADOS'!D74</f>
        <v>515.21655999999996</v>
      </c>
      <c r="E75" s="727">
        <f>+'02_CUADRYGRÁF.COMP.ÚLT.5 CAMP.'!D79+'04_CUADROS ACUMULADOS'!E74</f>
        <v>395.3039159999999</v>
      </c>
      <c r="F75" s="727">
        <f>+'02_CUADRYGRÁF.COMP.ÚLT.5 CAMP.'!E79+'04_CUADROS ACUMULADOS'!F74</f>
        <v>385.78992100000005</v>
      </c>
      <c r="G75" s="727">
        <f>+'02_CUADRYGRÁF.COMP.ÚLT.5 CAMP.'!F79+'04_CUADROS ACUMULADOS'!G74</f>
        <v>461.74497299371774</v>
      </c>
      <c r="H75" s="736">
        <f>+IF(ISNUMBER('02_CUADRYGRÁF.COMP.ÚLT.5 CAMP.'!G79),('02_CUADRYGRÁF.COMP.ÚLT.5 CAMP.'!G79+H74),NA())</f>
        <v>473.43379682893453</v>
      </c>
      <c r="I75" s="743">
        <f t="shared" si="15"/>
        <v>2.531445823748224E-2</v>
      </c>
      <c r="J75" s="743">
        <f t="shared" si="16"/>
        <v>0.14278809051190078</v>
      </c>
      <c r="K75" s="743">
        <f t="shared" si="17"/>
        <v>7.7176077407906218E-2</v>
      </c>
    </row>
    <row r="76" spans="2:11" x14ac:dyDescent="0.35">
      <c r="B76" s="6"/>
      <c r="C76" s="655" t="s">
        <v>43</v>
      </c>
      <c r="D76" s="727">
        <f>+'02_CUADRYGRÁF.COMP.ÚLT.5 CAMP.'!C80+'04_CUADROS ACUMULADOS'!D75</f>
        <v>647.8470699999998</v>
      </c>
      <c r="E76" s="727">
        <f>+'02_CUADRYGRÁF.COMP.ÚLT.5 CAMP.'!D80+'04_CUADROS ACUMULADOS'!E75</f>
        <v>473.61822799999999</v>
      </c>
      <c r="F76" s="727">
        <f>+'02_CUADRYGRÁF.COMP.ÚLT.5 CAMP.'!E80+'04_CUADROS ACUMULADOS'!F75</f>
        <v>481.93527300000017</v>
      </c>
      <c r="G76" s="727">
        <f>+'02_CUADRYGRÁF.COMP.ÚLT.5 CAMP.'!F80+'04_CUADROS ACUMULADOS'!G75</f>
        <v>592.94188963530883</v>
      </c>
      <c r="H76" s="736">
        <f>+IF(ISNUMBER('02_CUADRYGRÁF.COMP.ÚLT.5 CAMP.'!G80),('02_CUADRYGRÁF.COMP.ÚLT.5 CAMP.'!G80+H75),NA())</f>
        <v>608.32571134530224</v>
      </c>
      <c r="I76" s="743">
        <f t="shared" si="15"/>
        <v>2.5944906202284512E-2</v>
      </c>
      <c r="J76" s="743">
        <f t="shared" si="16"/>
        <v>0.17854863829279077</v>
      </c>
      <c r="K76" s="743">
        <f t="shared" si="17"/>
        <v>0.10788863257570358</v>
      </c>
    </row>
    <row r="77" spans="2:11" x14ac:dyDescent="0.35">
      <c r="B77" s="6"/>
      <c r="C77" s="655" t="s">
        <v>44</v>
      </c>
      <c r="D77" s="727">
        <f>+'02_CUADRYGRÁF.COMP.ÚLT.5 CAMP.'!C81+'04_CUADROS ACUMULADOS'!D76</f>
        <v>796.81449999999973</v>
      </c>
      <c r="E77" s="727">
        <f>+'02_CUADRYGRÁF.COMP.ÚLT.5 CAMP.'!D81+'04_CUADROS ACUMULADOS'!E76</f>
        <v>568.33804999999984</v>
      </c>
      <c r="F77" s="727">
        <f>+'02_CUADRYGRÁF.COMP.ÚLT.5 CAMP.'!E81+'04_CUADROS ACUMULADOS'!F76</f>
        <v>572.02255400000001</v>
      </c>
      <c r="G77" s="727">
        <f>+'02_CUADRYGRÁF.COMP.ÚLT.5 CAMP.'!F81+'04_CUADROS ACUMULADOS'!G76</f>
        <v>733.52940347522883</v>
      </c>
      <c r="H77" s="736">
        <f>+IF(ISNUMBER('02_CUADRYGRÁF.COMP.ÚLT.5 CAMP.'!G81),('02_CUADRYGRÁF.COMP.ÚLT.5 CAMP.'!G81+H76),NA())</f>
        <v>754.40416882860802</v>
      </c>
      <c r="I77" s="743">
        <f t="shared" si="15"/>
        <v>2.8457980354272383E-2</v>
      </c>
      <c r="J77" s="743">
        <f t="shared" si="16"/>
        <v>0.20776166021352882</v>
      </c>
      <c r="K77" s="743">
        <f t="shared" si="17"/>
        <v>0.12989537661999151</v>
      </c>
    </row>
    <row r="78" spans="2:11" x14ac:dyDescent="0.35">
      <c r="B78" s="6"/>
      <c r="C78" s="655" t="s">
        <v>45</v>
      </c>
      <c r="D78" s="727">
        <f>+'02_CUADRYGRÁF.COMP.ÚLT.5 CAMP.'!C82+'04_CUADROS ACUMULADOS'!D77</f>
        <v>960.35607999999945</v>
      </c>
      <c r="E78" s="727">
        <f>+'02_CUADRYGRÁF.COMP.ÚLT.5 CAMP.'!D82+'04_CUADROS ACUMULADOS'!E77</f>
        <v>641.59056399999997</v>
      </c>
      <c r="F78" s="727">
        <f>+'02_CUADRYGRÁF.COMP.ÚLT.5 CAMP.'!E82+'04_CUADROS ACUMULADOS'!F77</f>
        <v>680.21268400000008</v>
      </c>
      <c r="G78" s="727">
        <f>+'02_CUADRYGRÁF.COMP.ÚLT.5 CAMP.'!F82+'04_CUADROS ACUMULADOS'!G77</f>
        <v>867.98036958577404</v>
      </c>
      <c r="H78" s="736">
        <f>+IF(ISNUMBER('02_CUADRYGRÁF.COMP.ÚLT.5 CAMP.'!G82),('02_CUADRYGRÁF.COMP.ÚLT.5 CAMP.'!G82+H77),NA())</f>
        <v>873.45212117334972</v>
      </c>
      <c r="I78" s="743">
        <f t="shared" si="15"/>
        <v>6.304003845371442E-3</v>
      </c>
      <c r="J78" s="743">
        <f t="shared" si="16"/>
        <v>0.19662798756754762</v>
      </c>
      <c r="K78" s="743">
        <f t="shared" si="17"/>
        <v>0.1090963640028435</v>
      </c>
    </row>
    <row r="79" spans="2:11" x14ac:dyDescent="0.35">
      <c r="B79" s="6"/>
      <c r="C79" s="655" t="s">
        <v>46</v>
      </c>
      <c r="D79" s="727">
        <f>+'02_CUADRYGRÁF.COMP.ÚLT.5 CAMP.'!C83+'04_CUADROS ACUMULADOS'!D78</f>
        <v>1119.0958499999995</v>
      </c>
      <c r="E79" s="727">
        <f>+'02_CUADRYGRÁF.COMP.ÚLT.5 CAMP.'!D83+'04_CUADROS ACUMULADOS'!E78</f>
        <v>734.15096699999992</v>
      </c>
      <c r="F79" s="727">
        <f>+'02_CUADRYGRÁF.COMP.ÚLT.5 CAMP.'!E83+'04_CUADROS ACUMULADOS'!F78</f>
        <v>786.118381</v>
      </c>
      <c r="G79" s="727">
        <f>+'02_CUADRYGRÁF.COMP.ÚLT.5 CAMP.'!F83+'04_CUADROS ACUMULADOS'!G78</f>
        <v>1004.1901334204467</v>
      </c>
      <c r="H79" s="736">
        <f>+IF(ISNUMBER('02_CUADRYGRÁF.COMP.ÚLT.5 CAMP.'!G83),('02_CUADRYGRÁF.COMP.ÚLT.5 CAMP.'!G83+H78),NA())</f>
        <v>989.32866000000024</v>
      </c>
      <c r="I79" s="743">
        <f t="shared" si="15"/>
        <v>-1.4799461701366923E-2</v>
      </c>
      <c r="J79" s="743">
        <f t="shared" si="16"/>
        <v>0.17569166859037622</v>
      </c>
      <c r="K79" s="743">
        <f t="shared" si="17"/>
        <v>8.61135017969481E-2</v>
      </c>
    </row>
    <row r="80" spans="2:11" x14ac:dyDescent="0.35">
      <c r="B80" s="6"/>
      <c r="C80" s="655" t="s">
        <v>55</v>
      </c>
      <c r="D80" s="727">
        <f>+'02_CUADRYGRÁF.COMP.ÚLT.5 CAMP.'!C84+'04_CUADROS ACUMULADOS'!D79</f>
        <v>1275.9571799999997</v>
      </c>
      <c r="E80" s="727">
        <f>+'02_CUADRYGRÁF.COMP.ÚLT.5 CAMP.'!D84+'04_CUADROS ACUMULADOS'!E79</f>
        <v>825.43633199999999</v>
      </c>
      <c r="F80" s="727">
        <f>+'02_CUADRYGRÁF.COMP.ÚLT.5 CAMP.'!E84+'04_CUADROS ACUMULADOS'!F79</f>
        <v>879.52851799999996</v>
      </c>
      <c r="G80" s="727">
        <f>+'02_CUADRYGRÁF.COMP.ÚLT.5 CAMP.'!F84+'04_CUADROS ACUMULADOS'!G79</f>
        <v>1136.6286934204468</v>
      </c>
      <c r="H80" s="736">
        <f>+IF(ISNUMBER('02_CUADRYGRÁF.COMP.ÚLT.5 CAMP.'!G84),('02_CUADRYGRÁF.COMP.ÚLT.5 CAMP.'!G84+H79),NA())</f>
        <v>1108.1312500000004</v>
      </c>
      <c r="I80" s="743">
        <f t="shared" si="15"/>
        <v>-2.5071902183543604E-2</v>
      </c>
      <c r="J80" s="743">
        <f t="shared" si="16"/>
        <v>0.16990473802893158</v>
      </c>
      <c r="K80" s="743">
        <f t="shared" si="17"/>
        <v>7.6495542553488116E-2</v>
      </c>
    </row>
    <row r="81" spans="2:11" x14ac:dyDescent="0.35">
      <c r="B81" s="6"/>
      <c r="C81" s="655" t="s">
        <v>56</v>
      </c>
      <c r="D81" s="727">
        <f>+'02_CUADRYGRÁF.COMP.ÚLT.5 CAMP.'!C85+'04_CUADROS ACUMULADOS'!D80</f>
        <v>1399.9388399999996</v>
      </c>
      <c r="E81" s="727">
        <f>+'02_CUADRYGRÁF.COMP.ÚLT.5 CAMP.'!D85+'04_CUADROS ACUMULADOS'!E80</f>
        <v>917.73500299999989</v>
      </c>
      <c r="F81" s="727">
        <f>+'02_CUADRYGRÁF.COMP.ÚLT.5 CAMP.'!E85+'04_CUADROS ACUMULADOS'!F80</f>
        <v>973.85692900000004</v>
      </c>
      <c r="G81" s="727">
        <f>+'02_CUADRYGRÁF.COMP.ÚLT.5 CAMP.'!F85+'04_CUADROS ACUMULADOS'!G80</f>
        <v>1285.3618734204467</v>
      </c>
      <c r="H81" s="736">
        <f>+IF(ISNUMBER('02_CUADRYGRÁF.COMP.ÚLT.5 CAMP.'!G85),('02_CUADRYGRÁF.COMP.ÚLT.5 CAMP.'!G85+H80),NA())</f>
        <v>1238.5063800000003</v>
      </c>
      <c r="I81" s="743">
        <f t="shared" si="15"/>
        <v>-3.6453153302081653E-2</v>
      </c>
      <c r="J81" s="743">
        <f t="shared" si="16"/>
        <v>0.16952255763387747</v>
      </c>
      <c r="K81" s="743">
        <f t="shared" si="17"/>
        <v>8.239932718476739E-2</v>
      </c>
    </row>
    <row r="82" spans="2:11" x14ac:dyDescent="0.35">
      <c r="B82" s="6"/>
      <c r="C82" s="655" t="s">
        <v>57</v>
      </c>
      <c r="D82" s="727">
        <f>+'02_CUADRYGRÁF.COMP.ÚLT.5 CAMP.'!C86+'04_CUADROS ACUMULADOS'!D81</f>
        <v>1536.9448099999997</v>
      </c>
      <c r="E82" s="727">
        <f>+'02_CUADRYGRÁF.COMP.ÚLT.5 CAMP.'!D86+'04_CUADROS ACUMULADOS'!E81</f>
        <v>994.88450999999986</v>
      </c>
      <c r="F82" s="727">
        <f>+'02_CUADRYGRÁF.COMP.ÚLT.5 CAMP.'!E86+'04_CUADROS ACUMULADOS'!F81</f>
        <v>1059.800305</v>
      </c>
      <c r="G82" s="727">
        <f>+'02_CUADRYGRÁF.COMP.ÚLT.5 CAMP.'!F86+'04_CUADROS ACUMULADOS'!G81</f>
        <v>1396.9255334204468</v>
      </c>
      <c r="H82" s="736" t="e">
        <f>+IF(ISNUMBER('02_CUADRYGRÁF.COMP.ÚLT.5 CAMP.'!G86),('02_CUADRYGRÁF.COMP.ÚLT.5 CAMP.'!G86+H81),NA())</f>
        <v>#N/A</v>
      </c>
      <c r="I82" s="743" t="str">
        <f t="shared" si="15"/>
        <v/>
      </c>
      <c r="J82" s="743" t="str">
        <f t="shared" si="16"/>
        <v/>
      </c>
      <c r="K82" s="743" t="str">
        <f t="shared" si="17"/>
        <v/>
      </c>
    </row>
    <row r="83" spans="2:11" ht="15" thickBot="1" x14ac:dyDescent="0.4">
      <c r="B83" s="6"/>
      <c r="C83" s="659" t="s">
        <v>58</v>
      </c>
      <c r="D83" s="728">
        <f>+'02_CUADRYGRÁF.COMP.ÚLT.5 CAMP.'!C87+'04_CUADROS ACUMULADOS'!D82</f>
        <v>1674.8181099999997</v>
      </c>
      <c r="E83" s="728">
        <f>+'02_CUADRYGRÁF.COMP.ÚLT.5 CAMP.'!D87+'04_CUADROS ACUMULADOS'!E82</f>
        <v>1087.540632</v>
      </c>
      <c r="F83" s="728">
        <f>+'02_CUADRYGRÁF.COMP.ÚLT.5 CAMP.'!E87+'04_CUADROS ACUMULADOS'!F82</f>
        <v>1160.1828250000001</v>
      </c>
      <c r="G83" s="728">
        <f>+'02_CUADRYGRÁF.COMP.ÚLT.5 CAMP.'!F87+'04_CUADROS ACUMULADOS'!G82</f>
        <v>1524.3500334204468</v>
      </c>
      <c r="H83" s="748" t="e">
        <f>+IF(ISNUMBER('02_CUADRYGRÁF.COMP.ÚLT.5 CAMP.'!G87),('02_CUADRYGRÁF.COMP.ÚLT.5 CAMP.'!G87+H82),NA())</f>
        <v>#N/A</v>
      </c>
      <c r="I83" s="746" t="str">
        <f t="shared" si="15"/>
        <v/>
      </c>
      <c r="J83" s="746" t="str">
        <f t="shared" si="16"/>
        <v/>
      </c>
      <c r="K83" s="746" t="str">
        <f t="shared" si="17"/>
        <v/>
      </c>
    </row>
    <row r="84" spans="2:11" ht="15.5" x14ac:dyDescent="0.35">
      <c r="C84" s="791" t="s">
        <v>119</v>
      </c>
      <c r="D84" s="791"/>
      <c r="E84" s="791"/>
      <c r="F84" s="791"/>
      <c r="G84" s="791"/>
      <c r="H84" s="791"/>
      <c r="I84" s="791"/>
      <c r="J84" s="791"/>
      <c r="K84" s="791"/>
    </row>
  </sheetData>
  <mergeCells count="7">
    <mergeCell ref="C84:K84"/>
    <mergeCell ref="E2:I4"/>
    <mergeCell ref="D6:K6"/>
    <mergeCell ref="D22:K22"/>
    <mergeCell ref="D38:K38"/>
    <mergeCell ref="D54:K54"/>
    <mergeCell ref="D70:K70"/>
  </mergeCells>
  <conditionalFormatting sqref="H9:H19">
    <cfRule type="expression" dxfId="14" priority="14" stopIfTrue="1">
      <formula>ISNA(H9)</formula>
    </cfRule>
  </conditionalFormatting>
  <conditionalFormatting sqref="H24:H35">
    <cfRule type="expression" dxfId="13" priority="10" stopIfTrue="1">
      <formula>ISNA(H24)</formula>
    </cfRule>
    <cfRule type="expression" dxfId="12" priority="11" stopIfTrue="1">
      <formula>AND(ISNUMBER(H24), H24&gt;0, H24&gt;0, ROW(H24)=MAX(IF(ISNUMBER($H$24:$H$35), ROW($H$24:$H$35))))</formula>
    </cfRule>
  </conditionalFormatting>
  <conditionalFormatting sqref="H40:H51">
    <cfRule type="expression" dxfId="11" priority="7" stopIfTrue="1">
      <formula>ISNA(H40)</formula>
    </cfRule>
    <cfRule type="expression" dxfId="10" priority="8" stopIfTrue="1">
      <formula>AND(ISNUMBER(H40), H40&gt;0, H40&gt;0, ROW(H40)=MAX(IF(ISNUMBER($H$40:$H$51), ROW($H$40:$H$51))))</formula>
    </cfRule>
  </conditionalFormatting>
  <conditionalFormatting sqref="H56:H67">
    <cfRule type="expression" dxfId="9" priority="4" stopIfTrue="1">
      <formula>ISNA(H56)</formula>
    </cfRule>
    <cfRule type="expression" dxfId="8" priority="5" stopIfTrue="1">
      <formula>AND(ISNUMBER(H56), H56&gt;0, H56&gt;0, ROW(H56)=MAX(IF(ISNUMBER($H$56:$H$67), ROW($H$56:$H$67))))</formula>
    </cfRule>
  </conditionalFormatting>
  <conditionalFormatting sqref="H72:H83">
    <cfRule type="expression" dxfId="7" priority="1" stopIfTrue="1">
      <formula>ISNA(H72)</formula>
    </cfRule>
    <cfRule type="expression" dxfId="6" priority="2" stopIfTrue="1">
      <formula>AND(ISNUMBER(H72), H72&gt;0, H72&gt;0, ROW(H72)=MAX(IF(ISNUMBER($H$72:$H$83), ROW($H$72:$H$83))))</formula>
    </cfRule>
  </conditionalFormatting>
  <conditionalFormatting sqref="I8:K19">
    <cfRule type="cellIs" dxfId="5" priority="13" stopIfTrue="1" operator="lessThan">
      <formula>0</formula>
    </cfRule>
  </conditionalFormatting>
  <conditionalFormatting sqref="I24:K35">
    <cfRule type="cellIs" dxfId="4" priority="12" stopIfTrue="1" operator="lessThan">
      <formula>0</formula>
    </cfRule>
  </conditionalFormatting>
  <conditionalFormatting sqref="I40:K51">
    <cfRule type="cellIs" dxfId="3" priority="9" stopIfTrue="1" operator="lessThan">
      <formula>0</formula>
    </cfRule>
  </conditionalFormatting>
  <conditionalFormatting sqref="I56:K67">
    <cfRule type="cellIs" dxfId="2" priority="6" stopIfTrue="1" operator="lessThan">
      <formula>0</formula>
    </cfRule>
  </conditionalFormatting>
  <conditionalFormatting sqref="I72:K83">
    <cfRule type="cellIs" dxfId="1" priority="3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55" orientation="portrait" r:id="rId1"/>
  <headerFooter>
    <oddHeader>&amp;L&amp;G&amp;RCAMPAÑA: 2025/2026. MES: JULIO
Fecha de emisión de datos: 25/08/2026</oddHead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EFC829-27D3-4499-8754-4025E84E1646}">
  <dimension ref="B2:N78"/>
  <sheetViews>
    <sheetView view="pageLayout" zoomScale="70" zoomScaleNormal="100" zoomScaleSheetLayoutView="50" zoomScalePageLayoutView="70" workbookViewId="0">
      <selection activeCell="P64" sqref="P64"/>
    </sheetView>
  </sheetViews>
  <sheetFormatPr baseColWidth="10" defaultColWidth="11.453125" defaultRowHeight="14.5" x14ac:dyDescent="0.35"/>
  <cols>
    <col min="6" max="6" width="14.54296875" customWidth="1"/>
    <col min="7" max="7" width="7.26953125" customWidth="1"/>
    <col min="8" max="8" width="10" customWidth="1"/>
    <col min="9" max="9" width="12.26953125" bestFit="1" customWidth="1"/>
  </cols>
  <sheetData>
    <row r="2" spans="2:14" ht="15" customHeight="1" x14ac:dyDescent="0.35">
      <c r="B2" s="761" t="s">
        <v>312</v>
      </c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</row>
    <row r="3" spans="2:14" ht="21.75" customHeight="1" x14ac:dyDescent="0.35"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</row>
    <row r="4" spans="2:14" ht="21.75" customHeight="1" x14ac:dyDescent="0.35"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</row>
    <row r="5" spans="2:14" ht="21.75" customHeight="1" x14ac:dyDescent="0.35">
      <c r="F5" s="616"/>
      <c r="G5" s="616"/>
      <c r="H5" s="616"/>
      <c r="I5" s="616"/>
      <c r="J5" s="616"/>
    </row>
    <row r="6" spans="2:14" ht="21.75" customHeight="1" x14ac:dyDescent="0.35">
      <c r="B6" s="795" t="s">
        <v>71</v>
      </c>
      <c r="C6" s="795"/>
      <c r="D6" s="795"/>
      <c r="E6" s="795"/>
      <c r="F6" s="795"/>
      <c r="G6" s="795"/>
      <c r="H6" s="616"/>
      <c r="I6" s="795" t="s">
        <v>184</v>
      </c>
      <c r="J6" s="795"/>
      <c r="K6" s="795"/>
      <c r="L6" s="795"/>
      <c r="M6" s="795"/>
      <c r="N6" s="795"/>
    </row>
    <row r="7" spans="2:14" x14ac:dyDescent="0.35">
      <c r="B7" s="749" t="s">
        <v>313</v>
      </c>
      <c r="C7" s="749"/>
      <c r="D7" s="688"/>
      <c r="E7" s="749"/>
      <c r="F7" s="749"/>
      <c r="G7" s="749"/>
      <c r="I7" s="796" t="s">
        <v>314</v>
      </c>
      <c r="J7" s="796"/>
      <c r="K7" s="796"/>
      <c r="L7" s="796"/>
      <c r="M7" s="796"/>
      <c r="N7" s="796"/>
    </row>
    <row r="8" spans="2:14" x14ac:dyDescent="0.35">
      <c r="B8" s="750"/>
      <c r="C8" s="750" t="s">
        <v>315</v>
      </c>
      <c r="D8" s="750" t="str">
        <f>+'04_CUADROS ACUMULADOS'!$H$7</f>
        <v>2025/26</v>
      </c>
      <c r="E8" s="750" t="s">
        <v>316</v>
      </c>
      <c r="F8" s="750"/>
      <c r="G8" s="750"/>
      <c r="I8" s="688"/>
      <c r="J8" s="750" t="s">
        <v>315</v>
      </c>
      <c r="K8" s="750" t="str">
        <f>+'04_CUADROS ACUMULADOS'!$H$7</f>
        <v>2025/26</v>
      </c>
      <c r="L8" s="750" t="s">
        <v>316</v>
      </c>
      <c r="M8" s="750"/>
      <c r="N8" s="688"/>
    </row>
    <row r="9" spans="2:14" x14ac:dyDescent="0.35">
      <c r="B9" s="750"/>
      <c r="C9" s="750" t="s">
        <v>317</v>
      </c>
      <c r="D9" s="750">
        <f>+IF('02_CUADRYGRÁF.COMP.ÚLT.5 CAMP.'!G8&lt;&gt;0,'02_CUADRYGRÁF.COMP.ÚLT.5 CAMP.'!G8,NA())</f>
        <v>43.145436850769094</v>
      </c>
      <c r="E9" s="750">
        <f>+AVERAGE('02_CUADRYGRÁF.COMP.ÚLT.5 CAMP.'!C8:F8)</f>
        <v>39.389109516266338</v>
      </c>
      <c r="F9" s="750"/>
      <c r="G9" s="750"/>
      <c r="I9" s="688"/>
      <c r="J9" s="750" t="s">
        <v>317</v>
      </c>
      <c r="K9" s="751">
        <f>+IF('02_CUADRYGRÁF.COMP.ÚLT.5 CAMP.'!G25&lt;&gt;0,'02_CUADRYGRÁF.COMP.ÚLT.5 CAMP.'!G25,NA())</f>
        <v>9.1419999999999995</v>
      </c>
      <c r="L9" s="751">
        <f>+AVERAGE('02_CUADRYGRÁF.COMP.ÚLT.5 CAMP.'!C25:F25)</f>
        <v>14.0825125</v>
      </c>
      <c r="M9" s="750"/>
      <c r="N9" s="688"/>
    </row>
    <row r="10" spans="2:14" x14ac:dyDescent="0.35">
      <c r="B10" s="750"/>
      <c r="C10" s="750" t="s">
        <v>318</v>
      </c>
      <c r="D10" s="750">
        <f>+IF('02_CUADRYGRÁF.COMP.ÚLT.5 CAMP.'!G9&lt;&gt;0,'02_CUADRYGRÁF.COMP.ÚLT.5 CAMP.'!G9,NA())</f>
        <v>260.50073188141215</v>
      </c>
      <c r="E10" s="750">
        <f>+AVERAGE('02_CUADRYGRÁF.COMP.ÚLT.5 CAMP.'!C9:F9)</f>
        <v>238.46799684200241</v>
      </c>
      <c r="F10" s="750"/>
      <c r="G10" s="750"/>
      <c r="I10" s="688"/>
      <c r="J10" s="750" t="s">
        <v>318</v>
      </c>
      <c r="K10" s="751">
        <f>+IF('02_CUADRYGRÁF.COMP.ÚLT.5 CAMP.'!G26&lt;&gt;0,'02_CUADRYGRÁF.COMP.ÚLT.5 CAMP.'!G26,NA())</f>
        <v>25.175999999999998</v>
      </c>
      <c r="L10" s="751">
        <f>+AVERAGE('02_CUADRYGRÁF.COMP.ÚLT.5 CAMP.'!C26:F26)</f>
        <v>23.250005000000002</v>
      </c>
      <c r="M10" s="750"/>
      <c r="N10" s="688"/>
    </row>
    <row r="11" spans="2:14" x14ac:dyDescent="0.35">
      <c r="B11" s="750"/>
      <c r="C11" s="750" t="s">
        <v>319</v>
      </c>
      <c r="D11" s="750">
        <f>+IF('02_CUADRYGRÁF.COMP.ÚLT.5 CAMP.'!G10&lt;&gt;0,'02_CUADRYGRÁF.COMP.ÚLT.5 CAMP.'!G10,NA())</f>
        <v>425.28940273746991</v>
      </c>
      <c r="E11" s="750">
        <f>+AVERAGE('02_CUADRYGRÁF.COMP.ÚLT.5 CAMP.'!C10:F10)</f>
        <v>426.62127498926327</v>
      </c>
      <c r="F11" s="750"/>
      <c r="G11" s="750"/>
      <c r="I11" s="688"/>
      <c r="J11" s="750" t="s">
        <v>319</v>
      </c>
      <c r="K11" s="751">
        <f>+IF('02_CUADRYGRÁF.COMP.ÚLT.5 CAMP.'!G27&lt;&gt;0,'02_CUADRYGRÁF.COMP.ÚLT.5 CAMP.'!G27,NA())</f>
        <v>27.878</v>
      </c>
      <c r="L11" s="751">
        <f>+AVERAGE('02_CUADRYGRÁF.COMP.ÚLT.5 CAMP.'!C27:F27)</f>
        <v>32.089352750000003</v>
      </c>
      <c r="M11" s="750"/>
      <c r="N11" s="688"/>
    </row>
    <row r="12" spans="2:14" x14ac:dyDescent="0.35">
      <c r="B12" s="750"/>
      <c r="C12" s="750" t="s">
        <v>320</v>
      </c>
      <c r="D12" s="750">
        <f>+IF('02_CUADRYGRÁF.COMP.ÚLT.5 CAMP.'!G11&lt;&gt;0,'02_CUADRYGRÁF.COMP.ÚLT.5 CAMP.'!G11,NA())</f>
        <v>329.97484535928322</v>
      </c>
      <c r="E12" s="750">
        <f>+AVERAGE('02_CUADRYGRÁF.COMP.ÚLT.5 CAMP.'!C11:F11)</f>
        <v>298.3019010320902</v>
      </c>
      <c r="F12" s="750"/>
      <c r="G12" s="750"/>
      <c r="I12" s="688"/>
      <c r="J12" s="750" t="s">
        <v>320</v>
      </c>
      <c r="K12" s="751">
        <f>+IF('02_CUADRYGRÁF.COMP.ÚLT.5 CAMP.'!G28&lt;&gt;0,'02_CUADRYGRÁF.COMP.ÚLT.5 CAMP.'!G28,NA())</f>
        <v>18.731000000000002</v>
      </c>
      <c r="L12" s="751">
        <f>+AVERAGE('02_CUADRYGRÁF.COMP.ÚLT.5 CAMP.'!C28:F28)</f>
        <v>15.369204</v>
      </c>
      <c r="M12" s="750"/>
      <c r="N12" s="688"/>
    </row>
    <row r="13" spans="2:14" x14ac:dyDescent="0.35">
      <c r="B13" s="750"/>
      <c r="C13" s="750" t="s">
        <v>321</v>
      </c>
      <c r="D13" s="750">
        <f>+IF('02_CUADRYGRÁF.COMP.ÚLT.5 CAMP.'!G12&lt;&gt;0,'02_CUADRYGRÁF.COMP.ÚLT.5 CAMP.'!G12,NA())</f>
        <v>143.39104451636763</v>
      </c>
      <c r="E13" s="750">
        <f>+AVERAGE('02_CUADRYGRÁF.COMP.ÚLT.5 CAMP.'!C12:F12)</f>
        <v>88.024249160397801</v>
      </c>
      <c r="F13" s="750"/>
      <c r="G13" s="750"/>
      <c r="I13" s="688"/>
      <c r="J13" s="750" t="s">
        <v>321</v>
      </c>
      <c r="K13" s="751">
        <f>+IF('02_CUADRYGRÁF.COMP.ÚLT.5 CAMP.'!G29&lt;&gt;0,'02_CUADRYGRÁF.COMP.ÚLT.5 CAMP.'!G29,NA())</f>
        <v>21.02</v>
      </c>
      <c r="L13" s="751">
        <f>+AVERAGE('02_CUADRYGRÁF.COMP.ÚLT.5 CAMP.'!C29:F29)</f>
        <v>19.048168499999999</v>
      </c>
      <c r="M13" s="750"/>
      <c r="N13" s="688"/>
    </row>
    <row r="14" spans="2:14" x14ac:dyDescent="0.35">
      <c r="B14" s="750"/>
      <c r="C14" s="750" t="s">
        <v>322</v>
      </c>
      <c r="D14" s="750">
        <f>+IF('02_CUADRYGRÁF.COMP.ÚLT.5 CAMP.'!G13&lt;&gt;0,'02_CUADRYGRÁF.COMP.ÚLT.5 CAMP.'!G13,NA())</f>
        <v>84.99329748330598</v>
      </c>
      <c r="E14" s="750">
        <f>+AVERAGE('02_CUADRYGRÁF.COMP.ÚLT.5 CAMP.'!C13:F13)</f>
        <v>13.768943459979992</v>
      </c>
      <c r="F14" s="750"/>
      <c r="G14" s="750"/>
      <c r="I14" s="688"/>
      <c r="J14" s="750" t="s">
        <v>322</v>
      </c>
      <c r="K14" s="751">
        <f>+IF('02_CUADRYGRÁF.COMP.ÚLT.5 CAMP.'!G30&lt;&gt;0,'02_CUADRYGRÁF.COMP.ÚLT.5 CAMP.'!G30,NA())</f>
        <v>27.547000000000001</v>
      </c>
      <c r="L14" s="751">
        <f>+AVERAGE('02_CUADRYGRÁF.COMP.ÚLT.5 CAMP.'!C30:F30)</f>
        <v>18.231758249999999</v>
      </c>
      <c r="M14" s="750"/>
      <c r="N14" s="688"/>
    </row>
    <row r="15" spans="2:14" x14ac:dyDescent="0.35">
      <c r="B15" s="750"/>
      <c r="C15" s="750" t="s">
        <v>323</v>
      </c>
      <c r="D15" s="750">
        <f>+IF('02_CUADRYGRÁF.COMP.ÚLT.5 CAMP.'!G14&lt;&gt;0,'02_CUADRYGRÁF.COMP.ÚLT.5 CAMP.'!G14,NA())</f>
        <v>12.211432344741747</v>
      </c>
      <c r="E15" s="750">
        <f>+AVERAGE('02_CUADRYGRÁF.COMP.ÚLT.5 CAMP.'!C14:F14)</f>
        <v>3.5120265276363152</v>
      </c>
      <c r="F15" s="750"/>
      <c r="G15" s="750"/>
      <c r="I15" s="688"/>
      <c r="J15" s="750" t="s">
        <v>323</v>
      </c>
      <c r="K15" s="751">
        <f>+IF('02_CUADRYGRÁF.COMP.ÚLT.5 CAMP.'!G31&lt;&gt;0,'02_CUADRYGRÁF.COMP.ÚLT.5 CAMP.'!G31,NA())</f>
        <v>23.062000000000001</v>
      </c>
      <c r="L15" s="751">
        <f>+AVERAGE('02_CUADRYGRÁF.COMP.ÚLT.5 CAMP.'!C31:F31)</f>
        <v>18.130356000000003</v>
      </c>
      <c r="M15" s="750"/>
      <c r="N15" s="688"/>
    </row>
    <row r="16" spans="2:14" x14ac:dyDescent="0.35">
      <c r="B16" s="750"/>
      <c r="C16" s="750" t="s">
        <v>324</v>
      </c>
      <c r="D16" s="750">
        <f>+IF('02_CUADRYGRÁF.COMP.ÚLT.5 CAMP.'!G15&lt;&gt;0,'02_CUADRYGRÁF.COMP.ÚLT.5 CAMP.'!G15,NA())</f>
        <v>1.4293088266504361</v>
      </c>
      <c r="E16" s="750">
        <f>+AVERAGE('02_CUADRYGRÁF.COMP.ÚLT.5 CAMP.'!C15:F15)</f>
        <v>0.84213595866820246</v>
      </c>
      <c r="F16" s="750"/>
      <c r="G16" s="750"/>
      <c r="I16" s="688"/>
      <c r="J16" s="750" t="s">
        <v>324</v>
      </c>
      <c r="K16" s="751">
        <f>+IF('02_CUADRYGRÁF.COMP.ÚLT.5 CAMP.'!G32&lt;&gt;0,'02_CUADRYGRÁF.COMP.ÚLT.5 CAMP.'!G32,NA())</f>
        <v>24.994</v>
      </c>
      <c r="L16" s="751">
        <f>+AVERAGE('02_CUADRYGRÁF.COMP.ÚLT.5 CAMP.'!C32:F32)</f>
        <v>17.589220000000001</v>
      </c>
      <c r="M16" s="750"/>
      <c r="N16" s="688"/>
    </row>
    <row r="17" spans="2:14" x14ac:dyDescent="0.35">
      <c r="B17" s="750"/>
      <c r="C17" s="750" t="s">
        <v>325</v>
      </c>
      <c r="D17" s="750"/>
      <c r="E17" s="750"/>
      <c r="F17" s="750"/>
      <c r="G17" s="750"/>
      <c r="I17" s="688"/>
      <c r="J17" s="750" t="s">
        <v>325</v>
      </c>
      <c r="K17" s="751">
        <f>+IF('02_CUADRYGRÁF.COMP.ÚLT.5 CAMP.'!G33&lt;&gt;0,'02_CUADRYGRÁF.COMP.ÚLT.5 CAMP.'!G33,NA())</f>
        <v>23.635999999999999</v>
      </c>
      <c r="L17" s="751">
        <f>+AVERAGE('02_CUADRYGRÁF.COMP.ÚLT.5 CAMP.'!C33:F33)</f>
        <v>16.133832999999999</v>
      </c>
      <c r="M17" s="750"/>
      <c r="N17" s="688"/>
    </row>
    <row r="18" spans="2:14" x14ac:dyDescent="0.35">
      <c r="B18" s="750"/>
      <c r="C18" s="750" t="s">
        <v>326</v>
      </c>
      <c r="D18" s="750"/>
      <c r="E18" s="750"/>
      <c r="F18" s="750"/>
      <c r="G18" s="750"/>
      <c r="I18" s="688"/>
      <c r="J18" s="750" t="s">
        <v>326</v>
      </c>
      <c r="K18" s="751">
        <f>+IF('02_CUADRYGRÁF.COMP.ÚLT.5 CAMP.'!G34&lt;&gt;0,'02_CUADRYGRÁF.COMP.ÚLT.5 CAMP.'!G34,NA())</f>
        <v>16</v>
      </c>
      <c r="L18" s="751">
        <f>+AVERAGE('02_CUADRYGRÁF.COMP.ÚLT.5 CAMP.'!C34:F34)</f>
        <v>16.659443</v>
      </c>
      <c r="M18" s="750"/>
      <c r="N18" s="688"/>
    </row>
    <row r="19" spans="2:14" x14ac:dyDescent="0.35">
      <c r="B19" s="750"/>
      <c r="C19" s="750" t="s">
        <v>327</v>
      </c>
      <c r="D19" s="750"/>
      <c r="E19" s="750"/>
      <c r="F19" s="750"/>
      <c r="G19" s="750"/>
      <c r="I19" s="688"/>
      <c r="J19" s="750" t="s">
        <v>327</v>
      </c>
      <c r="K19" s="751" t="e">
        <f>+IF('02_CUADRYGRÁF.COMP.ÚLT.5 CAMP.'!G35&lt;&gt;0,'02_CUADRYGRÁF.COMP.ÚLT.5 CAMP.'!G35,NA())</f>
        <v>#N/A</v>
      </c>
      <c r="L19" s="751">
        <f>+AVERAGE('02_CUADRYGRÁF.COMP.ÚLT.5 CAMP.'!C35:F35)</f>
        <v>14.31827075</v>
      </c>
      <c r="M19" s="750"/>
      <c r="N19" s="688"/>
    </row>
    <row r="20" spans="2:14" x14ac:dyDescent="0.35">
      <c r="B20" s="750"/>
      <c r="C20" s="750" t="s">
        <v>328</v>
      </c>
      <c r="D20" s="750"/>
      <c r="E20" s="750"/>
      <c r="F20" s="750"/>
      <c r="G20" s="750"/>
      <c r="I20" s="688"/>
      <c r="J20" s="750" t="s">
        <v>328</v>
      </c>
      <c r="K20" s="751" t="e">
        <f>+IF('02_CUADRYGRÁF.COMP.ÚLT.5 CAMP.'!G36&lt;&gt;0,'02_CUADRYGRÁF.COMP.ÚLT.5 CAMP.'!G36,NA())</f>
        <v>#N/A</v>
      </c>
      <c r="L20" s="751">
        <f>+AVERAGE('02_CUADRYGRÁF.COMP.ÚLT.5 CAMP.'!C36:F36)</f>
        <v>14.4101005</v>
      </c>
      <c r="M20" s="750"/>
      <c r="N20" s="688"/>
    </row>
    <row r="21" spans="2:14" x14ac:dyDescent="0.35">
      <c r="B21" s="750"/>
      <c r="C21" s="750" t="s">
        <v>329</v>
      </c>
      <c r="D21" s="750">
        <f>SUMIF(D9:D20, "&lt;&gt;#N/D")</f>
        <v>1300.9355000000003</v>
      </c>
      <c r="E21" s="750">
        <f>SUMIF(D9:D20,"&lt;&gt;#N/D",E9:E20)</f>
        <v>1108.9276374863045</v>
      </c>
      <c r="F21" s="750"/>
      <c r="G21" s="750"/>
      <c r="I21" s="688"/>
      <c r="J21" s="750" t="s">
        <v>329</v>
      </c>
      <c r="K21" s="751">
        <f>SUMIF(K9:K20, "&lt;&gt;#N/D")</f>
        <v>217.18600000000001</v>
      </c>
      <c r="L21" s="751">
        <f>SUMIF(K9:K20,"&lt;&gt;#N/D",L9:L20)</f>
        <v>190.58385300000003</v>
      </c>
      <c r="M21" s="750"/>
      <c r="N21" s="688"/>
    </row>
    <row r="22" spans="2:14" x14ac:dyDescent="0.35">
      <c r="B22" s="605"/>
      <c r="C22" s="752" t="s">
        <v>330</v>
      </c>
      <c r="D22" s="753">
        <f>+D21/E21-1</f>
        <v>0.17314733263293491</v>
      </c>
      <c r="E22" s="331"/>
      <c r="F22" s="331"/>
      <c r="G22" s="331"/>
      <c r="I22" s="754"/>
      <c r="J22" s="752" t="s">
        <v>331</v>
      </c>
      <c r="K22" s="753">
        <f>+K21/L21-1</f>
        <v>0.1395823758479684</v>
      </c>
    </row>
    <row r="23" spans="2:14" x14ac:dyDescent="0.35">
      <c r="C23" s="755"/>
      <c r="D23" s="331"/>
      <c r="E23" s="331"/>
      <c r="F23" s="331"/>
      <c r="G23" s="331"/>
      <c r="I23" s="24"/>
      <c r="J23" s="24"/>
    </row>
    <row r="24" spans="2:14" x14ac:dyDescent="0.35">
      <c r="B24" s="795" t="s">
        <v>297</v>
      </c>
      <c r="C24" s="795"/>
      <c r="D24" s="795"/>
      <c r="E24" s="795"/>
      <c r="F24" s="795"/>
      <c r="G24" s="795"/>
      <c r="I24" s="795" t="s">
        <v>277</v>
      </c>
      <c r="J24" s="795"/>
      <c r="K24" s="795"/>
      <c r="L24" s="795"/>
      <c r="M24" s="795"/>
      <c r="N24" s="795"/>
    </row>
    <row r="25" spans="2:14" x14ac:dyDescent="0.35">
      <c r="B25" s="796" t="s">
        <v>332</v>
      </c>
      <c r="C25" s="796"/>
      <c r="D25" s="796"/>
      <c r="E25" s="796"/>
      <c r="F25" s="796"/>
      <c r="G25" s="796"/>
      <c r="I25" s="796" t="s">
        <v>333</v>
      </c>
      <c r="J25" s="796"/>
      <c r="K25" s="796"/>
      <c r="L25" s="796"/>
      <c r="M25" s="796"/>
      <c r="N25" s="796"/>
    </row>
    <row r="26" spans="2:14" x14ac:dyDescent="0.35">
      <c r="B26" s="750"/>
      <c r="C26" s="750" t="s">
        <v>315</v>
      </c>
      <c r="D26" s="750" t="str">
        <f>+'04_CUADROS ACUMULADOS'!$H$7</f>
        <v>2025/26</v>
      </c>
      <c r="E26" s="750" t="s">
        <v>316</v>
      </c>
      <c r="F26" s="750"/>
      <c r="G26" s="688"/>
      <c r="I26" s="688"/>
      <c r="J26" s="750" t="s">
        <v>315</v>
      </c>
      <c r="K26" s="750" t="str">
        <f>+'04_CUADROS ACUMULADOS'!$H$7</f>
        <v>2025/26</v>
      </c>
      <c r="L26" s="750" t="s">
        <v>316</v>
      </c>
      <c r="M26" s="750"/>
      <c r="N26" s="688"/>
    </row>
    <row r="27" spans="2:14" x14ac:dyDescent="0.35">
      <c r="B27" s="750"/>
      <c r="C27" s="750" t="s">
        <v>317</v>
      </c>
      <c r="D27" s="751">
        <f>+IF('02_CUADRYGRÁF.COMP.ÚLT.5 CAMP.'!G59&lt;&gt;0,'02_CUADRYGRÁF.COMP.ÚLT.5 CAMP.'!G59,NA())</f>
        <v>37.725166850769099</v>
      </c>
      <c r="E27" s="751">
        <f>+AVERAGE('02_CUADRYGRÁF.COMP.ÚLT.5 CAMP.'!C59:F59)</f>
        <v>36.375520885073541</v>
      </c>
      <c r="F27" s="750"/>
      <c r="G27" s="688"/>
      <c r="I27" s="688"/>
      <c r="J27" s="750" t="s">
        <v>317</v>
      </c>
      <c r="K27" s="751">
        <f>+IF('02_CUADRYGRÁF.COMP.ÚLT.5 CAMP.'!G42&lt;&gt;0,'02_CUADRYGRÁF.COMP.ÚLT.5 CAMP.'!G42,NA())</f>
        <v>77.968000000000004</v>
      </c>
      <c r="L27" s="751">
        <f>+AVERAGE('02_CUADRYGRÁF.COMP.ÚLT.5 CAMP.'!C42:F42)</f>
        <v>72.014657</v>
      </c>
      <c r="M27" s="750"/>
      <c r="N27" s="688"/>
    </row>
    <row r="28" spans="2:14" x14ac:dyDescent="0.35">
      <c r="B28" s="750"/>
      <c r="C28" s="750" t="s">
        <v>318</v>
      </c>
      <c r="D28" s="751">
        <f>+IF('02_CUADRYGRÁF.COMP.ÚLT.5 CAMP.'!G60&lt;&gt;0,'02_CUADRYGRÁF.COMP.ÚLT.5 CAMP.'!G60,NA())</f>
        <v>46.12420188141212</v>
      </c>
      <c r="E28" s="751">
        <f>+AVERAGE('02_CUADRYGRÁF.COMP.ÚLT.5 CAMP.'!C60:F60)</f>
        <v>43.64479734200242</v>
      </c>
      <c r="F28" s="750"/>
      <c r="G28" s="688"/>
      <c r="I28" s="688"/>
      <c r="J28" s="750" t="s">
        <v>318</v>
      </c>
      <c r="K28" s="751">
        <f>+IF('02_CUADRYGRÁF.COMP.ÚLT.5 CAMP.'!G43&lt;&gt;0,'02_CUADRYGRÁF.COMP.ÚLT.5 CAMP.'!G43,NA())</f>
        <v>72.296999999999997</v>
      </c>
      <c r="L28" s="751">
        <f>+AVERAGE('02_CUADRYGRÁF.COMP.ÚLT.5 CAMP.'!C43:F43)</f>
        <v>65.937662000000003</v>
      </c>
      <c r="M28" s="750"/>
      <c r="N28" s="688"/>
    </row>
    <row r="29" spans="2:14" x14ac:dyDescent="0.35">
      <c r="B29" s="750"/>
      <c r="C29" s="750" t="s">
        <v>319</v>
      </c>
      <c r="D29" s="751">
        <f>+IF('02_CUADRYGRÁF.COMP.ÚLT.5 CAMP.'!G61&lt;&gt;0,'02_CUADRYGRÁF.COMP.ÚLT.5 CAMP.'!G61,NA())</f>
        <v>46.919312737470037</v>
      </c>
      <c r="E29" s="751">
        <f>+AVERAGE('02_CUADRYGRÁF.COMP.ÚLT.5 CAMP.'!C61:F61)</f>
        <v>41.624836989263244</v>
      </c>
      <c r="F29" s="750"/>
      <c r="G29" s="688"/>
      <c r="I29" s="688"/>
      <c r="J29" s="750" t="s">
        <v>319</v>
      </c>
      <c r="K29" s="751">
        <f>+IF('02_CUADRYGRÁF.COMP.ÚLT.5 CAMP.'!G44&lt;&gt;0,'02_CUADRYGRÁF.COMP.ÚLT.5 CAMP.'!G44,NA())</f>
        <v>72.191999999999993</v>
      </c>
      <c r="L29" s="751">
        <f>+AVERAGE('02_CUADRYGRÁF.COMP.ÚLT.5 CAMP.'!C44:F44)</f>
        <v>68.636918250000008</v>
      </c>
      <c r="M29" s="750"/>
      <c r="N29" s="688"/>
    </row>
    <row r="30" spans="2:14" x14ac:dyDescent="0.35">
      <c r="B30" s="750"/>
      <c r="C30" s="750" t="s">
        <v>320</v>
      </c>
      <c r="D30" s="751">
        <f>+IF('02_CUADRYGRÁF.COMP.ÚLT.5 CAMP.'!G62&lt;&gt;0,'02_CUADRYGRÁF.COMP.ÚLT.5 CAMP.'!G62,NA())</f>
        <v>41.017115359283281</v>
      </c>
      <c r="E30" s="751">
        <f>+AVERAGE('02_CUADRYGRÁF.COMP.ÚLT.5 CAMP.'!C62:F62)</f>
        <v>39.137916282090202</v>
      </c>
      <c r="F30" s="750"/>
      <c r="G30" s="688"/>
      <c r="I30" s="688"/>
      <c r="J30" s="750" t="s">
        <v>320</v>
      </c>
      <c r="K30" s="751">
        <f>+IF('02_CUADRYGRÁF.COMP.ÚLT.5 CAMP.'!G45&lt;&gt;0,'02_CUADRYGRÁF.COMP.ÚLT.5 CAMP.'!G45,NA())</f>
        <v>79.191000000000003</v>
      </c>
      <c r="L30" s="751">
        <f>+AVERAGE('02_CUADRYGRÁF.COMP.ÚLT.5 CAMP.'!C45:F45)</f>
        <v>72.141533750000008</v>
      </c>
      <c r="M30" s="750"/>
      <c r="N30" s="688"/>
    </row>
    <row r="31" spans="2:14" x14ac:dyDescent="0.35">
      <c r="B31" s="750"/>
      <c r="C31" s="750" t="s">
        <v>321</v>
      </c>
      <c r="D31" s="751">
        <f>+IF('02_CUADRYGRÁF.COMP.ÚLT.5 CAMP.'!G63&lt;&gt;0,'02_CUADRYGRÁF.COMP.ÚLT.5 CAMP.'!G63,NA())</f>
        <v>45.61591451636771</v>
      </c>
      <c r="E31" s="751">
        <f>+AVERAGE('02_CUADRYGRÁF.COMP.ÚLT.5 CAMP.'!C63:F63)</f>
        <v>36.517598910397794</v>
      </c>
      <c r="F31" s="750"/>
      <c r="G31" s="688"/>
      <c r="I31" s="688"/>
      <c r="J31" s="750" t="s">
        <v>321</v>
      </c>
      <c r="K31" s="751">
        <f>+IF('02_CUADRYGRÁF.COMP.ÚLT.5 CAMP.'!G46&lt;&gt;0,'02_CUADRYGRÁF.COMP.ÚLT.5 CAMP.'!G46,NA())</f>
        <v>89.275999999999996</v>
      </c>
      <c r="L31" s="751">
        <f>+AVERAGE('02_CUADRYGRÁF.COMP.ÚLT.5 CAMP.'!C46:F46)</f>
        <v>73.054173750000004</v>
      </c>
      <c r="M31" s="750"/>
      <c r="N31" s="688"/>
    </row>
    <row r="32" spans="2:14" x14ac:dyDescent="0.35">
      <c r="B32" s="750"/>
      <c r="C32" s="750" t="s">
        <v>322</v>
      </c>
      <c r="D32" s="751">
        <f>+IF('02_CUADRYGRÁF.COMP.ÚLT.5 CAMP.'!G64&lt;&gt;0,'02_CUADRYGRÁF.COMP.ÚLT.5 CAMP.'!G64,NA())</f>
        <v>48.161457483305782</v>
      </c>
      <c r="E32" s="751">
        <f>+AVERAGE('02_CUADRYGRÁF.COMP.ÚLT.5 CAMP.'!C64:F64)</f>
        <v>43.569120209979914</v>
      </c>
      <c r="F32" s="750"/>
      <c r="G32" s="688"/>
      <c r="I32" s="688"/>
      <c r="J32" s="750" t="s">
        <v>322</v>
      </c>
      <c r="K32" s="751">
        <f>+IF('02_CUADRYGRÁF.COMP.ÚLT.5 CAMP.'!G47&lt;&gt;0,'02_CUADRYGRÁF.COMP.ÚLT.5 CAMP.'!G47,NA())</f>
        <v>97.917000000000002</v>
      </c>
      <c r="L32" s="751">
        <f>+AVERAGE('02_CUADRYGRÁF.COMP.ÚLT.5 CAMP.'!C47:F47)</f>
        <v>75.021391499999993</v>
      </c>
      <c r="M32" s="750"/>
      <c r="N32" s="688"/>
    </row>
    <row r="33" spans="2:14" x14ac:dyDescent="0.35">
      <c r="B33" s="750"/>
      <c r="C33" s="750" t="s">
        <v>323</v>
      </c>
      <c r="D33" s="751">
        <f>+IF('02_CUADRYGRÁF.COMP.ÚLT.5 CAMP.'!G65&lt;&gt;0,'02_CUADRYGRÁF.COMP.ÚLT.5 CAMP.'!G65,NA())</f>
        <v>32.422952344741702</v>
      </c>
      <c r="E33" s="751">
        <f>+AVERAGE('02_CUADRYGRÁF.COMP.ÚLT.5 CAMP.'!C65:F65)</f>
        <v>36.831207527636295</v>
      </c>
      <c r="F33" s="750"/>
      <c r="G33" s="688"/>
      <c r="I33" s="688"/>
      <c r="J33" s="750" t="s">
        <v>323</v>
      </c>
      <c r="K33" s="751">
        <f>+IF('02_CUADRYGRÁF.COMP.ÚLT.5 CAMP.'!G48&lt;&gt;0,'02_CUADRYGRÁF.COMP.ÚLT.5 CAMP.'!G48,NA())</f>
        <v>86.625</v>
      </c>
      <c r="L33" s="751">
        <f>+AVERAGE('02_CUADRYGRÁF.COMP.ÚLT.5 CAMP.'!C48:F48)</f>
        <v>83.027590000000004</v>
      </c>
      <c r="M33" s="750"/>
      <c r="N33" s="688"/>
    </row>
    <row r="34" spans="2:14" x14ac:dyDescent="0.35">
      <c r="B34" s="750"/>
      <c r="C34" s="750" t="s">
        <v>324</v>
      </c>
      <c r="D34" s="751">
        <f>+IF('02_CUADRYGRÁF.COMP.ÚLT.5 CAMP.'!G66&lt;&gt;0,'02_CUADRYGRÁF.COMP.ÚLT.5 CAMP.'!G66,NA())</f>
        <v>30.781538826650518</v>
      </c>
      <c r="E34" s="751">
        <f>+AVERAGE('02_CUADRYGRÁF.COMP.ÚLT.5 CAMP.'!C66:F66)</f>
        <v>33.933955708668179</v>
      </c>
      <c r="F34" s="750"/>
      <c r="G34" s="688"/>
      <c r="I34" s="688"/>
      <c r="J34" s="750" t="s">
        <v>324</v>
      </c>
      <c r="K34" s="751">
        <f>+IF('02_CUADRYGRÁF.COMP.ÚLT.5 CAMP.'!G49&lt;&gt;0,'02_CUADRYGRÁF.COMP.ÚLT.5 CAMP.'!G49,NA())</f>
        <v>85.094999999999999</v>
      </c>
      <c r="L34" s="751">
        <f>+AVERAGE('02_CUADRYGRÁF.COMP.ÚLT.5 CAMP.'!C49:F49)</f>
        <v>89.419952750000007</v>
      </c>
      <c r="M34" s="750"/>
      <c r="N34" s="688"/>
    </row>
    <row r="35" spans="2:14" x14ac:dyDescent="0.35">
      <c r="B35" s="750"/>
      <c r="C35" s="750" t="s">
        <v>325</v>
      </c>
      <c r="D35" s="751">
        <f>+IF('02_CUADRYGRÁF.COMP.ÚLT.5 CAMP.'!G67&lt;&gt;0,'02_CUADRYGRÁF.COMP.ÚLT.5 CAMP.'!G67,NA())</f>
        <v>34.923590000000004</v>
      </c>
      <c r="E35" s="751">
        <f>+AVERAGE('02_CUADRYGRÁF.COMP.ÚLT.5 CAMP.'!C67:F67)</f>
        <v>36.105815000000078</v>
      </c>
      <c r="F35" s="750"/>
      <c r="G35" s="688"/>
      <c r="I35" s="688"/>
      <c r="J35" s="750" t="s">
        <v>325</v>
      </c>
      <c r="K35" s="751">
        <f>+IF('02_CUADRYGRÁF.COMP.ÚLT.5 CAMP.'!G50&lt;&gt;0,'02_CUADRYGRÁF.COMP.ÚLT.5 CAMP.'!G50,NA())</f>
        <v>83.879000000000005</v>
      </c>
      <c r="L35" s="751">
        <f>+AVERAGE('02_CUADRYGRÁF.COMP.ÚLT.5 CAMP.'!C50:F50)</f>
        <v>82.393033000000003</v>
      </c>
      <c r="M35" s="750"/>
      <c r="N35" s="688"/>
    </row>
    <row r="36" spans="2:14" x14ac:dyDescent="0.35">
      <c r="B36" s="750"/>
      <c r="C36" s="750" t="s">
        <v>326</v>
      </c>
      <c r="D36" s="751">
        <f>+IF('02_CUADRYGRÁF.COMP.ÚLT.5 CAMP.'!G68&lt;&gt;0,'02_CUADRYGRÁF.COMP.ÚLT.5 CAMP.'!G68,NA())</f>
        <v>41.375130000000013</v>
      </c>
      <c r="E36" s="751">
        <f>+AVERAGE('02_CUADRYGRÁF.COMP.ÚLT.5 CAMP.'!C68:F68)</f>
        <v>34.894653249999948</v>
      </c>
      <c r="F36" s="750"/>
      <c r="G36" s="688"/>
      <c r="I36" s="688"/>
      <c r="J36" s="750" t="s">
        <v>326</v>
      </c>
      <c r="K36" s="751">
        <f>+IF('02_CUADRYGRÁF.COMP.ÚLT.5 CAMP.'!G51&lt;&gt;0,'02_CUADRYGRÁF.COMP.ÚLT.5 CAMP.'!G51,NA())</f>
        <v>89</v>
      </c>
      <c r="L36" s="751">
        <f>+AVERAGE('02_CUADRYGRÁF.COMP.ÚLT.5 CAMP.'!C51:F51)</f>
        <v>79.940827249999998</v>
      </c>
      <c r="M36" s="750"/>
      <c r="N36" s="688"/>
    </row>
    <row r="37" spans="2:14" x14ac:dyDescent="0.35">
      <c r="B37" s="750"/>
      <c r="C37" s="750" t="s">
        <v>327</v>
      </c>
      <c r="D37" s="751" t="e">
        <f>+IF('02_CUADRYGRÁF.COMP.ÚLT.5 CAMP.'!G69&lt;&gt;0,'02_CUADRYGRÁF.COMP.ÚLT.5 CAMP.'!G69,NA())</f>
        <v>#N/A</v>
      </c>
      <c r="E37" s="751">
        <f>+AVERAGE('02_CUADRYGRÁF.COMP.ÚLT.5 CAMP.'!C69:F69)</f>
        <v>37.317360500000021</v>
      </c>
      <c r="F37" s="750"/>
      <c r="G37" s="688"/>
      <c r="I37" s="688"/>
      <c r="J37" s="750" t="s">
        <v>327</v>
      </c>
      <c r="K37" s="751" t="e">
        <f>+IF('02_CUADRYGRÁF.COMP.ÚLT.5 CAMP.'!G52&lt;&gt;0,'02_CUADRYGRÁF.COMP.ÚLT.5 CAMP.'!G52,NA())</f>
        <v>#N/A</v>
      </c>
      <c r="L37" s="751">
        <f>+AVERAGE('02_CUADRYGRÁF.COMP.ÚLT.5 CAMP.'!C52:F52)</f>
        <v>65.598267749999991</v>
      </c>
      <c r="M37" s="750"/>
      <c r="N37" s="688"/>
    </row>
    <row r="38" spans="2:14" x14ac:dyDescent="0.35">
      <c r="B38" s="750"/>
      <c r="C38" s="750" t="s">
        <v>328</v>
      </c>
      <c r="D38" s="751" t="e">
        <f>+IF('02_CUADRYGRÁF.COMP.ÚLT.5 CAMP.'!G70&lt;&gt;0,'02_CUADRYGRÁF.COMP.ÚLT.5 CAMP.'!G70,NA())</f>
        <v>#N/A</v>
      </c>
      <c r="E38" s="751">
        <f>+AVERAGE('02_CUADRYGRÁF.COMP.ÚLT.5 CAMP.'!C70:F70)</f>
        <v>36.522567000000024</v>
      </c>
      <c r="F38" s="750"/>
      <c r="G38" s="688"/>
      <c r="I38" s="688"/>
      <c r="J38" s="750" t="s">
        <v>328</v>
      </c>
      <c r="K38" s="751" t="e">
        <f>+IF('02_CUADRYGRÁF.COMP.ÚLT.5 CAMP.'!G53&lt;&gt;0,'02_CUADRYGRÁF.COMP.ÚLT.5 CAMP.'!G53,NA())</f>
        <v>#N/A</v>
      </c>
      <c r="L38" s="751">
        <f>+AVERAGE('02_CUADRYGRÁF.COMP.ÚLT.5 CAMP.'!C53:F53)</f>
        <v>78.061543499999999</v>
      </c>
      <c r="M38" s="750"/>
      <c r="N38" s="688"/>
    </row>
    <row r="39" spans="2:14" x14ac:dyDescent="0.35">
      <c r="B39" s="750"/>
      <c r="C39" s="750" t="s">
        <v>329</v>
      </c>
      <c r="D39" s="751">
        <f>SUMIF(D27:D38, "&lt;&gt;#N/D")</f>
        <v>405.06638000000021</v>
      </c>
      <c r="E39" s="751">
        <f>SUMIF(D27:D38,"&lt;&gt;#N/D",E27:E38)</f>
        <v>382.63542210511162</v>
      </c>
      <c r="F39" s="750"/>
      <c r="G39" s="688"/>
      <c r="I39" s="688"/>
      <c r="J39" s="750" t="s">
        <v>329</v>
      </c>
      <c r="K39" s="751">
        <f>SUMIF(K27:K38, "&lt;&gt;#N/D")</f>
        <v>833.44</v>
      </c>
      <c r="L39" s="751">
        <f>SUMIF(K27:K38,"&lt;&gt;#N/D",L27:L38)</f>
        <v>761.58773924999991</v>
      </c>
      <c r="M39" s="750"/>
      <c r="N39" s="688"/>
    </row>
    <row r="40" spans="2:14" s="108" customFormat="1" x14ac:dyDescent="0.35">
      <c r="B40" s="752"/>
      <c r="C40" s="752" t="s">
        <v>331</v>
      </c>
      <c r="D40" s="753">
        <f>+D39/E39-1</f>
        <v>5.8622272270251852E-2</v>
      </c>
      <c r="F40"/>
      <c r="G40"/>
      <c r="I40" s="756" t="s">
        <v>334</v>
      </c>
      <c r="J40" s="752"/>
      <c r="K40" s="753">
        <f>+K39/L39-1</f>
        <v>9.4345348601277523E-2</v>
      </c>
    </row>
    <row r="42" spans="2:14" x14ac:dyDescent="0.35">
      <c r="B42" s="795" t="s">
        <v>335</v>
      </c>
      <c r="C42" s="795"/>
      <c r="D42" s="795"/>
      <c r="E42" s="795"/>
      <c r="F42" s="795"/>
      <c r="G42" s="795"/>
      <c r="I42" s="795" t="s">
        <v>302</v>
      </c>
      <c r="J42" s="795"/>
      <c r="K42" s="795"/>
      <c r="L42" s="795"/>
      <c r="M42" s="795"/>
      <c r="N42" s="795"/>
    </row>
    <row r="43" spans="2:14" x14ac:dyDescent="0.35">
      <c r="B43" s="796" t="s">
        <v>336</v>
      </c>
      <c r="C43" s="796"/>
      <c r="D43" s="796"/>
      <c r="E43" s="796"/>
      <c r="F43" s="796"/>
      <c r="G43" s="796"/>
      <c r="I43" s="796" t="s">
        <v>337</v>
      </c>
      <c r="J43" s="796"/>
      <c r="K43" s="796"/>
      <c r="L43" s="796"/>
      <c r="M43" s="796"/>
      <c r="N43" s="796"/>
    </row>
    <row r="44" spans="2:14" x14ac:dyDescent="0.35">
      <c r="B44" s="750"/>
      <c r="C44" s="750" t="s">
        <v>315</v>
      </c>
      <c r="D44" s="750" t="str">
        <f>+'04_CUADROS ACUMULADOS'!$H$7</f>
        <v>2025/26</v>
      </c>
      <c r="E44" s="750" t="s">
        <v>316</v>
      </c>
      <c r="F44" s="750"/>
      <c r="G44" s="688"/>
      <c r="I44" s="688"/>
      <c r="J44" s="750" t="s">
        <v>315</v>
      </c>
      <c r="K44" s="750" t="str">
        <f>+'04_CUADROS ACUMULADOS'!$H$7</f>
        <v>2025/26</v>
      </c>
      <c r="L44" s="750" t="s">
        <v>316</v>
      </c>
      <c r="M44" s="750"/>
      <c r="N44" s="688"/>
    </row>
    <row r="45" spans="2:14" x14ac:dyDescent="0.35">
      <c r="B45" s="750"/>
      <c r="C45" s="750" t="s">
        <v>317</v>
      </c>
      <c r="D45" s="751">
        <f>+IF('03_CUADRYGRÁF.COMP.5 ÚLT.CAMP.'!J8&lt;&gt;0,'03_CUADRYGRÁF.COMP.5 ÚLT.CAMP.'!J8,NA())</f>
        <v>97.732749999999996</v>
      </c>
      <c r="E45" s="751">
        <f>+AVERAGE('03_CUADRYGRÁF.COMP.5 ÚLT.CAMP.'!F8:I8)</f>
        <v>116.15584249999998</v>
      </c>
      <c r="F45" s="750"/>
      <c r="G45" s="688"/>
      <c r="I45" s="688"/>
      <c r="J45" s="750" t="s">
        <v>317</v>
      </c>
      <c r="K45" s="751">
        <f>+IF('03_CUADRYGRÁF.COMP.5 ÚLT.CAMP.'!J42&lt;&gt;0,'03_CUADRYGRÁF.COMP.5 ÚLT.CAMP.'!J42,NA())</f>
        <v>226.26583999999997</v>
      </c>
      <c r="L45" s="751">
        <f>+AVERAGE('03_CUADRYGRÁF.COMP.5 ÚLT.CAMP.'!F42:I42)</f>
        <v>273.41051750000003</v>
      </c>
      <c r="M45" s="750"/>
      <c r="N45" s="688"/>
    </row>
    <row r="46" spans="2:14" x14ac:dyDescent="0.35">
      <c r="B46" s="750"/>
      <c r="C46" s="750" t="s">
        <v>318</v>
      </c>
      <c r="D46" s="751">
        <f>+IF('03_CUADRYGRÁF.COMP.5 ÚLT.CAMP.'!J9&lt;&gt;0,'03_CUADRYGRÁF.COMP.5 ÚLT.CAMP.'!J9,NA())</f>
        <v>258.26740999999998</v>
      </c>
      <c r="E46" s="751">
        <f>+AVERAGE('03_CUADRYGRÁF.COMP.5 ÚLT.CAMP.'!F9:I9)</f>
        <v>263.21480999999994</v>
      </c>
      <c r="F46" s="750"/>
      <c r="G46" s="688"/>
      <c r="I46" s="688"/>
      <c r="J46" s="750" t="s">
        <v>318</v>
      </c>
      <c r="K46" s="751">
        <f>+IF('03_CUADRYGRÁF.COMP.5 ÚLT.CAMP.'!J43&lt;&gt;0,'03_CUADRYGRÁF.COMP.5 ÚLT.CAMP.'!J43,NA())</f>
        <v>393.52136999999999</v>
      </c>
      <c r="L46" s="751">
        <f>+AVERAGE('03_CUADRYGRÁF.COMP.5 ÚLT.CAMP.'!F43:I43)</f>
        <v>425.53283499999998</v>
      </c>
      <c r="M46" s="750"/>
      <c r="N46" s="688"/>
    </row>
    <row r="47" spans="2:14" x14ac:dyDescent="0.35">
      <c r="B47" s="750"/>
      <c r="C47" s="750" t="s">
        <v>319</v>
      </c>
      <c r="D47" s="751">
        <f>+IF('03_CUADRYGRÁF.COMP.5 ÚLT.CAMP.'!J10&lt;&gt;0,'03_CUADRYGRÁF.COMP.5 ÚLT.CAMP.'!J10,NA())</f>
        <v>562.22154999999998</v>
      </c>
      <c r="E47" s="751">
        <f>+AVERAGE('03_CUADRYGRÁF.COMP.5 ÚLT.CAMP.'!F10:I10)</f>
        <v>576.65643249999994</v>
      </c>
      <c r="F47" s="750"/>
      <c r="G47" s="688"/>
      <c r="I47" s="688"/>
      <c r="J47" s="750" t="s">
        <v>319</v>
      </c>
      <c r="K47" s="751">
        <f>+IF('03_CUADRYGRÁF.COMP.5 ÚLT.CAMP.'!J44&lt;&gt;0,'03_CUADRYGRÁF.COMP.5 ÚLT.CAMP.'!J44,NA())</f>
        <v>727.57745999999997</v>
      </c>
      <c r="L47" s="751">
        <f>+AVERAGE('03_CUADRYGRÁF.COMP.5 ÚLT.CAMP.'!F44:I44)</f>
        <v>773.92160750000005</v>
      </c>
      <c r="M47" s="750"/>
      <c r="N47" s="688"/>
    </row>
    <row r="48" spans="2:14" x14ac:dyDescent="0.35">
      <c r="B48" s="750"/>
      <c r="C48" s="750" t="s">
        <v>320</v>
      </c>
      <c r="D48" s="751">
        <f>+IF('03_CUADRYGRÁF.COMP.5 ÚLT.CAMP.'!J11&lt;&gt;0,'03_CUADRYGRÁF.COMP.5 ÚLT.CAMP.'!J11,NA())</f>
        <v>740.16749000000004</v>
      </c>
      <c r="E48" s="751">
        <f>+AVERAGE('03_CUADRYGRÁF.COMP.5 ÚLT.CAMP.'!F11:I11)</f>
        <v>750.30561250000005</v>
      </c>
      <c r="F48" s="750"/>
      <c r="G48" s="688"/>
      <c r="I48" s="688"/>
      <c r="J48" s="750" t="s">
        <v>320</v>
      </c>
      <c r="K48" s="751">
        <f>+IF('03_CUADRYGRÁF.COMP.5 ÚLT.CAMP.'!J45&lt;&gt;0,'03_CUADRYGRÁF.COMP.5 ÚLT.CAMP.'!J45,NA())</f>
        <v>956.07519000000002</v>
      </c>
      <c r="L48" s="751">
        <f>+AVERAGE('03_CUADRYGRÁF.COMP.5 ÚLT.CAMP.'!F45:I45)</f>
        <v>976.30768749999993</v>
      </c>
      <c r="M48" s="750"/>
      <c r="N48" s="688"/>
    </row>
    <row r="49" spans="2:14" x14ac:dyDescent="0.35">
      <c r="B49" s="750"/>
      <c r="C49" s="750" t="s">
        <v>321</v>
      </c>
      <c r="D49" s="751">
        <f>+IF('03_CUADRYGRÁF.COMP.5 ÚLT.CAMP.'!J12&lt;&gt;0,'03_CUADRYGRÁF.COMP.5 ÚLT.CAMP.'!J12,NA())</f>
        <v>749.92598999999996</v>
      </c>
      <c r="E49" s="751">
        <f>+AVERAGE('03_CUADRYGRÁF.COMP.5 ÚLT.CAMP.'!F12:I12)</f>
        <v>733.15373250000005</v>
      </c>
      <c r="F49" s="750"/>
      <c r="G49" s="688"/>
      <c r="I49" s="688"/>
      <c r="J49" s="750" t="s">
        <v>321</v>
      </c>
      <c r="K49" s="751">
        <f>+IF('03_CUADRYGRÁF.COMP.5 ÚLT.CAMP.'!J46&lt;&gt;0,'03_CUADRYGRÁF.COMP.5 ÚLT.CAMP.'!J46,NA())</f>
        <v>985.59431999999993</v>
      </c>
      <c r="L49" s="751">
        <f>+AVERAGE('03_CUADRYGRÁF.COMP.5 ÚLT.CAMP.'!F46:I46)</f>
        <v>973.79580749999991</v>
      </c>
      <c r="M49" s="750"/>
      <c r="N49" s="688"/>
    </row>
    <row r="50" spans="2:14" x14ac:dyDescent="0.35">
      <c r="B50" s="750"/>
      <c r="C50" s="750" t="s">
        <v>322</v>
      </c>
      <c r="D50" s="751">
        <f>+IF('03_CUADRYGRÁF.COMP.5 ÚLT.CAMP.'!J13&lt;&gt;0,'03_CUADRYGRÁF.COMP.5 ÚLT.CAMP.'!J13,NA())</f>
        <v>703.55987000000005</v>
      </c>
      <c r="E50" s="751">
        <f>+AVERAGE('03_CUADRYGRÁF.COMP.5 ÚLT.CAMP.'!F13:I13)</f>
        <v>650.80367249999995</v>
      </c>
      <c r="F50" s="750"/>
      <c r="G50" s="688"/>
      <c r="I50" s="688"/>
      <c r="J50" s="750" t="s">
        <v>322</v>
      </c>
      <c r="K50" s="751">
        <f>+IF('03_CUADRYGRÁF.COMP.5 ÚLT.CAMP.'!J47&lt;&gt;0,'03_CUADRYGRÁF.COMP.5 ÚLT.CAMP.'!J47,NA())</f>
        <v>952.05616000000009</v>
      </c>
      <c r="L50" s="751">
        <f>+AVERAGE('03_CUADRYGRÁF.COMP.5 ÚLT.CAMP.'!F47:I47)</f>
        <v>887.20447250000007</v>
      </c>
      <c r="M50" s="750"/>
      <c r="N50" s="688"/>
    </row>
    <row r="51" spans="2:14" x14ac:dyDescent="0.35">
      <c r="B51" s="750"/>
      <c r="C51" s="750" t="s">
        <v>323</v>
      </c>
      <c r="D51" s="751">
        <f>+IF('03_CUADRYGRÁF.COMP.5 ÚLT.CAMP.'!J14&lt;&gt;0,'03_CUADRYGRÁF.COMP.5 ÚLT.CAMP.'!J14,NA())</f>
        <v>609.79009000000008</v>
      </c>
      <c r="E51" s="751">
        <f>+AVERAGE('03_CUADRYGRÁF.COMP.5 ÚLT.CAMP.'!F14:I14)</f>
        <v>556.01648250000005</v>
      </c>
      <c r="F51" s="750"/>
      <c r="G51" s="688"/>
      <c r="I51" s="688"/>
      <c r="J51" s="750" t="s">
        <v>323</v>
      </c>
      <c r="K51" s="751">
        <f>+IF('03_CUADRYGRÁF.COMP.5 ÚLT.CAMP.'!J48&lt;&gt;0,'03_CUADRYGRÁF.COMP.5 ÚLT.CAMP.'!J48,NA())</f>
        <v>868.28164000000015</v>
      </c>
      <c r="L51" s="751">
        <f>+AVERAGE('03_CUADRYGRÁF.COMP.5 ÚLT.CAMP.'!F48:I48)</f>
        <v>788.99620750000008</v>
      </c>
      <c r="M51" s="750"/>
      <c r="N51" s="688"/>
    </row>
    <row r="52" spans="2:14" x14ac:dyDescent="0.35">
      <c r="B52" s="750"/>
      <c r="C52" s="750" t="s">
        <v>324</v>
      </c>
      <c r="D52" s="751">
        <f>+IF('03_CUADRYGRÁF.COMP.5 ÚLT.CAMP.'!J15&lt;&gt;0,'03_CUADRYGRÁF.COMP.5 ÚLT.CAMP.'!J15,NA())</f>
        <v>513.94209000000001</v>
      </c>
      <c r="E52" s="751">
        <f>+AVERAGE('03_CUADRYGRÁF.COMP.5 ÚLT.CAMP.'!F15:I15)</f>
        <v>455.10437999999999</v>
      </c>
      <c r="F52" s="750"/>
      <c r="G52" s="688"/>
      <c r="I52" s="688"/>
      <c r="J52" s="750" t="s">
        <v>324</v>
      </c>
      <c r="K52" s="751">
        <f>+IF('03_CUADRYGRÁF.COMP.5 ÚLT.CAMP.'!J49&lt;&gt;0,'03_CUADRYGRÁF.COMP.5 ÚLT.CAMP.'!J49,NA())</f>
        <v>778.82841000000008</v>
      </c>
      <c r="L52" s="751">
        <f>+AVERAGE('03_CUADRYGRÁF.COMP.5 ÚLT.CAMP.'!F49:I49)</f>
        <v>684.07398000000001</v>
      </c>
      <c r="M52" s="750"/>
      <c r="N52" s="688"/>
    </row>
    <row r="53" spans="2:14" x14ac:dyDescent="0.35">
      <c r="B53" s="750"/>
      <c r="C53" s="750" t="s">
        <v>325</v>
      </c>
      <c r="D53" s="751">
        <f>+IF('03_CUADRYGRÁF.COMP.5 ÚLT.CAMP.'!J16&lt;&gt;0,'03_CUADRYGRÁF.COMP.5 ÚLT.CAMP.'!J16,NA())</f>
        <v>424.58381000000003</v>
      </c>
      <c r="E53" s="751">
        <f>+AVERAGE('03_CUADRYGRÁF.COMP.5 ÚLT.CAMP.'!F16:I16)</f>
        <v>361.97298999999998</v>
      </c>
      <c r="F53" s="750"/>
      <c r="G53" s="688"/>
      <c r="I53" s="688"/>
      <c r="J53" s="750" t="s">
        <v>325</v>
      </c>
      <c r="K53" s="751">
        <f>+IF('03_CUADRYGRÁF.COMP.5 ÚLT.CAMP.'!J50&lt;&gt;0,'03_CUADRYGRÁF.COMP.5 ÚLT.CAMP.'!J50,NA())</f>
        <v>683.66182000000003</v>
      </c>
      <c r="L53" s="751">
        <f>+AVERAGE('03_CUADRYGRÁF.COMP.5 ÚLT.CAMP.'!F50:I50)</f>
        <v>581.71096499999999</v>
      </c>
      <c r="M53" s="750"/>
      <c r="N53" s="688"/>
    </row>
    <row r="54" spans="2:14" x14ac:dyDescent="0.35">
      <c r="B54" s="750"/>
      <c r="C54" s="750" t="s">
        <v>326</v>
      </c>
      <c r="D54" s="751">
        <f>+IF('03_CUADRYGRÁF.COMP.5 ÚLT.CAMP.'!J17&lt;&gt;0,'03_CUADRYGRÁF.COMP.5 ÚLT.CAMP.'!J17,NA())</f>
        <v>333.51109000000002</v>
      </c>
      <c r="E54" s="751">
        <f>+AVERAGE('03_CUADRYGRÁF.COMP.5 ÚLT.CAMP.'!F17:I17)</f>
        <v>273.9098525</v>
      </c>
      <c r="F54" s="750"/>
      <c r="G54" s="688"/>
      <c r="I54" s="688"/>
      <c r="J54" s="750" t="s">
        <v>326</v>
      </c>
      <c r="K54" s="751">
        <f>+IF('03_CUADRYGRÁF.COMP.5 ÚLT.CAMP.'!J51&lt;&gt;0,'03_CUADRYGRÁF.COMP.5 ÚLT.CAMP.'!J51,NA())</f>
        <v>569.28669000000002</v>
      </c>
      <c r="L54" s="751">
        <f>+AVERAGE('03_CUADRYGRÁF.COMP.5 ÚLT.CAMP.'!F51:I51)</f>
        <v>483.53872749999994</v>
      </c>
      <c r="M54" s="750"/>
      <c r="N54" s="688"/>
    </row>
    <row r="55" spans="2:14" x14ac:dyDescent="0.35">
      <c r="B55" s="750"/>
      <c r="C55" s="750" t="s">
        <v>327</v>
      </c>
      <c r="D55" s="751" t="e">
        <f>+IF('03_CUADRYGRÁF.COMP.5 ÚLT.CAMP.'!J18&lt;&gt;0,'03_CUADRYGRÁF.COMP.5 ÚLT.CAMP.'!J18,NA())</f>
        <v>#N/A</v>
      </c>
      <c r="E55" s="751">
        <f>+AVERAGE('03_CUADRYGRÁF.COMP.5 ÚLT.CAMP.'!F18:I18)</f>
        <v>208.97066999999998</v>
      </c>
      <c r="F55" s="750"/>
      <c r="G55" s="688"/>
      <c r="I55" s="688"/>
      <c r="J55" s="750" t="s">
        <v>327</v>
      </c>
      <c r="K55" s="751" t="e">
        <f>+IF('03_CUADRYGRÁF.COMP.5 ÚLT.CAMP.'!J52&lt;&gt;0,'03_CUADRYGRÁF.COMP.5 ÚLT.CAMP.'!J52,NA())</f>
        <v>#N/A</v>
      </c>
      <c r="L55" s="751">
        <f>+AVERAGE('03_CUADRYGRÁF.COMP.5 ÚLT.CAMP.'!F52:I52)</f>
        <v>394.91771999999997</v>
      </c>
      <c r="M55" s="750"/>
      <c r="N55" s="688"/>
    </row>
    <row r="56" spans="2:14" x14ac:dyDescent="0.35">
      <c r="B56" s="750"/>
      <c r="C56" s="750" t="s">
        <v>328</v>
      </c>
      <c r="D56" s="751" t="e">
        <f>+IF('03_CUADRYGRÁF.COMP.5 ÚLT.CAMP.'!J19&lt;&gt;0,'03_CUADRYGRÁF.COMP.5 ÚLT.CAMP.'!J19,NA())</f>
        <v>#N/A</v>
      </c>
      <c r="E56" s="751">
        <f>+AVERAGE('03_CUADRYGRÁF.COMP.5 ÚLT.CAMP.'!F19:I19)</f>
        <v>132.89266000000001</v>
      </c>
      <c r="F56" s="750"/>
      <c r="G56" s="688"/>
      <c r="I56" s="688"/>
      <c r="J56" s="750" t="s">
        <v>328</v>
      </c>
      <c r="K56" s="751" t="e">
        <f>+IF('03_CUADRYGRÁF.COMP.5 ÚLT.CAMP.'!J53&lt;&gt;0,'03_CUADRYGRÁF.COMP.5 ÚLT.CAMP.'!J53,NA())</f>
        <v>#N/A</v>
      </c>
      <c r="L56" s="751">
        <f>+AVERAGE('03_CUADRYGRÁF.COMP.5 ÚLT.CAMP.'!F53:I53)</f>
        <v>294.84695999999997</v>
      </c>
      <c r="M56" s="750"/>
      <c r="N56" s="688"/>
    </row>
    <row r="57" spans="2:14" x14ac:dyDescent="0.35">
      <c r="B57" s="750"/>
      <c r="C57" s="750" t="s">
        <v>338</v>
      </c>
      <c r="D57" s="751">
        <f t="array" ref="D57">_xlfn.XLOOKUP(TRUE,NOT(ISERROR(D45:D56)),D45:D56,,,-1)</f>
        <v>333.51109000000002</v>
      </c>
      <c r="E57" s="751">
        <f>+_xlfn.XLOOKUP(D57,D45:D56,E45:E56)</f>
        <v>273.9098525</v>
      </c>
      <c r="F57" s="750"/>
      <c r="G57" s="688"/>
      <c r="I57" s="688"/>
      <c r="J57" s="750" t="s">
        <v>338</v>
      </c>
      <c r="K57" s="751">
        <f t="array" ref="K57">_xlfn.XLOOKUP(TRUE,NOT(ISERROR(K45:K56)),K45:K56,,,-1)</f>
        <v>569.28669000000002</v>
      </c>
      <c r="L57" s="751">
        <f>+_xlfn.XLOOKUP(K57,K45:K56,L45:L56)</f>
        <v>483.53872749999994</v>
      </c>
      <c r="M57" s="750"/>
      <c r="N57" s="688"/>
    </row>
    <row r="58" spans="2:14" x14ac:dyDescent="0.35">
      <c r="B58" s="757"/>
      <c r="C58" s="757" t="s">
        <v>331</v>
      </c>
      <c r="D58" s="753">
        <f>+D57/E57-1</f>
        <v>0.21759435433232555</v>
      </c>
      <c r="E58" s="758"/>
      <c r="F58" s="758"/>
      <c r="G58" s="758"/>
      <c r="H58" s="758"/>
      <c r="I58" s="759" t="s">
        <v>334</v>
      </c>
      <c r="J58" s="759"/>
      <c r="K58" s="753">
        <f>+K57/L57-1</f>
        <v>0.17733421879843148</v>
      </c>
    </row>
    <row r="60" spans="2:14" x14ac:dyDescent="0.35">
      <c r="B60" s="795" t="s">
        <v>339</v>
      </c>
      <c r="C60" s="795"/>
      <c r="D60" s="795"/>
      <c r="E60" s="795"/>
      <c r="F60" s="795"/>
      <c r="G60" s="795"/>
      <c r="I60" s="795" t="s">
        <v>311</v>
      </c>
      <c r="J60" s="795"/>
      <c r="K60" s="795"/>
      <c r="L60" s="795"/>
      <c r="M60" s="795"/>
      <c r="N60" s="795"/>
    </row>
    <row r="61" spans="2:14" x14ac:dyDescent="0.35">
      <c r="B61" s="796" t="s">
        <v>340</v>
      </c>
      <c r="C61" s="796"/>
      <c r="D61" s="796"/>
      <c r="E61" s="796"/>
      <c r="F61" s="796"/>
      <c r="G61" s="796"/>
      <c r="I61" s="796" t="s">
        <v>311</v>
      </c>
      <c r="J61" s="796"/>
      <c r="K61" s="796"/>
      <c r="L61" s="796"/>
      <c r="M61" s="796"/>
      <c r="N61" s="796"/>
    </row>
    <row r="62" spans="2:14" x14ac:dyDescent="0.35">
      <c r="B62" s="750"/>
      <c r="C62" s="750" t="s">
        <v>315</v>
      </c>
      <c r="D62" s="750" t="str">
        <f>+'04_CUADROS ACUMULADOS'!$H$7</f>
        <v>2025/26</v>
      </c>
      <c r="E62" s="750" t="s">
        <v>316</v>
      </c>
      <c r="F62" s="750"/>
      <c r="G62" s="688"/>
      <c r="I62" s="750"/>
      <c r="J62" s="750" t="s">
        <v>315</v>
      </c>
      <c r="K62" s="750" t="str">
        <f>+'04_CUADROS ACUMULADOS'!$H$7</f>
        <v>2025/26</v>
      </c>
      <c r="L62" s="750" t="s">
        <v>316</v>
      </c>
      <c r="M62" s="750"/>
      <c r="N62" s="688"/>
    </row>
    <row r="63" spans="2:14" x14ac:dyDescent="0.35">
      <c r="B63" s="750"/>
      <c r="C63" s="750" t="s">
        <v>317</v>
      </c>
      <c r="D63" s="751">
        <f>+IF('02_CUADRYGRÁF.COMP.ÚLT.5 CAMP.'!G76&lt;&gt;0,'02_CUADRYGRÁF.COMP.ÚLT.5 CAMP.'!G76,NA())</f>
        <v>115.6931668507691</v>
      </c>
      <c r="E63" s="751">
        <f>+AVERAGE('02_CUADRYGRÁF.COMP.ÚLT.5 CAMP.'!C76:F76)</f>
        <v>108.39017788507354</v>
      </c>
      <c r="F63" s="750"/>
      <c r="G63" s="688"/>
      <c r="I63" s="750"/>
      <c r="J63" s="750" t="s">
        <v>317</v>
      </c>
      <c r="K63" s="751">
        <f>+D63</f>
        <v>115.6931668507691</v>
      </c>
      <c r="L63" s="751">
        <f>+E63</f>
        <v>108.39017788507354</v>
      </c>
      <c r="M63" s="750"/>
      <c r="N63" s="688"/>
    </row>
    <row r="64" spans="2:14" x14ac:dyDescent="0.35">
      <c r="B64" s="750"/>
      <c r="C64" s="750" t="s">
        <v>318</v>
      </c>
      <c r="D64" s="751">
        <f>+IF('02_CUADRYGRÁF.COMP.ÚLT.5 CAMP.'!G77&lt;&gt;0,'02_CUADRYGRÁF.COMP.ÚLT.5 CAMP.'!G77,NA())</f>
        <v>118.42120188141212</v>
      </c>
      <c r="E64" s="751">
        <f>+AVERAGE('02_CUADRYGRÁF.COMP.ÚLT.5 CAMP.'!C77:F77)</f>
        <v>109.58245934200244</v>
      </c>
      <c r="F64" s="750"/>
      <c r="G64" s="688"/>
      <c r="I64" s="750"/>
      <c r="J64" s="750" t="s">
        <v>318</v>
      </c>
      <c r="K64" s="751">
        <f>+D64+K63</f>
        <v>234.11436873218122</v>
      </c>
      <c r="L64" s="751">
        <f>+E64+L63</f>
        <v>217.97263722707598</v>
      </c>
      <c r="M64" s="750"/>
      <c r="N64" s="688"/>
    </row>
    <row r="65" spans="2:14" x14ac:dyDescent="0.35">
      <c r="B65" s="750"/>
      <c r="C65" s="750" t="s">
        <v>319</v>
      </c>
      <c r="D65" s="751">
        <f>+IF('02_CUADRYGRÁF.COMP.ÚLT.5 CAMP.'!G78&lt;&gt;0,'02_CUADRYGRÁF.COMP.ÚLT.5 CAMP.'!G78,NA())</f>
        <v>119.11131273747003</v>
      </c>
      <c r="E65" s="751">
        <f>+AVERAGE('02_CUADRYGRÁF.COMP.ÚLT.5 CAMP.'!C78:F78)</f>
        <v>110.26175523926324</v>
      </c>
      <c r="F65" s="750"/>
      <c r="G65" s="688"/>
      <c r="I65" s="750"/>
      <c r="J65" s="750" t="s">
        <v>319</v>
      </c>
      <c r="K65" s="751">
        <f t="shared" ref="K65:L74" si="0">+D65+K64</f>
        <v>353.22568146965125</v>
      </c>
      <c r="L65" s="751">
        <f t="shared" si="0"/>
        <v>328.23439246633922</v>
      </c>
      <c r="M65" s="750"/>
      <c r="N65" s="688"/>
    </row>
    <row r="66" spans="2:14" x14ac:dyDescent="0.35">
      <c r="B66" s="750"/>
      <c r="C66" s="750" t="s">
        <v>320</v>
      </c>
      <c r="D66" s="751">
        <f>+IF('02_CUADRYGRÁF.COMP.ÚLT.5 CAMP.'!G79&lt;&gt;0,'02_CUADRYGRÁF.COMP.ÚLT.5 CAMP.'!G79,NA())</f>
        <v>120.20811535928328</v>
      </c>
      <c r="E66" s="751">
        <f>+AVERAGE('02_CUADRYGRÁF.COMP.ÚLT.5 CAMP.'!C79:F79)</f>
        <v>111.27945003209021</v>
      </c>
      <c r="F66" s="750"/>
      <c r="G66" s="688"/>
      <c r="I66" s="750"/>
      <c r="J66" s="750" t="s">
        <v>320</v>
      </c>
      <c r="K66" s="751">
        <f t="shared" si="0"/>
        <v>473.43379682893453</v>
      </c>
      <c r="L66" s="751">
        <f t="shared" si="0"/>
        <v>439.51384249842943</v>
      </c>
      <c r="M66" s="750"/>
      <c r="N66" s="688"/>
    </row>
    <row r="67" spans="2:14" x14ac:dyDescent="0.35">
      <c r="B67" s="750"/>
      <c r="C67" s="750" t="s">
        <v>321</v>
      </c>
      <c r="D67" s="751">
        <f>+IF('02_CUADRYGRÁF.COMP.ÚLT.5 CAMP.'!G80&lt;&gt;0,'02_CUADRYGRÁF.COMP.ÚLT.5 CAMP.'!G80,NA())</f>
        <v>134.89191451636771</v>
      </c>
      <c r="E67" s="751">
        <f>+AVERAGE('02_CUADRYGRÁF.COMP.ÚLT.5 CAMP.'!C80:F80)</f>
        <v>109.57177266039778</v>
      </c>
      <c r="F67" s="750"/>
      <c r="G67" s="688"/>
      <c r="I67" s="750"/>
      <c r="J67" s="750" t="s">
        <v>321</v>
      </c>
      <c r="K67" s="751">
        <f t="shared" si="0"/>
        <v>608.32571134530224</v>
      </c>
      <c r="L67" s="751">
        <f t="shared" si="0"/>
        <v>549.08561515882718</v>
      </c>
      <c r="M67" s="750"/>
      <c r="N67" s="688"/>
    </row>
    <row r="68" spans="2:14" x14ac:dyDescent="0.35">
      <c r="B68" s="750"/>
      <c r="C68" s="750" t="s">
        <v>322</v>
      </c>
      <c r="D68" s="751">
        <f>+IF('02_CUADRYGRÁF.COMP.ÚLT.5 CAMP.'!G81&lt;&gt;0,'02_CUADRYGRÁF.COMP.ÚLT.5 CAMP.'!G81,NA())</f>
        <v>146.07845748330578</v>
      </c>
      <c r="E68" s="751">
        <f>+AVERAGE('02_CUADRYGRÁF.COMP.ÚLT.5 CAMP.'!C81:F81)</f>
        <v>118.59051170997992</v>
      </c>
      <c r="F68" s="750"/>
      <c r="G68" s="688"/>
      <c r="I68" s="750"/>
      <c r="J68" s="750" t="s">
        <v>322</v>
      </c>
      <c r="K68" s="751">
        <f t="shared" si="0"/>
        <v>754.40416882860802</v>
      </c>
      <c r="L68" s="751">
        <f t="shared" si="0"/>
        <v>667.67612686880716</v>
      </c>
      <c r="M68" s="750"/>
      <c r="N68" s="688"/>
    </row>
    <row r="69" spans="2:14" x14ac:dyDescent="0.35">
      <c r="B69" s="750"/>
      <c r="C69" s="750" t="s">
        <v>323</v>
      </c>
      <c r="D69" s="751">
        <f>+IF('02_CUADRYGRÁF.COMP.ÚLT.5 CAMP.'!G82&lt;&gt;0,'02_CUADRYGRÁF.COMP.ÚLT.5 CAMP.'!G82,NA())</f>
        <v>119.0479523447417</v>
      </c>
      <c r="E69" s="751">
        <f>+AVERAGE('02_CUADRYGRÁF.COMP.ÚLT.5 CAMP.'!C82:F82)</f>
        <v>119.85879752763628</v>
      </c>
      <c r="F69" s="750"/>
      <c r="G69" s="688"/>
      <c r="I69" s="750"/>
      <c r="J69" s="750" t="s">
        <v>323</v>
      </c>
      <c r="K69" s="751">
        <f t="shared" si="0"/>
        <v>873.45212117334972</v>
      </c>
      <c r="L69" s="751">
        <f t="shared" si="0"/>
        <v>787.53492439644344</v>
      </c>
      <c r="M69" s="750"/>
      <c r="N69" s="688"/>
    </row>
    <row r="70" spans="2:14" x14ac:dyDescent="0.35">
      <c r="B70" s="750"/>
      <c r="C70" s="750" t="s">
        <v>324</v>
      </c>
      <c r="D70" s="751">
        <f>+IF('02_CUADRYGRÁF.COMP.ÚLT.5 CAMP.'!G83&lt;&gt;0,'02_CUADRYGRÁF.COMP.ÚLT.5 CAMP.'!G83,NA())</f>
        <v>115.87653882665052</v>
      </c>
      <c r="E70" s="751">
        <f>+AVERAGE('02_CUADRYGRÁF.COMP.ÚLT.5 CAMP.'!C83:F83)</f>
        <v>123.35390845866819</v>
      </c>
      <c r="F70" s="750"/>
      <c r="G70" s="688"/>
      <c r="I70" s="750"/>
      <c r="J70" s="750" t="s">
        <v>324</v>
      </c>
      <c r="K70" s="751">
        <f t="shared" si="0"/>
        <v>989.32866000000024</v>
      </c>
      <c r="L70" s="751">
        <f t="shared" si="0"/>
        <v>910.88883285511167</v>
      </c>
      <c r="M70" s="750"/>
      <c r="N70" s="688"/>
    </row>
    <row r="71" spans="2:14" x14ac:dyDescent="0.35">
      <c r="B71" s="750"/>
      <c r="C71" s="750" t="s">
        <v>325</v>
      </c>
      <c r="D71" s="751">
        <f>+IF('02_CUADRYGRÁF.COMP.ÚLT.5 CAMP.'!G84&lt;&gt;0,'02_CUADRYGRÁF.COMP.ÚLT.5 CAMP.'!G84,NA())</f>
        <v>118.80259000000001</v>
      </c>
      <c r="E71" s="751">
        <f>+AVERAGE('02_CUADRYGRÁF.COMP.ÚLT.5 CAMP.'!C84:F84)</f>
        <v>118.49884800000008</v>
      </c>
      <c r="F71" s="750"/>
      <c r="G71" s="688"/>
      <c r="I71" s="750"/>
      <c r="J71" s="750" t="s">
        <v>325</v>
      </c>
      <c r="K71" s="751">
        <f t="shared" si="0"/>
        <v>1108.1312500000004</v>
      </c>
      <c r="L71" s="751">
        <f t="shared" si="0"/>
        <v>1029.3876808551117</v>
      </c>
      <c r="M71" s="750"/>
      <c r="N71" s="688"/>
    </row>
    <row r="72" spans="2:14" x14ac:dyDescent="0.35">
      <c r="B72" s="750"/>
      <c r="C72" s="750" t="s">
        <v>326</v>
      </c>
      <c r="D72" s="751">
        <f>+IF('02_CUADRYGRÁF.COMP.ÚLT.5 CAMP.'!G85&lt;&gt;0,'02_CUADRYGRÁF.COMP.ÚLT.5 CAMP.'!G85,NA())</f>
        <v>130.37513000000001</v>
      </c>
      <c r="E72" s="751">
        <f>+AVERAGE('02_CUADRYGRÁF.COMP.ÚLT.5 CAMP.'!C85:F85)</f>
        <v>114.83548049999995</v>
      </c>
      <c r="F72" s="750"/>
      <c r="G72" s="688"/>
      <c r="I72" s="750"/>
      <c r="J72" s="750" t="s">
        <v>326</v>
      </c>
      <c r="K72" s="751">
        <f t="shared" si="0"/>
        <v>1238.5063800000003</v>
      </c>
      <c r="L72" s="751">
        <f t="shared" si="0"/>
        <v>1144.2231613551116</v>
      </c>
      <c r="M72" s="750"/>
      <c r="N72" s="688"/>
    </row>
    <row r="73" spans="2:14" x14ac:dyDescent="0.35">
      <c r="B73" s="750"/>
      <c r="C73" s="750" t="s">
        <v>327</v>
      </c>
      <c r="D73" s="751" t="e">
        <f>+IF('02_CUADRYGRÁF.COMP.ÚLT.5 CAMP.'!G86&lt;&gt;0,'02_CUADRYGRÁF.COMP.ÚLT.5 CAMP.'!G86,NA())</f>
        <v>#N/A</v>
      </c>
      <c r="E73" s="751">
        <f>+AVERAGE('02_CUADRYGRÁF.COMP.ÚLT.5 CAMP.'!C86:F86)</f>
        <v>102.91562825000001</v>
      </c>
      <c r="F73" s="750"/>
      <c r="G73" s="688"/>
      <c r="I73" s="750"/>
      <c r="J73" s="750" t="s">
        <v>327</v>
      </c>
      <c r="K73" s="751" t="e">
        <f t="shared" si="0"/>
        <v>#N/A</v>
      </c>
      <c r="L73" s="751">
        <f t="shared" si="0"/>
        <v>1247.1387896051117</v>
      </c>
      <c r="M73" s="750"/>
      <c r="N73" s="688"/>
    </row>
    <row r="74" spans="2:14" x14ac:dyDescent="0.35">
      <c r="B74" s="750"/>
      <c r="C74" s="750" t="s">
        <v>328</v>
      </c>
      <c r="D74" s="751" t="e">
        <f>+IF('02_CUADRYGRÁF.COMP.ÚLT.5 CAMP.'!G87&lt;&gt;0,'02_CUADRYGRÁF.COMP.ÚLT.5 CAMP.'!G87,NA())</f>
        <v>#N/A</v>
      </c>
      <c r="E74" s="751">
        <f>+AVERAGE('02_CUADRYGRÁF.COMP.ÚLT.5 CAMP.'!C87:F87)</f>
        <v>114.58411050000002</v>
      </c>
      <c r="F74" s="750"/>
      <c r="G74" s="688"/>
      <c r="I74" s="750"/>
      <c r="J74" s="750" t="s">
        <v>328</v>
      </c>
      <c r="K74" s="751" t="e">
        <f t="shared" si="0"/>
        <v>#N/A</v>
      </c>
      <c r="L74" s="751">
        <f t="shared" si="0"/>
        <v>1361.7229001051116</v>
      </c>
      <c r="M74" s="750"/>
      <c r="N74" s="688"/>
    </row>
    <row r="75" spans="2:14" x14ac:dyDescent="0.35">
      <c r="B75" s="750"/>
      <c r="C75" s="750" t="s">
        <v>329</v>
      </c>
      <c r="D75" s="751">
        <f>SUMIF(D63:D74, "&lt;&gt;#N/D")</f>
        <v>1238.5063800000003</v>
      </c>
      <c r="E75" s="751">
        <f>SUMIF(D63:D74,"&lt;&gt;#N/D",E63:E74)</f>
        <v>1144.2231613551116</v>
      </c>
      <c r="F75" s="750"/>
      <c r="G75" s="688"/>
      <c r="I75" s="750"/>
      <c r="J75" s="750" t="s">
        <v>329</v>
      </c>
      <c r="K75" s="751">
        <f t="array" ref="K75">_xlfn.XLOOKUP(TRUE,NOT(ISERROR(K63:K74)),K63:K74,,,-1)</f>
        <v>1238.5063800000003</v>
      </c>
      <c r="L75" s="751">
        <f>+_xlfn.XLOOKUP(K75,K63:K74,L63:L74)</f>
        <v>1144.2231613551116</v>
      </c>
      <c r="M75" s="750"/>
      <c r="N75" s="688"/>
    </row>
    <row r="76" spans="2:14" x14ac:dyDescent="0.35">
      <c r="B76" s="756" t="s">
        <v>341</v>
      </c>
      <c r="C76" s="752"/>
      <c r="D76" s="760">
        <f>AVERAGEIF(D63:D74,"&lt;&gt;#N/D")</f>
        <v>123.85063800000003</v>
      </c>
      <c r="I76" s="756" t="s">
        <v>334</v>
      </c>
      <c r="J76" s="752"/>
      <c r="K76" s="753">
        <f>+K75/L75-1</f>
        <v>8.239932718476739E-2</v>
      </c>
    </row>
    <row r="78" spans="2:14" ht="15.5" x14ac:dyDescent="0.35">
      <c r="B78" s="797" t="s">
        <v>119</v>
      </c>
      <c r="C78" s="797"/>
      <c r="D78" s="797"/>
      <c r="E78" s="797"/>
      <c r="F78" s="797"/>
      <c r="G78" s="797"/>
      <c r="H78" s="797"/>
      <c r="I78" s="797"/>
      <c r="J78" s="797"/>
      <c r="K78" s="797"/>
      <c r="L78" s="797"/>
      <c r="M78" s="797"/>
      <c r="N78" s="797"/>
    </row>
  </sheetData>
  <mergeCells count="17">
    <mergeCell ref="B60:G60"/>
    <mergeCell ref="I60:N60"/>
    <mergeCell ref="B61:G61"/>
    <mergeCell ref="I61:N61"/>
    <mergeCell ref="B78:N78"/>
    <mergeCell ref="B25:G25"/>
    <mergeCell ref="I25:N25"/>
    <mergeCell ref="B42:G42"/>
    <mergeCell ref="I42:N42"/>
    <mergeCell ref="B43:G43"/>
    <mergeCell ref="I43:N43"/>
    <mergeCell ref="B2:N4"/>
    <mergeCell ref="B6:G6"/>
    <mergeCell ref="I6:N6"/>
    <mergeCell ref="I7:N7"/>
    <mergeCell ref="B24:G24"/>
    <mergeCell ref="I24:N24"/>
  </mergeCells>
  <conditionalFormatting sqref="D76">
    <cfRule type="cellIs" dxfId="0" priority="1" stopIfTrue="1" operator="lessThan">
      <formula>0</formula>
    </cfRule>
  </conditionalFormatting>
  <pageMargins left="0.70866141732283472" right="0.70866141732283472" top="0.74803149606299213" bottom="0.74803149606299213" header="0.31496062992125984" footer="0.31496062992125984"/>
  <pageSetup paperSize="9" scale="48" orientation="portrait" horizontalDpi="4294967293" r:id="rId1"/>
  <headerFooter>
    <oddHeader>&amp;L&amp;G&amp;RCAMPAÑA: 2025/2026. MES: JULIO
Fecha de emisión de datos: 25/08/2026</oddHeader>
  </headerFooter>
  <drawing r:id="rId2"/>
  <legacyDrawingHF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P66"/>
  <sheetViews>
    <sheetView view="pageLayout" topLeftCell="A25" zoomScale="55" zoomScaleNormal="70" zoomScaleSheetLayoutView="115" zoomScalePageLayoutView="55" workbookViewId="0">
      <selection activeCell="N7" sqref="N7"/>
    </sheetView>
  </sheetViews>
  <sheetFormatPr baseColWidth="10" defaultColWidth="11.453125" defaultRowHeight="9" x14ac:dyDescent="0.35"/>
  <cols>
    <col min="1" max="1" width="7.453125" style="2" customWidth="1"/>
    <col min="2" max="2" width="11.26953125" style="2" customWidth="1"/>
    <col min="3" max="3" width="22.453125" style="2" customWidth="1"/>
    <col min="4" max="4" width="21.81640625" style="2" bestFit="1" customWidth="1"/>
    <col min="5" max="5" width="11.453125" style="2" customWidth="1"/>
    <col min="6" max="6" width="13.1796875" style="2" bestFit="1" customWidth="1"/>
    <col min="7" max="7" width="14.81640625" style="2" bestFit="1" customWidth="1"/>
    <col min="8" max="8" width="13.26953125" style="2" customWidth="1"/>
    <col min="9" max="9" width="15.1796875" style="2" customWidth="1"/>
    <col min="10" max="10" width="11.453125" style="2" bestFit="1" customWidth="1"/>
    <col min="11" max="11" width="12.54296875" style="2" customWidth="1"/>
    <col min="12" max="12" width="13.453125" style="2" customWidth="1"/>
    <col min="13" max="13" width="5.7265625" style="2" customWidth="1"/>
    <col min="14" max="14" width="6.81640625" style="2" bestFit="1" customWidth="1"/>
    <col min="15" max="16384" width="11.453125" style="2"/>
  </cols>
  <sheetData>
    <row r="1" spans="2:16" ht="3" customHeight="1" x14ac:dyDescent="0.35">
      <c r="C1" s="761" t="s">
        <v>120</v>
      </c>
      <c r="D1" s="761"/>
      <c r="E1" s="761"/>
      <c r="F1" s="761"/>
      <c r="G1" s="761"/>
      <c r="H1" s="761"/>
      <c r="I1" s="761"/>
      <c r="J1" s="761"/>
      <c r="K1" s="761"/>
      <c r="L1" s="761"/>
    </row>
    <row r="2" spans="2:16" ht="17.25" customHeight="1" x14ac:dyDescent="0.35">
      <c r="C2" s="761"/>
      <c r="D2" s="761"/>
      <c r="E2" s="761"/>
      <c r="F2" s="761"/>
      <c r="G2" s="761"/>
      <c r="H2" s="761"/>
      <c r="I2" s="761"/>
      <c r="J2" s="761"/>
      <c r="K2" s="761"/>
      <c r="L2" s="761"/>
    </row>
    <row r="3" spans="2:16" ht="3.75" customHeight="1" thickBot="1" x14ac:dyDescent="0.4">
      <c r="D3" s="11"/>
      <c r="E3" s="11"/>
      <c r="F3" s="11"/>
      <c r="G3" s="11"/>
      <c r="H3" s="11"/>
      <c r="I3" s="11"/>
      <c r="J3" s="11"/>
    </row>
    <row r="4" spans="2:16" ht="13.5" customHeight="1" x14ac:dyDescent="0.35">
      <c r="B4" s="3"/>
      <c r="C4" s="809" t="s">
        <v>54</v>
      </c>
      <c r="D4" s="812" t="s">
        <v>4</v>
      </c>
      <c r="E4" s="814" t="s">
        <v>0</v>
      </c>
      <c r="F4" s="815"/>
      <c r="G4" s="816"/>
      <c r="H4" s="820" t="s">
        <v>70</v>
      </c>
      <c r="I4" s="814" t="s">
        <v>1</v>
      </c>
      <c r="J4" s="816"/>
      <c r="K4" s="823" t="s">
        <v>2</v>
      </c>
      <c r="L4" s="823" t="s">
        <v>3</v>
      </c>
      <c r="M4" s="2" t="s">
        <v>146</v>
      </c>
    </row>
    <row r="5" spans="2:16" ht="5.25" customHeight="1" thickBot="1" x14ac:dyDescent="0.4">
      <c r="B5" s="3"/>
      <c r="C5" s="810"/>
      <c r="D5" s="812"/>
      <c r="E5" s="817"/>
      <c r="F5" s="818"/>
      <c r="G5" s="819"/>
      <c r="H5" s="821"/>
      <c r="I5" s="817"/>
      <c r="J5" s="819"/>
      <c r="K5" s="824"/>
      <c r="L5" s="824"/>
    </row>
    <row r="6" spans="2:16" ht="10.5" customHeight="1" thickBot="1" x14ac:dyDescent="0.4">
      <c r="B6" s="3"/>
      <c r="C6" s="811"/>
      <c r="D6" s="813"/>
      <c r="E6" s="172" t="s">
        <v>69</v>
      </c>
      <c r="F6" s="172" t="s">
        <v>131</v>
      </c>
      <c r="G6" s="172" t="s">
        <v>130</v>
      </c>
      <c r="H6" s="822"/>
      <c r="I6" s="172" t="s">
        <v>71</v>
      </c>
      <c r="J6" s="173" t="s">
        <v>5</v>
      </c>
      <c r="K6" s="825"/>
      <c r="L6" s="825"/>
      <c r="O6" s="26"/>
      <c r="P6" s="26"/>
    </row>
    <row r="7" spans="2:16" ht="11.5" x14ac:dyDescent="0.35">
      <c r="B7" s="3"/>
      <c r="C7" s="800" t="s">
        <v>74</v>
      </c>
      <c r="D7" s="28" t="s">
        <v>80</v>
      </c>
      <c r="E7" s="199">
        <v>30</v>
      </c>
      <c r="F7" s="199">
        <v>26</v>
      </c>
      <c r="G7" s="200">
        <v>0.8666666666666667</v>
      </c>
      <c r="H7" s="73">
        <v>252.8</v>
      </c>
      <c r="I7" s="73">
        <v>16130</v>
      </c>
      <c r="J7" s="241">
        <v>0</v>
      </c>
      <c r="K7" s="241">
        <v>13478.7</v>
      </c>
      <c r="L7" s="222">
        <v>2904.0999999999985</v>
      </c>
      <c r="M7" s="26"/>
      <c r="N7" s="26"/>
      <c r="O7" s="26"/>
      <c r="P7" s="26"/>
    </row>
    <row r="8" spans="2:16" ht="11.5" x14ac:dyDescent="0.35">
      <c r="B8" s="3"/>
      <c r="C8" s="801"/>
      <c r="D8" s="119" t="s">
        <v>81</v>
      </c>
      <c r="E8" s="199">
        <v>20</v>
      </c>
      <c r="F8" s="199">
        <v>18</v>
      </c>
      <c r="G8" s="200">
        <v>0.9</v>
      </c>
      <c r="H8" s="73">
        <v>262.10000000000002</v>
      </c>
      <c r="I8" s="73">
        <v>15013</v>
      </c>
      <c r="J8" s="241">
        <v>116.8</v>
      </c>
      <c r="K8" s="241">
        <v>11852.7</v>
      </c>
      <c r="L8" s="53">
        <v>3539.1999999999989</v>
      </c>
      <c r="M8" s="26"/>
      <c r="N8" s="26"/>
      <c r="O8" s="26"/>
      <c r="P8" s="26"/>
    </row>
    <row r="9" spans="2:16" ht="11.5" x14ac:dyDescent="0.35">
      <c r="B9" s="3"/>
      <c r="C9" s="801"/>
      <c r="D9" s="119" t="s">
        <v>82</v>
      </c>
      <c r="E9" s="199">
        <v>183</v>
      </c>
      <c r="F9" s="199">
        <v>174</v>
      </c>
      <c r="G9" s="200">
        <v>0.95081967213114749</v>
      </c>
      <c r="H9" s="73">
        <v>19870.7</v>
      </c>
      <c r="I9" s="73">
        <v>246735.40000000002</v>
      </c>
      <c r="J9" s="241">
        <v>17863.400000000001</v>
      </c>
      <c r="K9" s="241">
        <v>225685.80000000002</v>
      </c>
      <c r="L9" s="53">
        <v>58783.700000000012</v>
      </c>
      <c r="M9" s="26"/>
      <c r="N9" s="26"/>
      <c r="O9" s="26"/>
      <c r="P9" s="26"/>
    </row>
    <row r="10" spans="2:16" ht="11.5" x14ac:dyDescent="0.35">
      <c r="B10" s="3"/>
      <c r="C10" s="801"/>
      <c r="D10" s="119" t="s">
        <v>6</v>
      </c>
      <c r="E10" s="199">
        <v>108</v>
      </c>
      <c r="F10" s="199">
        <v>100</v>
      </c>
      <c r="G10" s="200">
        <v>0.92592592592592593</v>
      </c>
      <c r="H10" s="73">
        <v>16528.599999999999</v>
      </c>
      <c r="I10" s="73">
        <v>107297.79999999999</v>
      </c>
      <c r="J10" s="241">
        <v>1388.4</v>
      </c>
      <c r="K10" s="241">
        <v>93154.799999999988</v>
      </c>
      <c r="L10" s="53">
        <v>32059.999999999985</v>
      </c>
      <c r="M10" s="26"/>
      <c r="N10" s="26"/>
      <c r="O10" s="26"/>
      <c r="P10" s="26"/>
    </row>
    <row r="11" spans="2:16" ht="11.5" x14ac:dyDescent="0.35">
      <c r="B11" s="3"/>
      <c r="C11" s="801"/>
      <c r="D11" s="119" t="s">
        <v>7</v>
      </c>
      <c r="E11" s="199">
        <v>21</v>
      </c>
      <c r="F11" s="199">
        <v>20</v>
      </c>
      <c r="G11" s="200">
        <v>0.95238095238095233</v>
      </c>
      <c r="H11" s="73">
        <v>1874.8</v>
      </c>
      <c r="I11" s="73">
        <v>15212.4</v>
      </c>
      <c r="J11" s="241">
        <v>0</v>
      </c>
      <c r="K11" s="241">
        <v>13048.900000000001</v>
      </c>
      <c r="L11" s="53">
        <v>4038.3000000000011</v>
      </c>
      <c r="M11" s="26"/>
      <c r="N11" s="26"/>
      <c r="O11" s="26"/>
      <c r="P11" s="26"/>
    </row>
    <row r="12" spans="2:16" ht="11.5" x14ac:dyDescent="0.35">
      <c r="B12" s="3"/>
      <c r="C12" s="801"/>
      <c r="D12" s="119" t="s">
        <v>83</v>
      </c>
      <c r="E12" s="199">
        <v>330</v>
      </c>
      <c r="F12" s="199">
        <v>309</v>
      </c>
      <c r="G12" s="200">
        <v>0.9363636363636364</v>
      </c>
      <c r="H12" s="73">
        <v>77650.2</v>
      </c>
      <c r="I12" s="73">
        <v>389086.1</v>
      </c>
      <c r="J12" s="241">
        <v>33537.199999999997</v>
      </c>
      <c r="K12" s="241">
        <v>372356.9</v>
      </c>
      <c r="L12" s="53">
        <v>127916.59999999998</v>
      </c>
      <c r="M12" s="26"/>
      <c r="N12" s="26"/>
      <c r="O12" s="26"/>
      <c r="P12" s="26"/>
    </row>
    <row r="13" spans="2:16" ht="11.5" x14ac:dyDescent="0.35">
      <c r="B13" s="3"/>
      <c r="C13" s="801"/>
      <c r="D13" s="119" t="s">
        <v>84</v>
      </c>
      <c r="E13" s="199">
        <v>79</v>
      </c>
      <c r="F13" s="199">
        <v>76</v>
      </c>
      <c r="G13" s="200">
        <v>0.96202531645569622</v>
      </c>
      <c r="H13" s="73">
        <v>1204.4000000000001</v>
      </c>
      <c r="I13" s="73">
        <v>59163.6</v>
      </c>
      <c r="J13" s="241">
        <v>202</v>
      </c>
      <c r="K13" s="241">
        <v>54623.7</v>
      </c>
      <c r="L13" s="53">
        <v>5946.3000000000029</v>
      </c>
      <c r="M13" s="26"/>
      <c r="N13" s="26"/>
      <c r="O13" s="26"/>
      <c r="P13" s="26"/>
    </row>
    <row r="14" spans="2:16" ht="11.5" x14ac:dyDescent="0.35">
      <c r="B14" s="3"/>
      <c r="C14" s="801"/>
      <c r="D14" s="32" t="s">
        <v>8</v>
      </c>
      <c r="E14" s="236">
        <v>92</v>
      </c>
      <c r="F14" s="236">
        <v>88</v>
      </c>
      <c r="G14" s="200">
        <v>0.95652173913043481</v>
      </c>
      <c r="H14" s="76">
        <v>3642.4</v>
      </c>
      <c r="I14" s="76">
        <v>126002.29999999999</v>
      </c>
      <c r="J14" s="242">
        <v>1465.7</v>
      </c>
      <c r="K14" s="241">
        <v>104412.09999999999</v>
      </c>
      <c r="L14" s="215">
        <v>26698.299999999988</v>
      </c>
      <c r="M14" s="26"/>
      <c r="N14" s="26"/>
      <c r="O14" s="26"/>
      <c r="P14" s="26"/>
    </row>
    <row r="15" spans="2:16" ht="12" thickBot="1" x14ac:dyDescent="0.4">
      <c r="B15" s="3"/>
      <c r="C15" s="802"/>
      <c r="D15" s="117" t="s">
        <v>72</v>
      </c>
      <c r="E15" s="84">
        <v>863</v>
      </c>
      <c r="F15" s="84">
        <v>811</v>
      </c>
      <c r="G15" s="81">
        <v>0.93974507531865581</v>
      </c>
      <c r="H15" s="181">
        <v>121285.99999999999</v>
      </c>
      <c r="I15" s="181">
        <v>974640.59999999986</v>
      </c>
      <c r="J15" s="181">
        <v>54573.5</v>
      </c>
      <c r="K15" s="82">
        <v>888613.6</v>
      </c>
      <c r="L15" s="54">
        <v>261886.49999999988</v>
      </c>
      <c r="M15" s="26"/>
      <c r="N15" s="26"/>
      <c r="O15" s="26"/>
      <c r="P15" s="26"/>
    </row>
    <row r="16" spans="2:16" ht="11.5" x14ac:dyDescent="0.35">
      <c r="B16" s="3"/>
      <c r="C16" s="800" t="s">
        <v>75</v>
      </c>
      <c r="D16" s="119" t="s">
        <v>10</v>
      </c>
      <c r="E16" s="199">
        <v>27</v>
      </c>
      <c r="F16" s="199">
        <v>27</v>
      </c>
      <c r="G16" s="200">
        <v>1</v>
      </c>
      <c r="H16" s="73">
        <v>85.8</v>
      </c>
      <c r="I16" s="73">
        <v>2175.8000000000002</v>
      </c>
      <c r="J16" s="74">
        <v>0</v>
      </c>
      <c r="K16" s="73">
        <v>2051.4</v>
      </c>
      <c r="L16" s="53">
        <v>210.20000000000027</v>
      </c>
      <c r="M16" s="26"/>
      <c r="N16" s="26"/>
      <c r="O16" s="26"/>
      <c r="P16" s="26"/>
    </row>
    <row r="17" spans="2:16" ht="11.5" x14ac:dyDescent="0.35">
      <c r="B17" s="3"/>
      <c r="C17" s="801"/>
      <c r="D17" s="119" t="s">
        <v>11</v>
      </c>
      <c r="E17" s="199">
        <v>26</v>
      </c>
      <c r="F17" s="199">
        <v>26</v>
      </c>
      <c r="G17" s="200">
        <v>1</v>
      </c>
      <c r="H17" s="73">
        <v>226.4</v>
      </c>
      <c r="I17" s="73">
        <v>9289.0999999999985</v>
      </c>
      <c r="J17" s="74">
        <v>0</v>
      </c>
      <c r="K17" s="73">
        <v>7549.0000000000009</v>
      </c>
      <c r="L17" s="53">
        <v>1966.5</v>
      </c>
      <c r="M17" s="26"/>
      <c r="N17" s="26"/>
      <c r="O17" s="26"/>
      <c r="P17" s="26"/>
    </row>
    <row r="18" spans="2:16" ht="11.5" x14ac:dyDescent="0.35">
      <c r="B18" s="3"/>
      <c r="C18" s="801"/>
      <c r="D18" s="32" t="s">
        <v>12</v>
      </c>
      <c r="E18" s="236">
        <v>41</v>
      </c>
      <c r="F18" s="236">
        <v>41</v>
      </c>
      <c r="G18" s="200">
        <v>1</v>
      </c>
      <c r="H18" s="76">
        <v>613.29999999999995</v>
      </c>
      <c r="I18" s="76">
        <v>5650.1</v>
      </c>
      <c r="J18" s="77">
        <v>0</v>
      </c>
      <c r="K18" s="73">
        <v>4827.0999999999995</v>
      </c>
      <c r="L18" s="215">
        <v>1436.3000000000002</v>
      </c>
      <c r="M18" s="26"/>
      <c r="N18" s="26"/>
      <c r="O18" s="26"/>
      <c r="P18" s="26"/>
    </row>
    <row r="19" spans="2:16" ht="12" thickBot="1" x14ac:dyDescent="0.4">
      <c r="B19" s="3"/>
      <c r="C19" s="802"/>
      <c r="D19" s="117" t="s">
        <v>9</v>
      </c>
      <c r="E19" s="243">
        <v>94</v>
      </c>
      <c r="F19" s="243">
        <v>94</v>
      </c>
      <c r="G19" s="81">
        <v>1</v>
      </c>
      <c r="H19" s="181">
        <v>925.5</v>
      </c>
      <c r="I19" s="181">
        <v>17115</v>
      </c>
      <c r="J19" s="181">
        <v>0</v>
      </c>
      <c r="K19" s="82">
        <v>14427.5</v>
      </c>
      <c r="L19" s="216">
        <v>3613</v>
      </c>
      <c r="M19" s="26"/>
      <c r="N19" s="26"/>
      <c r="O19" s="26"/>
      <c r="P19" s="26"/>
    </row>
    <row r="20" spans="2:16" ht="11.5" x14ac:dyDescent="0.35">
      <c r="B20" s="3"/>
      <c r="C20" s="800" t="s">
        <v>13</v>
      </c>
      <c r="D20" s="40" t="s">
        <v>13</v>
      </c>
      <c r="E20" s="237">
        <v>26</v>
      </c>
      <c r="F20" s="237">
        <v>24</v>
      </c>
      <c r="G20" s="244">
        <v>0.92307692307692313</v>
      </c>
      <c r="H20" s="182">
        <v>11</v>
      </c>
      <c r="I20" s="182">
        <v>989.59999999999991</v>
      </c>
      <c r="J20" s="89">
        <v>0</v>
      </c>
      <c r="K20" s="182">
        <v>837</v>
      </c>
      <c r="L20" s="219">
        <v>163.60000000000002</v>
      </c>
      <c r="M20" s="26"/>
      <c r="N20" s="26"/>
      <c r="O20" s="26"/>
      <c r="P20" s="26"/>
    </row>
    <row r="21" spans="2:16" ht="12" thickBot="1" x14ac:dyDescent="0.4">
      <c r="B21" s="3"/>
      <c r="C21" s="802"/>
      <c r="D21" s="117" t="s">
        <v>9</v>
      </c>
      <c r="E21" s="243">
        <v>26</v>
      </c>
      <c r="F21" s="243">
        <v>24</v>
      </c>
      <c r="G21" s="245">
        <v>0.92307692307692313</v>
      </c>
      <c r="H21" s="181">
        <v>11</v>
      </c>
      <c r="I21" s="181">
        <v>989.59999999999991</v>
      </c>
      <c r="J21" s="181">
        <v>0</v>
      </c>
      <c r="K21" s="181">
        <v>837</v>
      </c>
      <c r="L21" s="216">
        <v>163.60000000000002</v>
      </c>
      <c r="M21" s="26"/>
      <c r="N21" s="26"/>
      <c r="O21" s="26"/>
      <c r="P21" s="26"/>
    </row>
    <row r="22" spans="2:16" ht="11.5" x14ac:dyDescent="0.35">
      <c r="B22" s="3"/>
      <c r="C22" s="798" t="s">
        <v>87</v>
      </c>
      <c r="D22" s="119" t="s">
        <v>14</v>
      </c>
      <c r="E22" s="246">
        <v>44</v>
      </c>
      <c r="F22" s="246">
        <v>42</v>
      </c>
      <c r="G22" s="186">
        <v>0.95454545454545459</v>
      </c>
      <c r="H22" s="73">
        <v>269.8</v>
      </c>
      <c r="I22" s="73">
        <v>9735.4</v>
      </c>
      <c r="J22" s="74">
        <v>12.8</v>
      </c>
      <c r="K22" s="73">
        <v>8878.0000000000018</v>
      </c>
      <c r="L22" s="53">
        <v>1139.9999999999982</v>
      </c>
      <c r="M22" s="26"/>
      <c r="N22" s="26"/>
      <c r="O22" s="26"/>
      <c r="P22" s="26"/>
    </row>
    <row r="23" spans="2:16" ht="11.5" x14ac:dyDescent="0.35">
      <c r="B23" s="3"/>
      <c r="C23" s="799"/>
      <c r="D23" s="119" t="s">
        <v>85</v>
      </c>
      <c r="E23" s="246">
        <v>46</v>
      </c>
      <c r="F23" s="246">
        <v>44</v>
      </c>
      <c r="G23" s="186">
        <v>0.95652173913043481</v>
      </c>
      <c r="H23" s="73">
        <v>24.3</v>
      </c>
      <c r="I23" s="73">
        <v>5498.5</v>
      </c>
      <c r="J23" s="74">
        <v>0</v>
      </c>
      <c r="K23" s="73">
        <v>5164.7000000000007</v>
      </c>
      <c r="L23" s="53">
        <v>358.10000000000036</v>
      </c>
      <c r="M23" s="26"/>
      <c r="N23" s="26"/>
      <c r="O23" s="26"/>
      <c r="P23" s="26"/>
    </row>
    <row r="24" spans="2:16" ht="11.5" x14ac:dyDescent="0.35">
      <c r="B24" s="3"/>
      <c r="C24" s="799"/>
      <c r="D24" s="32" t="s">
        <v>15</v>
      </c>
      <c r="E24" s="247">
        <v>52</v>
      </c>
      <c r="F24" s="247">
        <v>50</v>
      </c>
      <c r="G24" s="204">
        <v>0.96153846153846156</v>
      </c>
      <c r="H24" s="76">
        <v>98.3</v>
      </c>
      <c r="I24" s="76">
        <v>8142.2999999999993</v>
      </c>
      <c r="J24" s="77">
        <v>12.3</v>
      </c>
      <c r="K24" s="76">
        <v>7565.9000000000005</v>
      </c>
      <c r="L24" s="215">
        <v>687</v>
      </c>
      <c r="M24" s="26"/>
      <c r="N24" s="26"/>
      <c r="O24" s="26"/>
      <c r="P24" s="26"/>
    </row>
    <row r="25" spans="2:16" ht="12" thickBot="1" x14ac:dyDescent="0.4">
      <c r="B25" s="3"/>
      <c r="C25" s="808"/>
      <c r="D25" s="117" t="s">
        <v>9</v>
      </c>
      <c r="E25" s="248">
        <v>142</v>
      </c>
      <c r="F25" s="243">
        <v>136</v>
      </c>
      <c r="G25" s="245">
        <v>0.95774647887323938</v>
      </c>
      <c r="H25" s="181">
        <v>392.40000000000003</v>
      </c>
      <c r="I25" s="181">
        <v>23376.199999999997</v>
      </c>
      <c r="J25" s="181">
        <v>25.1</v>
      </c>
      <c r="K25" s="181">
        <v>21608.600000000002</v>
      </c>
      <c r="L25" s="216">
        <v>2185.1000000000022</v>
      </c>
      <c r="M25" s="26"/>
      <c r="N25" s="26"/>
      <c r="O25" s="26"/>
      <c r="P25" s="26"/>
    </row>
    <row r="26" spans="2:16" ht="11.5" x14ac:dyDescent="0.35">
      <c r="B26" s="3"/>
      <c r="C26" s="798" t="s">
        <v>151</v>
      </c>
      <c r="D26" s="119" t="s">
        <v>152</v>
      </c>
      <c r="E26" s="246">
        <v>9</v>
      </c>
      <c r="F26" s="246">
        <v>8</v>
      </c>
      <c r="G26" s="287">
        <v>0.88888888888888884</v>
      </c>
      <c r="H26" s="73">
        <v>0</v>
      </c>
      <c r="I26" s="73">
        <v>15.7</v>
      </c>
      <c r="J26" s="73">
        <v>0</v>
      </c>
      <c r="K26" s="73">
        <v>15.000000000000002</v>
      </c>
      <c r="L26" s="53">
        <v>0.69999999999999929</v>
      </c>
      <c r="M26" s="26"/>
      <c r="N26" s="26"/>
      <c r="O26" s="26"/>
      <c r="P26" s="26"/>
    </row>
    <row r="27" spans="2:16" ht="11.5" x14ac:dyDescent="0.35">
      <c r="B27" s="3"/>
      <c r="C27" s="799"/>
      <c r="D27" s="32" t="s">
        <v>153</v>
      </c>
      <c r="E27" s="246">
        <v>4</v>
      </c>
      <c r="F27" s="246">
        <v>4</v>
      </c>
      <c r="G27" s="287">
        <v>1</v>
      </c>
      <c r="H27" s="73">
        <v>0</v>
      </c>
      <c r="I27" s="73">
        <v>18</v>
      </c>
      <c r="J27" s="73">
        <v>0</v>
      </c>
      <c r="K27" s="73">
        <v>18.100000000000001</v>
      </c>
      <c r="L27" s="53">
        <v>-0.10000000000000142</v>
      </c>
      <c r="M27" s="26"/>
      <c r="N27" s="26"/>
      <c r="O27" s="26"/>
      <c r="P27" s="26"/>
    </row>
    <row r="28" spans="2:16" ht="12" thickBot="1" x14ac:dyDescent="0.4">
      <c r="B28" s="3"/>
      <c r="C28" s="799"/>
      <c r="D28" s="117" t="s">
        <v>9</v>
      </c>
      <c r="E28" s="276">
        <v>13</v>
      </c>
      <c r="F28" s="202">
        <v>12</v>
      </c>
      <c r="G28" s="277">
        <v>0.92307692307692313</v>
      </c>
      <c r="H28" s="218">
        <v>0</v>
      </c>
      <c r="I28" s="218">
        <v>33.700000000000003</v>
      </c>
      <c r="J28" s="218">
        <v>0</v>
      </c>
      <c r="K28" s="218">
        <v>33.1</v>
      </c>
      <c r="L28" s="217">
        <v>0.60000000000000142</v>
      </c>
      <c r="M28" s="26"/>
      <c r="N28" s="26"/>
      <c r="O28" s="26"/>
      <c r="P28" s="26"/>
    </row>
    <row r="29" spans="2:16" ht="11.5" x14ac:dyDescent="0.35">
      <c r="B29" s="3"/>
      <c r="C29" s="800" t="s">
        <v>73</v>
      </c>
      <c r="D29" s="119" t="s">
        <v>16</v>
      </c>
      <c r="E29" s="246">
        <v>40</v>
      </c>
      <c r="F29" s="246">
        <v>38</v>
      </c>
      <c r="G29" s="186">
        <v>0.95</v>
      </c>
      <c r="H29" s="73">
        <v>1184.5</v>
      </c>
      <c r="I29" s="73">
        <v>17777.5</v>
      </c>
      <c r="J29" s="74">
        <v>0</v>
      </c>
      <c r="K29" s="73">
        <v>14062.9</v>
      </c>
      <c r="L29" s="53">
        <v>4899.1000000000004</v>
      </c>
      <c r="M29" s="26"/>
      <c r="N29" s="26"/>
      <c r="O29" s="26"/>
      <c r="P29" s="26"/>
    </row>
    <row r="30" spans="2:16" ht="11.5" x14ac:dyDescent="0.35">
      <c r="B30" s="3"/>
      <c r="C30" s="801"/>
      <c r="D30" s="119" t="s">
        <v>17</v>
      </c>
      <c r="E30" s="246">
        <v>81</v>
      </c>
      <c r="F30" s="246">
        <v>77</v>
      </c>
      <c r="G30" s="186">
        <v>0.95061728395061729</v>
      </c>
      <c r="H30" s="73">
        <v>4868.3</v>
      </c>
      <c r="I30" s="73">
        <v>69079.3</v>
      </c>
      <c r="J30" s="74">
        <v>2136.5</v>
      </c>
      <c r="K30" s="73">
        <v>58478.200000000004</v>
      </c>
      <c r="L30" s="53">
        <v>17605.900000000009</v>
      </c>
      <c r="M30" s="26"/>
      <c r="N30" s="26"/>
      <c r="O30" s="26"/>
      <c r="P30" s="26"/>
    </row>
    <row r="31" spans="2:16" ht="11.5" x14ac:dyDescent="0.35">
      <c r="B31" s="3"/>
      <c r="C31" s="801"/>
      <c r="D31" s="119" t="s">
        <v>18</v>
      </c>
      <c r="E31" s="246">
        <v>26</v>
      </c>
      <c r="F31" s="246">
        <v>24</v>
      </c>
      <c r="G31" s="186">
        <v>0.92307692307692313</v>
      </c>
      <c r="H31" s="73">
        <v>815.9</v>
      </c>
      <c r="I31" s="73">
        <v>6652.1</v>
      </c>
      <c r="J31" s="74">
        <v>0</v>
      </c>
      <c r="K31" s="73">
        <v>5871.2999999999993</v>
      </c>
      <c r="L31" s="53">
        <v>1596.6999999999998</v>
      </c>
      <c r="M31" s="26"/>
      <c r="N31" s="26"/>
      <c r="O31" s="26"/>
      <c r="P31" s="26"/>
    </row>
    <row r="32" spans="2:16" ht="11.5" x14ac:dyDescent="0.35">
      <c r="B32" s="3"/>
      <c r="C32" s="801"/>
      <c r="D32" s="119" t="s">
        <v>50</v>
      </c>
      <c r="E32" s="246">
        <v>7</v>
      </c>
      <c r="F32" s="246">
        <v>7</v>
      </c>
      <c r="G32" s="186">
        <v>1</v>
      </c>
      <c r="H32" s="73">
        <v>505.8</v>
      </c>
      <c r="I32" s="73">
        <v>1941.3999999999999</v>
      </c>
      <c r="J32" s="74">
        <v>0</v>
      </c>
      <c r="K32" s="73">
        <v>1581.6</v>
      </c>
      <c r="L32" s="53">
        <v>865.60000000000036</v>
      </c>
      <c r="M32" s="26"/>
      <c r="N32" s="26"/>
      <c r="O32" s="26"/>
      <c r="P32" s="26"/>
    </row>
    <row r="33" spans="2:16" ht="11.5" x14ac:dyDescent="0.35">
      <c r="B33" s="3"/>
      <c r="C33" s="801"/>
      <c r="D33" s="32" t="s">
        <v>19</v>
      </c>
      <c r="E33" s="247">
        <v>113</v>
      </c>
      <c r="F33" s="247">
        <v>109</v>
      </c>
      <c r="G33" s="204">
        <v>0.96460176991150437</v>
      </c>
      <c r="H33" s="76">
        <v>2995.8</v>
      </c>
      <c r="I33" s="76">
        <v>43223.4</v>
      </c>
      <c r="J33" s="77">
        <v>515.29999999999995</v>
      </c>
      <c r="K33" s="76">
        <v>32157.300000000003</v>
      </c>
      <c r="L33" s="215">
        <v>14577.200000000008</v>
      </c>
      <c r="M33" s="26"/>
      <c r="N33" s="26"/>
      <c r="O33" s="26"/>
      <c r="P33" s="26"/>
    </row>
    <row r="34" spans="2:16" ht="12" thickBot="1" x14ac:dyDescent="0.4">
      <c r="B34" s="3"/>
      <c r="C34" s="802"/>
      <c r="D34" s="117" t="s">
        <v>9</v>
      </c>
      <c r="E34" s="248">
        <v>267</v>
      </c>
      <c r="F34" s="243">
        <v>255</v>
      </c>
      <c r="G34" s="245">
        <v>0.9550561797752809</v>
      </c>
      <c r="H34" s="181">
        <v>10370.299999999999</v>
      </c>
      <c r="I34" s="181">
        <v>138673.70000000001</v>
      </c>
      <c r="J34" s="181">
        <v>2651.8</v>
      </c>
      <c r="K34" s="181">
        <v>112151.30000000002</v>
      </c>
      <c r="L34" s="216">
        <v>39544.499999999985</v>
      </c>
      <c r="M34" s="26"/>
      <c r="N34" s="26"/>
      <c r="O34" s="26"/>
      <c r="P34" s="26"/>
    </row>
    <row r="35" spans="2:16" ht="11.5" x14ac:dyDescent="0.35">
      <c r="B35" s="3"/>
      <c r="C35" s="800" t="s">
        <v>76</v>
      </c>
      <c r="D35" s="119" t="s">
        <v>78</v>
      </c>
      <c r="E35" s="246">
        <v>11</v>
      </c>
      <c r="F35" s="246">
        <v>10</v>
      </c>
      <c r="G35" s="186">
        <v>0.90909090909090906</v>
      </c>
      <c r="H35" s="73">
        <v>8.3000000000000007</v>
      </c>
      <c r="I35" s="73">
        <v>1609.1</v>
      </c>
      <c r="J35" s="74">
        <v>0</v>
      </c>
      <c r="K35" s="73">
        <v>1569.4</v>
      </c>
      <c r="L35" s="53">
        <v>47.999999999999773</v>
      </c>
      <c r="M35" s="26"/>
      <c r="N35" s="26"/>
      <c r="O35" s="26"/>
      <c r="P35" s="26"/>
    </row>
    <row r="36" spans="2:16" ht="11.5" x14ac:dyDescent="0.35">
      <c r="B36" s="3"/>
      <c r="C36" s="807"/>
      <c r="D36" s="119" t="s">
        <v>157</v>
      </c>
      <c r="E36" s="246">
        <v>1</v>
      </c>
      <c r="F36" s="246">
        <v>0</v>
      </c>
      <c r="G36" s="186">
        <v>0</v>
      </c>
      <c r="H36" s="73">
        <v>0</v>
      </c>
      <c r="I36" s="73">
        <v>0</v>
      </c>
      <c r="J36" s="74">
        <v>0</v>
      </c>
      <c r="K36" s="73">
        <v>0</v>
      </c>
      <c r="L36" s="53">
        <v>0</v>
      </c>
      <c r="M36" s="26"/>
      <c r="N36" s="26"/>
      <c r="O36" s="26"/>
      <c r="P36" s="26"/>
    </row>
    <row r="37" spans="2:16" ht="11.5" x14ac:dyDescent="0.35">
      <c r="B37" s="3"/>
      <c r="C37" s="801"/>
      <c r="D37" s="119" t="s">
        <v>20</v>
      </c>
      <c r="E37" s="246">
        <v>5</v>
      </c>
      <c r="F37" s="246">
        <v>4</v>
      </c>
      <c r="G37" s="186">
        <v>0.8</v>
      </c>
      <c r="H37" s="73">
        <v>3.5</v>
      </c>
      <c r="I37" s="73">
        <v>170</v>
      </c>
      <c r="J37" s="74">
        <v>0</v>
      </c>
      <c r="K37" s="73">
        <v>161.20000000000002</v>
      </c>
      <c r="L37" s="53">
        <v>12.300000000000011</v>
      </c>
      <c r="M37" s="26"/>
      <c r="N37" s="26"/>
      <c r="O37" s="26"/>
      <c r="P37" s="26"/>
    </row>
    <row r="38" spans="2:16" ht="11.5" x14ac:dyDescent="0.35">
      <c r="B38" s="3"/>
      <c r="C38" s="801"/>
      <c r="D38" s="119" t="s">
        <v>149</v>
      </c>
      <c r="E38" s="246">
        <v>1</v>
      </c>
      <c r="F38" s="246">
        <v>1</v>
      </c>
      <c r="G38" s="186">
        <v>1</v>
      </c>
      <c r="H38" s="73">
        <v>0</v>
      </c>
      <c r="I38" s="73">
        <v>0.3</v>
      </c>
      <c r="J38" s="74">
        <v>0</v>
      </c>
      <c r="K38" s="73">
        <v>0.30000000000000004</v>
      </c>
      <c r="L38" s="53">
        <v>0</v>
      </c>
      <c r="M38" s="26"/>
      <c r="N38" s="26"/>
      <c r="O38" s="26"/>
      <c r="P38" s="26"/>
    </row>
    <row r="39" spans="2:16" ht="11.5" x14ac:dyDescent="0.35">
      <c r="B39" s="3"/>
      <c r="C39" s="801"/>
      <c r="D39" s="32" t="s">
        <v>21</v>
      </c>
      <c r="E39" s="247">
        <v>4</v>
      </c>
      <c r="F39" s="247">
        <v>4</v>
      </c>
      <c r="G39" s="204">
        <v>1</v>
      </c>
      <c r="H39" s="76">
        <v>138.1</v>
      </c>
      <c r="I39" s="76">
        <v>270.39999999999998</v>
      </c>
      <c r="J39" s="77">
        <v>0</v>
      </c>
      <c r="K39" s="73">
        <v>165.09999999999997</v>
      </c>
      <c r="L39" s="57">
        <v>243.4</v>
      </c>
      <c r="M39" s="26"/>
      <c r="N39" s="26"/>
      <c r="O39" s="26"/>
      <c r="P39" s="26"/>
    </row>
    <row r="40" spans="2:16" ht="12" thickBot="1" x14ac:dyDescent="0.4">
      <c r="B40" s="3"/>
      <c r="C40" s="802"/>
      <c r="D40" s="117" t="s">
        <v>9</v>
      </c>
      <c r="E40" s="248">
        <v>22</v>
      </c>
      <c r="F40" s="243">
        <v>19</v>
      </c>
      <c r="G40" s="245">
        <v>0.86363636363636365</v>
      </c>
      <c r="H40" s="181">
        <v>149.9</v>
      </c>
      <c r="I40" s="181">
        <v>2049.7999999999997</v>
      </c>
      <c r="J40" s="181">
        <v>0</v>
      </c>
      <c r="K40" s="82">
        <v>1896</v>
      </c>
      <c r="L40" s="216">
        <v>303.69999999999982</v>
      </c>
      <c r="M40" s="26"/>
      <c r="N40" s="26"/>
      <c r="O40" s="26"/>
      <c r="P40" s="26"/>
    </row>
    <row r="41" spans="2:16" ht="11.5" x14ac:dyDescent="0.35">
      <c r="B41" s="3"/>
      <c r="C41" s="800" t="s">
        <v>22</v>
      </c>
      <c r="D41" s="119" t="s">
        <v>23</v>
      </c>
      <c r="E41" s="246">
        <v>13</v>
      </c>
      <c r="F41" s="246">
        <v>11</v>
      </c>
      <c r="G41" s="186">
        <v>0.84615384615384615</v>
      </c>
      <c r="H41" s="74">
        <v>12.2</v>
      </c>
      <c r="I41" s="74">
        <v>854.9</v>
      </c>
      <c r="J41" s="74">
        <v>0</v>
      </c>
      <c r="K41" s="73">
        <v>813.30000000000018</v>
      </c>
      <c r="L41" s="56">
        <v>53.800000000000068</v>
      </c>
      <c r="M41" s="26"/>
      <c r="N41" s="26"/>
      <c r="O41" s="26"/>
      <c r="P41" s="26"/>
    </row>
    <row r="42" spans="2:16" ht="11.5" x14ac:dyDescent="0.35">
      <c r="B42" s="3"/>
      <c r="C42" s="801"/>
      <c r="D42" s="119" t="s">
        <v>24</v>
      </c>
      <c r="E42" s="246">
        <v>13</v>
      </c>
      <c r="F42" s="246">
        <v>13</v>
      </c>
      <c r="G42" s="186">
        <v>1</v>
      </c>
      <c r="H42" s="74">
        <v>19.7</v>
      </c>
      <c r="I42" s="74">
        <v>924.2</v>
      </c>
      <c r="J42" s="74">
        <v>20.5</v>
      </c>
      <c r="K42" s="73">
        <v>855.3</v>
      </c>
      <c r="L42" s="56">
        <v>109.10000000000014</v>
      </c>
      <c r="M42" s="26"/>
      <c r="N42" s="26"/>
      <c r="O42" s="26"/>
      <c r="P42" s="26"/>
    </row>
    <row r="43" spans="2:16" ht="11.5" x14ac:dyDescent="0.35">
      <c r="B43" s="3"/>
      <c r="C43" s="801"/>
      <c r="D43" s="119" t="s">
        <v>25</v>
      </c>
      <c r="E43" s="246">
        <v>57</v>
      </c>
      <c r="F43" s="246">
        <v>56</v>
      </c>
      <c r="G43" s="186">
        <v>0.98245614035087714</v>
      </c>
      <c r="H43" s="74">
        <v>307.5</v>
      </c>
      <c r="I43" s="74">
        <v>11948.9</v>
      </c>
      <c r="J43" s="74">
        <v>79.900000000000006</v>
      </c>
      <c r="K43" s="74">
        <v>10425.900000000001</v>
      </c>
      <c r="L43" s="56">
        <v>1910.3999999999996</v>
      </c>
      <c r="M43" s="26"/>
      <c r="N43" s="26"/>
      <c r="O43" s="26"/>
      <c r="P43" s="26"/>
    </row>
    <row r="44" spans="2:16" ht="11.5" x14ac:dyDescent="0.35">
      <c r="B44" s="3"/>
      <c r="C44" s="801"/>
      <c r="D44" s="32" t="s">
        <v>26</v>
      </c>
      <c r="E44" s="247">
        <v>94</v>
      </c>
      <c r="F44" s="247">
        <v>83</v>
      </c>
      <c r="G44" s="204">
        <v>0.88297872340425532</v>
      </c>
      <c r="H44" s="77">
        <v>531.79999999999995</v>
      </c>
      <c r="I44" s="77">
        <v>25283.1</v>
      </c>
      <c r="J44" s="77">
        <v>632</v>
      </c>
      <c r="K44" s="77">
        <v>24383</v>
      </c>
      <c r="L44" s="57">
        <v>2063.8999999999978</v>
      </c>
      <c r="M44" s="26"/>
      <c r="N44" s="26"/>
      <c r="O44" s="26"/>
      <c r="P44" s="26"/>
    </row>
    <row r="45" spans="2:16" ht="12" thickBot="1" x14ac:dyDescent="0.4">
      <c r="B45" s="3"/>
      <c r="C45" s="802"/>
      <c r="D45" s="117" t="s">
        <v>9</v>
      </c>
      <c r="E45" s="248">
        <v>177</v>
      </c>
      <c r="F45" s="243">
        <v>163</v>
      </c>
      <c r="G45" s="245">
        <v>0.92090395480225984</v>
      </c>
      <c r="H45" s="181">
        <v>871.19999999999993</v>
      </c>
      <c r="I45" s="181">
        <v>39011.1</v>
      </c>
      <c r="J45" s="181">
        <v>732.4</v>
      </c>
      <c r="K45" s="181">
        <v>36477.5</v>
      </c>
      <c r="L45" s="216">
        <v>4137.1999999999971</v>
      </c>
      <c r="M45" s="26"/>
      <c r="N45" s="26"/>
      <c r="O45" s="26"/>
      <c r="P45" s="26"/>
    </row>
    <row r="46" spans="2:16" ht="11.5" x14ac:dyDescent="0.35">
      <c r="B46" s="3"/>
      <c r="C46" s="800" t="s">
        <v>27</v>
      </c>
      <c r="D46" s="28" t="s">
        <v>28</v>
      </c>
      <c r="E46" s="246">
        <v>92</v>
      </c>
      <c r="F46" s="246">
        <v>92</v>
      </c>
      <c r="G46" s="235">
        <v>1</v>
      </c>
      <c r="H46" s="74">
        <v>2248.5</v>
      </c>
      <c r="I46" s="74">
        <v>67507</v>
      </c>
      <c r="J46" s="72">
        <v>828.7</v>
      </c>
      <c r="K46" s="74">
        <v>58906.9</v>
      </c>
      <c r="L46" s="55">
        <v>11677.299999999996</v>
      </c>
      <c r="M46" s="26"/>
      <c r="N46" s="26"/>
      <c r="O46" s="26"/>
      <c r="P46" s="26"/>
    </row>
    <row r="47" spans="2:16" ht="12" customHeight="1" x14ac:dyDescent="0.35">
      <c r="B47" s="3"/>
      <c r="C47" s="801"/>
      <c r="D47" s="32" t="s">
        <v>79</v>
      </c>
      <c r="E47" s="249">
        <v>45</v>
      </c>
      <c r="F47" s="247">
        <v>45</v>
      </c>
      <c r="G47" s="204">
        <v>1</v>
      </c>
      <c r="H47" s="77">
        <v>354.9</v>
      </c>
      <c r="I47" s="77">
        <v>10926.9</v>
      </c>
      <c r="J47" s="77">
        <v>0</v>
      </c>
      <c r="K47" s="77">
        <v>9719.1</v>
      </c>
      <c r="L47" s="57">
        <v>1562.6999999999989</v>
      </c>
      <c r="M47" s="26"/>
      <c r="N47" s="26"/>
      <c r="O47" s="26"/>
      <c r="P47" s="26"/>
    </row>
    <row r="48" spans="2:16" ht="12" thickBot="1" x14ac:dyDescent="0.4">
      <c r="B48" s="3"/>
      <c r="C48" s="802"/>
      <c r="D48" s="117" t="s">
        <v>9</v>
      </c>
      <c r="E48" s="248">
        <v>137</v>
      </c>
      <c r="F48" s="243">
        <v>137</v>
      </c>
      <c r="G48" s="245">
        <v>1</v>
      </c>
      <c r="H48" s="181">
        <v>2603.4</v>
      </c>
      <c r="I48" s="181">
        <v>78433.899999999994</v>
      </c>
      <c r="J48" s="181">
        <v>828.7</v>
      </c>
      <c r="K48" s="181">
        <v>68626</v>
      </c>
      <c r="L48" s="216">
        <v>13239.999999999985</v>
      </c>
      <c r="M48" s="26"/>
      <c r="N48" s="26"/>
      <c r="O48" s="26"/>
      <c r="P48" s="26"/>
    </row>
    <row r="49" spans="2:16" ht="11.5" x14ac:dyDescent="0.35">
      <c r="B49" s="3"/>
      <c r="C49" s="800" t="s">
        <v>29</v>
      </c>
      <c r="D49" s="40" t="s">
        <v>30</v>
      </c>
      <c r="E49" s="237">
        <v>6</v>
      </c>
      <c r="F49" s="237">
        <v>5</v>
      </c>
      <c r="G49" s="211">
        <v>0.83333333333333337</v>
      </c>
      <c r="H49" s="89">
        <v>3.9</v>
      </c>
      <c r="I49" s="89">
        <v>12.4</v>
      </c>
      <c r="J49" s="89">
        <v>0</v>
      </c>
      <c r="K49" s="89">
        <v>12.000000000000002</v>
      </c>
      <c r="L49" s="58">
        <v>4.3000000000000007</v>
      </c>
      <c r="M49" s="26"/>
      <c r="N49" s="26"/>
      <c r="O49" s="26"/>
      <c r="P49" s="26"/>
    </row>
    <row r="50" spans="2:16" ht="12" thickBot="1" x14ac:dyDescent="0.4">
      <c r="B50" s="3"/>
      <c r="C50" s="802"/>
      <c r="D50" s="117" t="s">
        <v>9</v>
      </c>
      <c r="E50" s="243">
        <v>6</v>
      </c>
      <c r="F50" s="243">
        <v>5</v>
      </c>
      <c r="G50" s="245">
        <v>0.83333333333333337</v>
      </c>
      <c r="H50" s="181">
        <v>3.9</v>
      </c>
      <c r="I50" s="181">
        <v>12.4</v>
      </c>
      <c r="J50" s="181">
        <v>0</v>
      </c>
      <c r="K50" s="181">
        <v>12.000000000000002</v>
      </c>
      <c r="L50" s="216">
        <v>4.3000000000000007</v>
      </c>
      <c r="M50" s="26"/>
      <c r="N50" s="26"/>
      <c r="O50" s="26"/>
      <c r="P50" s="26"/>
    </row>
    <row r="51" spans="2:16" ht="11.5" x14ac:dyDescent="0.35">
      <c r="B51" s="3"/>
      <c r="C51" s="800" t="s">
        <v>31</v>
      </c>
      <c r="D51" s="40" t="s">
        <v>31</v>
      </c>
      <c r="E51" s="237">
        <v>22</v>
      </c>
      <c r="F51" s="237">
        <v>20</v>
      </c>
      <c r="G51" s="211">
        <v>0.90909090909090906</v>
      </c>
      <c r="H51" s="89">
        <v>245.1</v>
      </c>
      <c r="I51" s="89">
        <v>2358.6</v>
      </c>
      <c r="J51" s="89">
        <v>0</v>
      </c>
      <c r="K51" s="89">
        <v>1975.7</v>
      </c>
      <c r="L51" s="58">
        <v>627.99999999999977</v>
      </c>
      <c r="M51" s="26"/>
      <c r="N51" s="26"/>
      <c r="O51" s="26"/>
      <c r="P51" s="26"/>
    </row>
    <row r="52" spans="2:16" ht="12" thickBot="1" x14ac:dyDescent="0.4">
      <c r="B52" s="3"/>
      <c r="C52" s="802"/>
      <c r="D52" s="117" t="s">
        <v>9</v>
      </c>
      <c r="E52" s="243">
        <v>22</v>
      </c>
      <c r="F52" s="243">
        <v>20</v>
      </c>
      <c r="G52" s="245">
        <v>0.90909090909090906</v>
      </c>
      <c r="H52" s="181">
        <v>245.1</v>
      </c>
      <c r="I52" s="181">
        <v>2358.6</v>
      </c>
      <c r="J52" s="181">
        <v>0</v>
      </c>
      <c r="K52" s="181">
        <v>1975.7</v>
      </c>
      <c r="L52" s="216">
        <v>627.99999999999977</v>
      </c>
      <c r="M52" s="26"/>
      <c r="N52" s="26"/>
      <c r="O52" s="26"/>
      <c r="P52" s="26"/>
    </row>
    <row r="53" spans="2:16" ht="11.5" x14ac:dyDescent="0.35">
      <c r="B53" s="3"/>
      <c r="C53" s="800" t="s">
        <v>32</v>
      </c>
      <c r="D53" s="40" t="s">
        <v>32</v>
      </c>
      <c r="E53" s="237">
        <v>21</v>
      </c>
      <c r="F53" s="237">
        <v>20</v>
      </c>
      <c r="G53" s="211">
        <v>0.95238095238095233</v>
      </c>
      <c r="H53" s="89">
        <v>336.5</v>
      </c>
      <c r="I53" s="89">
        <v>4060.2000000000003</v>
      </c>
      <c r="J53" s="89">
        <v>0</v>
      </c>
      <c r="K53" s="89">
        <v>3665.9</v>
      </c>
      <c r="L53" s="58">
        <v>730.79999999999973</v>
      </c>
      <c r="M53" s="26"/>
      <c r="N53" s="26"/>
      <c r="O53" s="26"/>
      <c r="P53" s="26"/>
    </row>
    <row r="54" spans="2:16" ht="12" thickBot="1" x14ac:dyDescent="0.4">
      <c r="B54" s="3"/>
      <c r="C54" s="802"/>
      <c r="D54" s="117" t="s">
        <v>9</v>
      </c>
      <c r="E54" s="243">
        <v>21</v>
      </c>
      <c r="F54" s="243">
        <v>20</v>
      </c>
      <c r="G54" s="245">
        <v>0.95238095238095233</v>
      </c>
      <c r="H54" s="181">
        <v>336.5</v>
      </c>
      <c r="I54" s="181">
        <v>4060.2000000000003</v>
      </c>
      <c r="J54" s="181">
        <v>0</v>
      </c>
      <c r="K54" s="181">
        <v>3665.9</v>
      </c>
      <c r="L54" s="216">
        <v>730.79999999999973</v>
      </c>
      <c r="M54" s="26"/>
      <c r="N54" s="26"/>
      <c r="O54" s="26"/>
      <c r="P54" s="26"/>
    </row>
    <row r="55" spans="2:16" ht="11.5" x14ac:dyDescent="0.35">
      <c r="B55" s="3"/>
      <c r="C55" s="800" t="s">
        <v>33</v>
      </c>
      <c r="D55" s="40" t="s">
        <v>33</v>
      </c>
      <c r="E55" s="237">
        <v>49</v>
      </c>
      <c r="F55" s="237">
        <v>46</v>
      </c>
      <c r="G55" s="211">
        <v>0.93877551020408168</v>
      </c>
      <c r="H55" s="250">
        <v>461.9</v>
      </c>
      <c r="I55" s="89">
        <v>14266.7</v>
      </c>
      <c r="J55" s="89">
        <v>49.7</v>
      </c>
      <c r="K55" s="89">
        <v>12879.3</v>
      </c>
      <c r="L55" s="58">
        <v>1899.0000000000018</v>
      </c>
      <c r="M55" s="26"/>
      <c r="N55" s="26"/>
      <c r="O55" s="26"/>
      <c r="P55" s="26"/>
    </row>
    <row r="56" spans="2:16" ht="12" thickBot="1" x14ac:dyDescent="0.4">
      <c r="B56" s="3"/>
      <c r="C56" s="802"/>
      <c r="D56" s="117" t="s">
        <v>9</v>
      </c>
      <c r="E56" s="243">
        <v>49</v>
      </c>
      <c r="F56" s="243">
        <v>46</v>
      </c>
      <c r="G56" s="245">
        <v>0.93877551020408168</v>
      </c>
      <c r="H56" s="181">
        <v>461.9</v>
      </c>
      <c r="I56" s="181">
        <v>14266.7</v>
      </c>
      <c r="J56" s="181">
        <v>49.7</v>
      </c>
      <c r="K56" s="181">
        <v>12879.3</v>
      </c>
      <c r="L56" s="216">
        <v>1899.0000000000018</v>
      </c>
      <c r="M56" s="26"/>
      <c r="N56" s="26"/>
      <c r="O56" s="26"/>
      <c r="P56" s="26"/>
    </row>
    <row r="57" spans="2:16" ht="11.5" x14ac:dyDescent="0.35">
      <c r="B57" s="3"/>
      <c r="C57" s="800" t="s">
        <v>34</v>
      </c>
      <c r="D57" s="40" t="s">
        <v>34</v>
      </c>
      <c r="E57" s="237">
        <v>19</v>
      </c>
      <c r="F57" s="237">
        <v>19</v>
      </c>
      <c r="G57" s="211">
        <v>1</v>
      </c>
      <c r="H57" s="89">
        <v>360.8</v>
      </c>
      <c r="I57" s="89">
        <v>5793.2</v>
      </c>
      <c r="J57" s="89">
        <v>0</v>
      </c>
      <c r="K57" s="89">
        <v>4916.8999999999996</v>
      </c>
      <c r="L57" s="58">
        <v>1237.1000000000004</v>
      </c>
      <c r="M57" s="26"/>
      <c r="N57" s="26"/>
      <c r="O57" s="26"/>
      <c r="P57" s="26"/>
    </row>
    <row r="58" spans="2:16" ht="12" thickBot="1" x14ac:dyDescent="0.4">
      <c r="B58" s="3"/>
      <c r="C58" s="802"/>
      <c r="D58" s="117" t="s">
        <v>9</v>
      </c>
      <c r="E58" s="243">
        <v>19</v>
      </c>
      <c r="F58" s="243">
        <v>19</v>
      </c>
      <c r="G58" s="245">
        <v>1</v>
      </c>
      <c r="H58" s="181">
        <v>360.8</v>
      </c>
      <c r="I58" s="181">
        <v>5793.2</v>
      </c>
      <c r="J58" s="181">
        <v>0</v>
      </c>
      <c r="K58" s="181">
        <v>4916.8999999999996</v>
      </c>
      <c r="L58" s="216">
        <v>1237.1000000000004</v>
      </c>
      <c r="M58" s="26"/>
      <c r="N58" s="26"/>
      <c r="O58" s="26"/>
      <c r="P58" s="26"/>
    </row>
    <row r="59" spans="2:16" ht="11.5" x14ac:dyDescent="0.35">
      <c r="C59" s="762" t="s">
        <v>77</v>
      </c>
      <c r="D59" s="40" t="s">
        <v>30</v>
      </c>
      <c r="E59" s="237">
        <v>5</v>
      </c>
      <c r="F59" s="237">
        <v>5</v>
      </c>
      <c r="G59" s="211">
        <v>1</v>
      </c>
      <c r="H59" s="89">
        <v>0</v>
      </c>
      <c r="I59" s="89">
        <v>120.8</v>
      </c>
      <c r="J59" s="89">
        <v>0</v>
      </c>
      <c r="K59" s="89">
        <v>120.8</v>
      </c>
      <c r="L59" s="58">
        <v>0</v>
      </c>
      <c r="M59" s="26"/>
      <c r="N59" s="26"/>
      <c r="O59" s="26"/>
      <c r="P59" s="26"/>
    </row>
    <row r="60" spans="2:16" ht="12" thickBot="1" x14ac:dyDescent="0.4">
      <c r="C60" s="804"/>
      <c r="D60" s="48" t="s">
        <v>9</v>
      </c>
      <c r="E60" s="243">
        <v>5</v>
      </c>
      <c r="F60" s="243">
        <v>5</v>
      </c>
      <c r="G60" s="245">
        <v>1</v>
      </c>
      <c r="H60" s="181">
        <v>0</v>
      </c>
      <c r="I60" s="181">
        <v>120.8</v>
      </c>
      <c r="J60" s="181">
        <v>0</v>
      </c>
      <c r="K60" s="181">
        <v>120.8</v>
      </c>
      <c r="L60" s="216">
        <v>0</v>
      </c>
      <c r="M60" s="26"/>
      <c r="N60" s="26"/>
      <c r="O60" s="26"/>
      <c r="P60" s="26"/>
    </row>
    <row r="61" spans="2:16" ht="12.5" thickBot="1" x14ac:dyDescent="0.4">
      <c r="C61" s="805" t="s">
        <v>35</v>
      </c>
      <c r="D61" s="806"/>
      <c r="E61" s="91">
        <v>1863</v>
      </c>
      <c r="F61" s="91">
        <v>1766</v>
      </c>
      <c r="G61" s="94">
        <v>0.94793344068706387</v>
      </c>
      <c r="H61" s="251">
        <v>138017.89999999997</v>
      </c>
      <c r="I61" s="251">
        <v>1300935.4999999998</v>
      </c>
      <c r="J61" s="251">
        <v>58861.2</v>
      </c>
      <c r="K61" s="251">
        <v>1168241.2</v>
      </c>
      <c r="L61" s="251">
        <v>329573.40000000002</v>
      </c>
      <c r="M61" s="26"/>
      <c r="N61" s="26"/>
      <c r="O61" s="26"/>
      <c r="P61" s="26"/>
    </row>
    <row r="62" spans="2:16" ht="3" customHeight="1" x14ac:dyDescent="0.35">
      <c r="C62" s="64"/>
      <c r="D62" s="283"/>
      <c r="E62" s="284"/>
      <c r="F62" s="284"/>
      <c r="G62" s="285"/>
      <c r="H62" s="286"/>
      <c r="I62" s="286"/>
      <c r="J62" s="286"/>
      <c r="K62" s="286"/>
      <c r="L62" s="286"/>
      <c r="N62" s="26"/>
      <c r="O62" s="26"/>
      <c r="P62" s="26"/>
    </row>
    <row r="63" spans="2:16" s="272" customFormat="1" ht="10.5" customHeight="1" x14ac:dyDescent="0.35">
      <c r="C63" s="781" t="s">
        <v>36</v>
      </c>
      <c r="D63" s="803"/>
      <c r="E63" s="803"/>
      <c r="F63" s="803"/>
      <c r="G63" s="803"/>
      <c r="H63" s="803"/>
      <c r="I63" s="803"/>
      <c r="J63" s="803"/>
      <c r="K63" s="803"/>
      <c r="L63" s="803"/>
      <c r="N63" s="273"/>
    </row>
    <row r="64" spans="2:16" s="272" customFormat="1" ht="9" customHeight="1" x14ac:dyDescent="0.35">
      <c r="C64" s="781" t="s">
        <v>37</v>
      </c>
      <c r="D64" s="803"/>
      <c r="E64" s="803"/>
      <c r="F64" s="803"/>
      <c r="G64" s="803"/>
      <c r="H64" s="803"/>
      <c r="I64" s="803"/>
      <c r="J64" s="803"/>
      <c r="K64" s="803"/>
      <c r="L64" s="803"/>
    </row>
    <row r="65" spans="3:12" s="272" customFormat="1" ht="9.75" customHeight="1" x14ac:dyDescent="0.35">
      <c r="C65" s="279" t="s">
        <v>38</v>
      </c>
      <c r="D65" s="280"/>
      <c r="E65" s="280"/>
      <c r="F65" s="280"/>
      <c r="G65" s="281"/>
      <c r="H65" s="281"/>
      <c r="I65" s="281"/>
      <c r="J65" s="281"/>
      <c r="K65" s="281"/>
      <c r="L65" s="282" t="s">
        <v>119</v>
      </c>
    </row>
    <row r="66" spans="3:12" ht="15.5" x14ac:dyDescent="0.35">
      <c r="C66" s="261"/>
      <c r="D66" s="175"/>
      <c r="E66" s="175"/>
      <c r="F66" s="175"/>
      <c r="G66" s="175"/>
      <c r="H66" s="175"/>
      <c r="I66" s="175"/>
      <c r="J66" s="175"/>
      <c r="K66" s="299"/>
      <c r="L66" s="175"/>
    </row>
  </sheetData>
  <customSheetViews>
    <customSheetView guid="{6654F670-CAA9-4C4A-B3D9-226402FC46BC}" showPageBreaks="1" printArea="1" view="pageLayout" topLeftCell="B1">
      <selection activeCell="E7" sqref="E7:L61"/>
      <pageMargins left="0.70866141732283472" right="0.70866141732283472" top="0.72" bottom="3.937007874015748E-2" header="0.09" footer="3.7499999999999999E-2"/>
      <pageSetup paperSize="9" scale="72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howPageBreaks="1" printArea="1" view="pageLayout" topLeftCell="B1">
      <selection activeCell="C1" sqref="C1:L2"/>
      <pageMargins left="0.70866141732283472" right="0.70866141732283472" top="0.72" bottom="3.937007874015748E-2" header="0.09" footer="3.7499999999999999E-2"/>
      <pageSetup paperSize="9" scale="72" orientation="landscape"/>
      <headerFooter>
        <oddHeader>&amp;L&amp;G&amp;RCAMPAÑA: 2025/2026. MES: JULIO
Fecha de emisión de datos: 25/08/2026</oddHeader>
      </headerFooter>
    </customSheetView>
  </customSheetViews>
  <mergeCells count="26">
    <mergeCell ref="C7:C15"/>
    <mergeCell ref="C16:C19"/>
    <mergeCell ref="C20:C21"/>
    <mergeCell ref="C22:C25"/>
    <mergeCell ref="C1:L2"/>
    <mergeCell ref="C4:C6"/>
    <mergeCell ref="D4:D6"/>
    <mergeCell ref="E4:G5"/>
    <mergeCell ref="H4:H6"/>
    <mergeCell ref="I4:J5"/>
    <mergeCell ref="K4:K6"/>
    <mergeCell ref="L4:L6"/>
    <mergeCell ref="C26:C28"/>
    <mergeCell ref="C29:C34"/>
    <mergeCell ref="C64:L64"/>
    <mergeCell ref="C51:C52"/>
    <mergeCell ref="C53:C54"/>
    <mergeCell ref="C57:C58"/>
    <mergeCell ref="C59:C60"/>
    <mergeCell ref="C61:D61"/>
    <mergeCell ref="C63:L63"/>
    <mergeCell ref="C55:C56"/>
    <mergeCell ref="C35:C40"/>
    <mergeCell ref="C41:C45"/>
    <mergeCell ref="C46:C48"/>
    <mergeCell ref="C49:C50"/>
  </mergeCells>
  <pageMargins left="0.70866141732283472" right="0.70866141732283472" top="0.72" bottom="3.937007874015748E-2" header="0.09" footer="3.7499999999999999E-2"/>
  <pageSetup paperSize="9" scale="72" orientation="landscape" r:id="rId1"/>
  <headerFooter>
    <oddHeader>&amp;L&amp;G&amp;RCAMPAÑA: 2025/2026. MES: JULIO
Fecha de emisión de datos: 25/08/2026</oddHead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D1:S64"/>
  <sheetViews>
    <sheetView view="pageLayout" topLeftCell="E1" zoomScaleNormal="60" zoomScaleSheetLayoutView="50" workbookViewId="0">
      <selection activeCell="G59" sqref="G59:N59"/>
    </sheetView>
  </sheetViews>
  <sheetFormatPr baseColWidth="10" defaultColWidth="11.453125" defaultRowHeight="14.5" x14ac:dyDescent="0.35"/>
  <cols>
    <col min="3" max="3" width="12.54296875" customWidth="1"/>
    <col min="4" max="4" width="17.7265625" customWidth="1"/>
    <col min="5" max="5" width="21.453125" customWidth="1"/>
    <col min="6" max="6" width="20.54296875" customWidth="1"/>
    <col min="7" max="7" width="11.81640625" bestFit="1" customWidth="1"/>
    <col min="8" max="8" width="14.453125" bestFit="1" customWidth="1"/>
    <col min="9" max="9" width="13.54296875" bestFit="1" customWidth="1"/>
    <col min="10" max="11" width="11.54296875" bestFit="1" customWidth="1"/>
    <col min="12" max="12" width="11.453125" customWidth="1"/>
    <col min="13" max="13" width="11.54296875" customWidth="1"/>
    <col min="14" max="15" width="11.54296875" bestFit="1" customWidth="1"/>
    <col min="16" max="16" width="12.7265625" style="16" bestFit="1" customWidth="1"/>
    <col min="17" max="17" width="11.26953125" bestFit="1" customWidth="1"/>
    <col min="18" max="18" width="6.26953125" customWidth="1"/>
  </cols>
  <sheetData>
    <row r="1" spans="4:19" ht="15" customHeight="1" x14ac:dyDescent="0.35">
      <c r="E1" s="761" t="s">
        <v>127</v>
      </c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</row>
    <row r="2" spans="4:19" ht="15" customHeight="1" x14ac:dyDescent="0.35"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</row>
    <row r="3" spans="4:19" ht="9" customHeight="1" thickBot="1" x14ac:dyDescent="0.4">
      <c r="E3" s="832"/>
      <c r="F3" s="832"/>
      <c r="G3" s="832"/>
      <c r="H3" s="832"/>
      <c r="I3" s="832"/>
      <c r="J3" s="832"/>
      <c r="K3" s="832"/>
      <c r="L3" s="832"/>
      <c r="M3" s="832"/>
      <c r="N3" s="832"/>
      <c r="O3" s="832"/>
      <c r="P3" s="832"/>
    </row>
    <row r="4" spans="4:19" s="1" customFormat="1" ht="31.5" customHeight="1" thickBot="1" x14ac:dyDescent="0.25">
      <c r="E4" s="50" t="s">
        <v>54</v>
      </c>
      <c r="F4" s="274" t="s">
        <v>4</v>
      </c>
      <c r="G4" s="274" t="s">
        <v>39</v>
      </c>
      <c r="H4" s="274" t="s">
        <v>40</v>
      </c>
      <c r="I4" s="274" t="s">
        <v>41</v>
      </c>
      <c r="J4" s="274" t="s">
        <v>42</v>
      </c>
      <c r="K4" s="274" t="s">
        <v>43</v>
      </c>
      <c r="L4" s="274" t="s">
        <v>44</v>
      </c>
      <c r="M4" s="268" t="s">
        <v>45</v>
      </c>
      <c r="N4" s="274" t="s">
        <v>46</v>
      </c>
      <c r="O4" s="268" t="s">
        <v>47</v>
      </c>
      <c r="P4" s="51" t="s">
        <v>48</v>
      </c>
    </row>
    <row r="5" spans="4:19" x14ac:dyDescent="0.35">
      <c r="D5" s="6"/>
      <c r="E5" s="800" t="s">
        <v>74</v>
      </c>
      <c r="F5" s="28" t="s">
        <v>80</v>
      </c>
      <c r="G5" s="71">
        <v>1165.7</v>
      </c>
      <c r="H5" s="72">
        <v>6188.1</v>
      </c>
      <c r="I5" s="72">
        <v>5991.3</v>
      </c>
      <c r="J5" s="72">
        <v>2309.8000000000002</v>
      </c>
      <c r="K5" s="72">
        <v>372</v>
      </c>
      <c r="L5" s="72">
        <v>83.7</v>
      </c>
      <c r="M5" s="72">
        <v>1.1000000000000001</v>
      </c>
      <c r="N5" s="72">
        <v>0</v>
      </c>
      <c r="O5" s="72">
        <v>18.3</v>
      </c>
      <c r="P5" s="53">
        <v>16130</v>
      </c>
      <c r="Q5" s="180"/>
      <c r="R5" s="180"/>
      <c r="S5" s="180"/>
    </row>
    <row r="6" spans="4:19" x14ac:dyDescent="0.35">
      <c r="D6" s="6"/>
      <c r="E6" s="801"/>
      <c r="F6" s="119" t="s">
        <v>81</v>
      </c>
      <c r="G6" s="73">
        <v>1904.2</v>
      </c>
      <c r="H6" s="74">
        <v>4946.2</v>
      </c>
      <c r="I6" s="74">
        <v>4357.7</v>
      </c>
      <c r="J6" s="74">
        <v>2541.6999999999998</v>
      </c>
      <c r="K6" s="74">
        <v>785.2</v>
      </c>
      <c r="L6" s="74">
        <v>478</v>
      </c>
      <c r="M6" s="74">
        <v>0</v>
      </c>
      <c r="N6" s="74">
        <v>0</v>
      </c>
      <c r="O6" s="74">
        <v>0</v>
      </c>
      <c r="P6" s="53">
        <v>15013</v>
      </c>
      <c r="Q6" s="180"/>
      <c r="R6" s="180"/>
      <c r="S6" s="180"/>
    </row>
    <row r="7" spans="4:19" x14ac:dyDescent="0.35">
      <c r="D7" s="6"/>
      <c r="E7" s="801"/>
      <c r="F7" s="119" t="s">
        <v>82</v>
      </c>
      <c r="G7" s="73">
        <v>5193.6000000000004</v>
      </c>
      <c r="H7" s="74">
        <v>44016.3</v>
      </c>
      <c r="I7" s="74">
        <v>72185</v>
      </c>
      <c r="J7" s="74">
        <v>59909.599999999999</v>
      </c>
      <c r="K7" s="74">
        <v>31301.599999999999</v>
      </c>
      <c r="L7" s="74">
        <v>27566.9</v>
      </c>
      <c r="M7" s="74">
        <v>5416.5</v>
      </c>
      <c r="N7" s="74">
        <v>636.9</v>
      </c>
      <c r="O7" s="74">
        <v>509</v>
      </c>
      <c r="P7" s="53">
        <v>246735.4</v>
      </c>
      <c r="Q7" s="180"/>
      <c r="R7" s="180"/>
      <c r="S7" s="180"/>
    </row>
    <row r="8" spans="4:19" x14ac:dyDescent="0.35">
      <c r="D8" s="6"/>
      <c r="E8" s="801"/>
      <c r="F8" s="119" t="s">
        <v>6</v>
      </c>
      <c r="G8" s="73">
        <v>468.2</v>
      </c>
      <c r="H8" s="74">
        <v>14139.6</v>
      </c>
      <c r="I8" s="74">
        <v>34947.699999999997</v>
      </c>
      <c r="J8" s="74">
        <v>30291.8</v>
      </c>
      <c r="K8" s="74">
        <v>12929.8</v>
      </c>
      <c r="L8" s="74">
        <v>11103.6</v>
      </c>
      <c r="M8" s="74">
        <v>2608.6</v>
      </c>
      <c r="N8" s="74">
        <v>435.7</v>
      </c>
      <c r="O8" s="74">
        <v>372.8</v>
      </c>
      <c r="P8" s="53">
        <v>107297.8</v>
      </c>
      <c r="Q8" s="180"/>
      <c r="R8" s="180"/>
      <c r="S8" s="180"/>
    </row>
    <row r="9" spans="4:19" x14ac:dyDescent="0.35">
      <c r="D9" s="6"/>
      <c r="E9" s="801"/>
      <c r="F9" s="119" t="s">
        <v>7</v>
      </c>
      <c r="G9" s="73">
        <v>807.8</v>
      </c>
      <c r="H9" s="74">
        <v>6218.1</v>
      </c>
      <c r="I9" s="74">
        <v>5783.9</v>
      </c>
      <c r="J9" s="74">
        <v>1914.5</v>
      </c>
      <c r="K9" s="74">
        <v>251.8</v>
      </c>
      <c r="L9" s="74">
        <v>128.30000000000001</v>
      </c>
      <c r="M9" s="74">
        <v>108</v>
      </c>
      <c r="N9" s="74">
        <v>0</v>
      </c>
      <c r="O9" s="74">
        <v>0</v>
      </c>
      <c r="P9" s="53">
        <v>15212.4</v>
      </c>
      <c r="Q9" s="180"/>
      <c r="R9" s="180"/>
      <c r="S9" s="180"/>
    </row>
    <row r="10" spans="4:19" x14ac:dyDescent="0.35">
      <c r="D10" s="6"/>
      <c r="E10" s="801"/>
      <c r="F10" s="119" t="s">
        <v>83</v>
      </c>
      <c r="G10" s="73">
        <v>5396.4</v>
      </c>
      <c r="H10" s="74">
        <v>40573.4</v>
      </c>
      <c r="I10" s="74">
        <v>122674.9</v>
      </c>
      <c r="J10" s="74">
        <v>125605</v>
      </c>
      <c r="K10" s="74">
        <v>64211.199999999997</v>
      </c>
      <c r="L10" s="74">
        <v>29012.1</v>
      </c>
      <c r="M10" s="74">
        <v>613.1</v>
      </c>
      <c r="N10" s="74">
        <v>67</v>
      </c>
      <c r="O10" s="74">
        <v>933</v>
      </c>
      <c r="P10" s="53">
        <v>389086.1</v>
      </c>
      <c r="Q10" s="180"/>
      <c r="R10" s="180"/>
      <c r="S10" s="180"/>
    </row>
    <row r="11" spans="4:19" x14ac:dyDescent="0.35">
      <c r="D11" s="6"/>
      <c r="E11" s="801"/>
      <c r="F11" s="119" t="s">
        <v>84</v>
      </c>
      <c r="G11" s="73">
        <v>2475.6999999999998</v>
      </c>
      <c r="H11" s="74">
        <v>12109</v>
      </c>
      <c r="I11" s="74">
        <v>13939.5</v>
      </c>
      <c r="J11" s="74">
        <v>12638.2</v>
      </c>
      <c r="K11" s="74">
        <v>6995.3</v>
      </c>
      <c r="L11" s="74">
        <v>7702.7</v>
      </c>
      <c r="M11" s="74">
        <v>2884.3</v>
      </c>
      <c r="N11" s="74">
        <v>286</v>
      </c>
      <c r="O11" s="74">
        <v>132.9</v>
      </c>
      <c r="P11" s="53">
        <v>59163.6</v>
      </c>
      <c r="Q11" s="180"/>
      <c r="R11" s="180"/>
      <c r="S11" s="180"/>
    </row>
    <row r="12" spans="4:19" x14ac:dyDescent="0.35">
      <c r="D12" s="6"/>
      <c r="E12" s="801"/>
      <c r="F12" s="32" t="s">
        <v>8</v>
      </c>
      <c r="G12" s="76">
        <v>10889.2</v>
      </c>
      <c r="H12" s="77">
        <v>34992.9</v>
      </c>
      <c r="I12" s="77">
        <v>39841.599999999999</v>
      </c>
      <c r="J12" s="77">
        <v>26548.400000000001</v>
      </c>
      <c r="K12" s="77">
        <v>9537.9</v>
      </c>
      <c r="L12" s="77">
        <v>3447.4</v>
      </c>
      <c r="M12" s="77">
        <v>255.8</v>
      </c>
      <c r="N12" s="77">
        <v>0</v>
      </c>
      <c r="O12" s="77">
        <v>489.1</v>
      </c>
      <c r="P12" s="53">
        <v>126002.3</v>
      </c>
      <c r="Q12" s="180"/>
      <c r="R12" s="180"/>
      <c r="S12" s="180"/>
    </row>
    <row r="13" spans="4:19" ht="15" thickBot="1" x14ac:dyDescent="0.4">
      <c r="D13" s="6"/>
      <c r="E13" s="802"/>
      <c r="F13" s="117" t="s">
        <v>49</v>
      </c>
      <c r="G13" s="181">
        <v>28300.799999999999</v>
      </c>
      <c r="H13" s="181">
        <v>163183.6</v>
      </c>
      <c r="I13" s="181">
        <v>299721.59999999998</v>
      </c>
      <c r="J13" s="181">
        <v>261759</v>
      </c>
      <c r="K13" s="181">
        <v>126384.8</v>
      </c>
      <c r="L13" s="181">
        <v>79522.7</v>
      </c>
      <c r="M13" s="181">
        <v>11887.400000000001</v>
      </c>
      <c r="N13" s="181">
        <v>1425.6</v>
      </c>
      <c r="O13" s="181">
        <v>2455.1</v>
      </c>
      <c r="P13" s="54">
        <v>974640.6</v>
      </c>
      <c r="Q13" s="180"/>
      <c r="R13" s="180"/>
      <c r="S13" s="180"/>
    </row>
    <row r="14" spans="4:19" x14ac:dyDescent="0.35">
      <c r="D14" s="6"/>
      <c r="E14" s="800" t="s">
        <v>75</v>
      </c>
      <c r="F14" s="119" t="s">
        <v>10</v>
      </c>
      <c r="G14" s="73">
        <v>134.9</v>
      </c>
      <c r="H14" s="74">
        <v>1262.2</v>
      </c>
      <c r="I14" s="74">
        <v>669.1</v>
      </c>
      <c r="J14" s="74">
        <v>69.099999999999994</v>
      </c>
      <c r="K14" s="74">
        <v>27.8</v>
      </c>
      <c r="L14" s="74">
        <v>0</v>
      </c>
      <c r="M14" s="74">
        <v>0</v>
      </c>
      <c r="N14" s="74">
        <v>0</v>
      </c>
      <c r="O14" s="74">
        <v>12.7</v>
      </c>
      <c r="P14" s="55">
        <v>2175.8000000000002</v>
      </c>
      <c r="Q14" s="180"/>
      <c r="R14" s="180"/>
      <c r="S14" s="180"/>
    </row>
    <row r="15" spans="4:19" x14ac:dyDescent="0.35">
      <c r="D15" s="6"/>
      <c r="E15" s="801"/>
      <c r="F15" s="119" t="s">
        <v>11</v>
      </c>
      <c r="G15" s="73">
        <v>480.8</v>
      </c>
      <c r="H15" s="74">
        <v>1916.7</v>
      </c>
      <c r="I15" s="74">
        <v>2968.1</v>
      </c>
      <c r="J15" s="74">
        <v>1810</v>
      </c>
      <c r="K15" s="74">
        <v>1107.2</v>
      </c>
      <c r="L15" s="74">
        <v>856.1</v>
      </c>
      <c r="M15" s="74">
        <v>99.2</v>
      </c>
      <c r="N15" s="74">
        <v>0</v>
      </c>
      <c r="O15" s="74">
        <v>51</v>
      </c>
      <c r="P15" s="56">
        <v>9289.1</v>
      </c>
      <c r="Q15" s="180"/>
      <c r="R15" s="180"/>
      <c r="S15" s="180"/>
    </row>
    <row r="16" spans="4:19" x14ac:dyDescent="0.35">
      <c r="D16" s="6"/>
      <c r="E16" s="801"/>
      <c r="F16" s="32" t="s">
        <v>12</v>
      </c>
      <c r="G16" s="76">
        <v>261.7</v>
      </c>
      <c r="H16" s="77">
        <v>2049.3000000000002</v>
      </c>
      <c r="I16" s="77">
        <v>1814</v>
      </c>
      <c r="J16" s="77">
        <v>734.1</v>
      </c>
      <c r="K16" s="77">
        <v>362.2</v>
      </c>
      <c r="L16" s="77">
        <v>345.1</v>
      </c>
      <c r="M16" s="77">
        <v>67</v>
      </c>
      <c r="N16" s="77">
        <v>0</v>
      </c>
      <c r="O16" s="77">
        <v>16.7</v>
      </c>
      <c r="P16" s="57">
        <v>5650.1</v>
      </c>
      <c r="Q16" s="180"/>
      <c r="R16" s="180"/>
      <c r="S16" s="180"/>
    </row>
    <row r="17" spans="4:19" ht="15" thickBot="1" x14ac:dyDescent="0.4">
      <c r="D17" s="6"/>
      <c r="E17" s="802"/>
      <c r="F17" s="117" t="s">
        <v>49</v>
      </c>
      <c r="G17" s="181">
        <v>877.40000000000009</v>
      </c>
      <c r="H17" s="181">
        <v>5228.2000000000007</v>
      </c>
      <c r="I17" s="181">
        <v>5451.2</v>
      </c>
      <c r="J17" s="181">
        <v>2613.1999999999998</v>
      </c>
      <c r="K17" s="181">
        <v>1497.2</v>
      </c>
      <c r="L17" s="181">
        <v>1201.2</v>
      </c>
      <c r="M17" s="181">
        <v>166.2</v>
      </c>
      <c r="N17" s="181">
        <v>0</v>
      </c>
      <c r="O17" s="181">
        <v>80.400000000000006</v>
      </c>
      <c r="P17" s="54">
        <v>17115</v>
      </c>
      <c r="Q17" s="180"/>
      <c r="R17" s="180"/>
      <c r="S17" s="180"/>
    </row>
    <row r="18" spans="4:19" x14ac:dyDescent="0.35">
      <c r="D18" s="6"/>
      <c r="E18" s="834" t="s">
        <v>13</v>
      </c>
      <c r="F18" s="40" t="s">
        <v>13</v>
      </c>
      <c r="G18" s="182">
        <v>433.4</v>
      </c>
      <c r="H18" s="89">
        <v>430.9</v>
      </c>
      <c r="I18" s="89">
        <v>123.9</v>
      </c>
      <c r="J18" s="89">
        <v>0.8</v>
      </c>
      <c r="K18" s="89">
        <v>0.6</v>
      </c>
      <c r="L18" s="89">
        <v>0</v>
      </c>
      <c r="M18" s="89">
        <v>0</v>
      </c>
      <c r="N18" s="89">
        <v>0</v>
      </c>
      <c r="O18" s="89">
        <v>0</v>
      </c>
      <c r="P18" s="58">
        <v>989.6</v>
      </c>
      <c r="Q18" s="180"/>
      <c r="R18" s="180"/>
      <c r="S18" s="180"/>
    </row>
    <row r="19" spans="4:19" ht="15" thickBot="1" x14ac:dyDescent="0.4">
      <c r="D19" s="6"/>
      <c r="E19" s="835"/>
      <c r="F19" s="48" t="s">
        <v>49</v>
      </c>
      <c r="G19" s="181">
        <v>433.4</v>
      </c>
      <c r="H19" s="181">
        <v>430.9</v>
      </c>
      <c r="I19" s="181">
        <v>123.9</v>
      </c>
      <c r="J19" s="181">
        <v>0.8</v>
      </c>
      <c r="K19" s="181">
        <v>0.6</v>
      </c>
      <c r="L19" s="181">
        <v>0</v>
      </c>
      <c r="M19" s="181">
        <v>0</v>
      </c>
      <c r="N19" s="181">
        <v>0</v>
      </c>
      <c r="O19" s="181">
        <v>0</v>
      </c>
      <c r="P19" s="59">
        <v>989.6</v>
      </c>
      <c r="Q19" s="180"/>
      <c r="R19" s="180"/>
      <c r="S19" s="180"/>
    </row>
    <row r="20" spans="4:19" x14ac:dyDescent="0.35">
      <c r="D20" s="6"/>
      <c r="E20" s="800" t="s">
        <v>87</v>
      </c>
      <c r="F20" s="119" t="s">
        <v>14</v>
      </c>
      <c r="G20" s="73">
        <v>559.29999999999995</v>
      </c>
      <c r="H20" s="74">
        <v>3147.4</v>
      </c>
      <c r="I20" s="74">
        <v>3524.3</v>
      </c>
      <c r="J20" s="74">
        <v>1979.1</v>
      </c>
      <c r="K20" s="74">
        <v>357.4</v>
      </c>
      <c r="L20" s="74">
        <v>133.1</v>
      </c>
      <c r="M20" s="74">
        <v>0</v>
      </c>
      <c r="N20" s="74">
        <v>0</v>
      </c>
      <c r="O20" s="74">
        <v>34.799999999999997</v>
      </c>
      <c r="P20" s="56">
        <v>9735.4</v>
      </c>
      <c r="Q20" s="180"/>
      <c r="R20" s="180"/>
      <c r="S20" s="180"/>
    </row>
    <row r="21" spans="4:19" x14ac:dyDescent="0.35">
      <c r="D21" s="6"/>
      <c r="E21" s="801"/>
      <c r="F21" s="119" t="s">
        <v>85</v>
      </c>
      <c r="G21" s="73">
        <v>538.9</v>
      </c>
      <c r="H21" s="74">
        <v>2565.1999999999998</v>
      </c>
      <c r="I21" s="74">
        <v>985.1</v>
      </c>
      <c r="J21" s="74">
        <v>771.9</v>
      </c>
      <c r="K21" s="74">
        <v>531.1</v>
      </c>
      <c r="L21" s="74">
        <v>75.3</v>
      </c>
      <c r="M21" s="74">
        <v>3.9</v>
      </c>
      <c r="N21" s="74">
        <v>0</v>
      </c>
      <c r="O21" s="74">
        <v>27.1</v>
      </c>
      <c r="P21" s="56">
        <v>5498.5</v>
      </c>
      <c r="Q21" s="180"/>
      <c r="R21" s="180"/>
      <c r="S21" s="180"/>
    </row>
    <row r="22" spans="4:19" x14ac:dyDescent="0.35">
      <c r="D22" s="6"/>
      <c r="E22" s="801"/>
      <c r="F22" s="32" t="s">
        <v>15</v>
      </c>
      <c r="G22" s="76">
        <v>399.3</v>
      </c>
      <c r="H22" s="77">
        <v>4131.8999999999996</v>
      </c>
      <c r="I22" s="77">
        <v>2774.8</v>
      </c>
      <c r="J22" s="77">
        <v>675.2</v>
      </c>
      <c r="K22" s="77">
        <v>40.1</v>
      </c>
      <c r="L22" s="77">
        <v>106.8</v>
      </c>
      <c r="M22" s="77">
        <v>0</v>
      </c>
      <c r="N22" s="77">
        <v>0</v>
      </c>
      <c r="O22" s="77">
        <v>14.2</v>
      </c>
      <c r="P22" s="57">
        <v>8142.3</v>
      </c>
      <c r="Q22" s="180"/>
      <c r="R22" s="180"/>
      <c r="S22" s="180"/>
    </row>
    <row r="23" spans="4:19" ht="15" thickBot="1" x14ac:dyDescent="0.4">
      <c r="D23" s="6"/>
      <c r="E23" s="802"/>
      <c r="F23" s="117" t="s">
        <v>49</v>
      </c>
      <c r="G23" s="181">
        <v>1497.4999999999998</v>
      </c>
      <c r="H23" s="181">
        <v>9844.5</v>
      </c>
      <c r="I23" s="181">
        <v>7284.2000000000007</v>
      </c>
      <c r="J23" s="181">
        <v>3426.2</v>
      </c>
      <c r="K23" s="181">
        <v>928.6</v>
      </c>
      <c r="L23" s="181">
        <v>315.2</v>
      </c>
      <c r="M23" s="181">
        <v>3.9</v>
      </c>
      <c r="N23" s="181">
        <v>0</v>
      </c>
      <c r="O23" s="181">
        <v>76.099999999999994</v>
      </c>
      <c r="P23" s="59">
        <v>23376.2</v>
      </c>
      <c r="Q23" s="180"/>
      <c r="R23" s="180"/>
      <c r="S23" s="180"/>
    </row>
    <row r="24" spans="4:19" x14ac:dyDescent="0.35">
      <c r="D24" s="6"/>
      <c r="E24" s="800" t="s">
        <v>151</v>
      </c>
      <c r="F24" s="28" t="s">
        <v>152</v>
      </c>
      <c r="G24" s="73">
        <v>13.3</v>
      </c>
      <c r="H24" s="74">
        <v>0.6</v>
      </c>
      <c r="I24" s="74">
        <v>0.9</v>
      </c>
      <c r="J24" s="74">
        <v>0.8</v>
      </c>
      <c r="K24" s="74">
        <v>0</v>
      </c>
      <c r="L24" s="74">
        <v>0</v>
      </c>
      <c r="M24" s="74">
        <v>0</v>
      </c>
      <c r="N24" s="74">
        <v>0.1</v>
      </c>
      <c r="O24" s="74">
        <v>0</v>
      </c>
      <c r="P24" s="56">
        <v>15.7</v>
      </c>
      <c r="Q24" s="180"/>
      <c r="R24" s="180"/>
      <c r="S24" s="180"/>
    </row>
    <row r="25" spans="4:19" x14ac:dyDescent="0.35">
      <c r="D25" s="6"/>
      <c r="E25" s="801"/>
      <c r="F25" s="32" t="s">
        <v>153</v>
      </c>
      <c r="G25" s="76">
        <v>15.6</v>
      </c>
      <c r="H25" s="77">
        <v>2.2999999999999998</v>
      </c>
      <c r="I25" s="77">
        <v>0.1</v>
      </c>
      <c r="J25" s="77">
        <v>0</v>
      </c>
      <c r="K25" s="77">
        <v>0</v>
      </c>
      <c r="L25" s="77">
        <v>0</v>
      </c>
      <c r="M25" s="77">
        <v>0</v>
      </c>
      <c r="N25" s="77">
        <v>0</v>
      </c>
      <c r="O25" s="77">
        <v>0</v>
      </c>
      <c r="P25" s="57">
        <v>18</v>
      </c>
      <c r="Q25" s="180"/>
      <c r="R25" s="180"/>
      <c r="S25" s="180"/>
    </row>
    <row r="26" spans="4:19" ht="15" thickBot="1" x14ac:dyDescent="0.4">
      <c r="D26" s="6"/>
      <c r="E26" s="801"/>
      <c r="F26" s="48" t="s">
        <v>49</v>
      </c>
      <c r="G26" s="181">
        <v>28.9</v>
      </c>
      <c r="H26" s="181">
        <v>2.9</v>
      </c>
      <c r="I26" s="181">
        <v>1</v>
      </c>
      <c r="J26" s="181">
        <v>0.8</v>
      </c>
      <c r="K26" s="181">
        <v>0</v>
      </c>
      <c r="L26" s="181">
        <v>0</v>
      </c>
      <c r="M26" s="181">
        <v>0</v>
      </c>
      <c r="N26" s="181">
        <v>0.1</v>
      </c>
      <c r="O26" s="181">
        <v>0</v>
      </c>
      <c r="P26" s="59">
        <v>33.700000000000003</v>
      </c>
      <c r="Q26" s="180"/>
      <c r="R26" s="180"/>
      <c r="S26" s="180"/>
    </row>
    <row r="27" spans="4:19" x14ac:dyDescent="0.35">
      <c r="D27" s="6"/>
      <c r="E27" s="800" t="s">
        <v>73</v>
      </c>
      <c r="F27" s="28" t="s">
        <v>16</v>
      </c>
      <c r="G27" s="73">
        <v>115.3</v>
      </c>
      <c r="H27" s="74">
        <v>4789</v>
      </c>
      <c r="I27" s="74">
        <v>7942.2</v>
      </c>
      <c r="J27" s="74">
        <v>4498.5</v>
      </c>
      <c r="K27" s="74">
        <v>300.10000000000002</v>
      </c>
      <c r="L27" s="74">
        <v>89</v>
      </c>
      <c r="M27" s="74">
        <v>2.5</v>
      </c>
      <c r="N27" s="74">
        <v>0</v>
      </c>
      <c r="O27" s="74">
        <v>40.9</v>
      </c>
      <c r="P27" s="56">
        <v>17777.5</v>
      </c>
      <c r="Q27" s="180"/>
      <c r="R27" s="180"/>
      <c r="S27" s="180"/>
    </row>
    <row r="28" spans="4:19" x14ac:dyDescent="0.35">
      <c r="D28" s="6"/>
      <c r="E28" s="801"/>
      <c r="F28" s="119" t="s">
        <v>17</v>
      </c>
      <c r="G28" s="73">
        <v>253.5</v>
      </c>
      <c r="H28" s="74">
        <v>10245.799999999999</v>
      </c>
      <c r="I28" s="74">
        <v>31546.799999999999</v>
      </c>
      <c r="J28" s="74">
        <v>21200.7</v>
      </c>
      <c r="K28" s="74">
        <v>4546.1000000000004</v>
      </c>
      <c r="L28" s="74">
        <v>1023.5</v>
      </c>
      <c r="M28" s="74">
        <v>29.6</v>
      </c>
      <c r="N28" s="74">
        <v>0</v>
      </c>
      <c r="O28" s="74">
        <v>233.3</v>
      </c>
      <c r="P28" s="56">
        <v>69079.3</v>
      </c>
      <c r="Q28" s="180"/>
      <c r="R28" s="180"/>
      <c r="S28" s="180"/>
    </row>
    <row r="29" spans="4:19" x14ac:dyDescent="0.35">
      <c r="D29" s="6"/>
      <c r="E29" s="801"/>
      <c r="F29" s="119" t="s">
        <v>18</v>
      </c>
      <c r="G29" s="73">
        <v>28.5</v>
      </c>
      <c r="H29" s="74">
        <v>738.1</v>
      </c>
      <c r="I29" s="74">
        <v>3251.7</v>
      </c>
      <c r="J29" s="74">
        <v>2034.1</v>
      </c>
      <c r="K29" s="74">
        <v>424.2</v>
      </c>
      <c r="L29" s="74">
        <v>130.1</v>
      </c>
      <c r="M29" s="74">
        <v>0</v>
      </c>
      <c r="N29" s="74">
        <v>0</v>
      </c>
      <c r="O29" s="74">
        <v>45.4</v>
      </c>
      <c r="P29" s="56">
        <v>6652.1</v>
      </c>
      <c r="Q29" s="180"/>
      <c r="R29" s="180"/>
      <c r="S29" s="180"/>
    </row>
    <row r="30" spans="4:19" x14ac:dyDescent="0.35">
      <c r="D30" s="6"/>
      <c r="E30" s="801"/>
      <c r="F30" s="119" t="s">
        <v>50</v>
      </c>
      <c r="G30" s="73">
        <v>16.5</v>
      </c>
      <c r="H30" s="74">
        <v>281.39999999999998</v>
      </c>
      <c r="I30" s="74">
        <v>661.6</v>
      </c>
      <c r="J30" s="74">
        <v>634</v>
      </c>
      <c r="K30" s="74">
        <v>233.9</v>
      </c>
      <c r="L30" s="74">
        <v>114</v>
      </c>
      <c r="M30" s="74">
        <v>0</v>
      </c>
      <c r="N30" s="74">
        <v>0</v>
      </c>
      <c r="O30" s="74">
        <v>0</v>
      </c>
      <c r="P30" s="56">
        <v>1941.4</v>
      </c>
      <c r="Q30" s="180"/>
      <c r="R30" s="180"/>
      <c r="S30" s="180"/>
    </row>
    <row r="31" spans="4:19" x14ac:dyDescent="0.35">
      <c r="D31" s="6"/>
      <c r="E31" s="801"/>
      <c r="F31" s="32" t="s">
        <v>19</v>
      </c>
      <c r="G31" s="76">
        <v>459.8</v>
      </c>
      <c r="H31" s="77">
        <v>6219.4</v>
      </c>
      <c r="I31" s="77">
        <v>17061.7</v>
      </c>
      <c r="J31" s="77">
        <v>13716.1</v>
      </c>
      <c r="K31" s="77">
        <v>4260.3</v>
      </c>
      <c r="L31" s="77">
        <v>1356.2</v>
      </c>
      <c r="M31" s="77">
        <v>7</v>
      </c>
      <c r="N31" s="77">
        <v>0</v>
      </c>
      <c r="O31" s="77">
        <v>142.9</v>
      </c>
      <c r="P31" s="57">
        <v>43223.4</v>
      </c>
      <c r="Q31" s="180"/>
      <c r="R31" s="180"/>
      <c r="S31" s="180"/>
    </row>
    <row r="32" spans="4:19" ht="15" thickBot="1" x14ac:dyDescent="0.4">
      <c r="D32" s="6"/>
      <c r="E32" s="802"/>
      <c r="F32" s="117" t="s">
        <v>49</v>
      </c>
      <c r="G32" s="181">
        <v>873.6</v>
      </c>
      <c r="H32" s="181">
        <v>22273.699999999997</v>
      </c>
      <c r="I32" s="181">
        <v>60464</v>
      </c>
      <c r="J32" s="181">
        <v>42083.4</v>
      </c>
      <c r="K32" s="181">
        <v>9764.6</v>
      </c>
      <c r="L32" s="181">
        <v>2712.8</v>
      </c>
      <c r="M32" s="181">
        <v>39.1</v>
      </c>
      <c r="N32" s="181">
        <v>0</v>
      </c>
      <c r="O32" s="181">
        <v>462.5</v>
      </c>
      <c r="P32" s="59">
        <v>138673.70000000001</v>
      </c>
      <c r="Q32" s="180"/>
      <c r="R32" s="180"/>
      <c r="S32" s="180"/>
    </row>
    <row r="33" spans="4:19" x14ac:dyDescent="0.35">
      <c r="D33" s="6"/>
      <c r="E33" s="800" t="s">
        <v>76</v>
      </c>
      <c r="F33" s="119" t="s">
        <v>78</v>
      </c>
      <c r="G33" s="71">
        <v>0.6</v>
      </c>
      <c r="H33" s="72">
        <v>826.1</v>
      </c>
      <c r="I33" s="72">
        <v>662.7</v>
      </c>
      <c r="J33" s="72">
        <v>107.9</v>
      </c>
      <c r="K33" s="72">
        <v>11.6</v>
      </c>
      <c r="L33" s="72">
        <v>0</v>
      </c>
      <c r="M33" s="72">
        <v>0</v>
      </c>
      <c r="N33" s="72">
        <v>0</v>
      </c>
      <c r="O33" s="72">
        <v>0.2</v>
      </c>
      <c r="P33" s="56">
        <v>1609.1</v>
      </c>
      <c r="Q33" s="180"/>
      <c r="R33" s="180"/>
      <c r="S33" s="180"/>
    </row>
    <row r="34" spans="4:19" x14ac:dyDescent="0.35">
      <c r="D34" s="6"/>
      <c r="E34" s="807"/>
      <c r="F34" s="119" t="s">
        <v>157</v>
      </c>
      <c r="G34" s="73">
        <v>0</v>
      </c>
      <c r="H34" s="74">
        <v>0</v>
      </c>
      <c r="I34" s="74">
        <v>0</v>
      </c>
      <c r="J34" s="74">
        <v>0</v>
      </c>
      <c r="K34" s="74">
        <v>0</v>
      </c>
      <c r="L34" s="74">
        <v>0</v>
      </c>
      <c r="M34" s="74">
        <v>0</v>
      </c>
      <c r="N34" s="74">
        <v>0</v>
      </c>
      <c r="O34" s="74">
        <v>0</v>
      </c>
      <c r="P34" s="56">
        <v>0</v>
      </c>
      <c r="Q34" s="180"/>
      <c r="R34" s="180"/>
      <c r="S34" s="180"/>
    </row>
    <row r="35" spans="4:19" x14ac:dyDescent="0.35">
      <c r="D35" s="6"/>
      <c r="E35" s="801"/>
      <c r="F35" s="119" t="s">
        <v>20</v>
      </c>
      <c r="G35" s="73">
        <v>2.1</v>
      </c>
      <c r="H35" s="74">
        <v>156.4</v>
      </c>
      <c r="I35" s="74">
        <v>11.3</v>
      </c>
      <c r="J35" s="74">
        <v>0</v>
      </c>
      <c r="K35" s="74">
        <v>0</v>
      </c>
      <c r="L35" s="74">
        <v>0</v>
      </c>
      <c r="M35" s="74">
        <v>0</v>
      </c>
      <c r="N35" s="74">
        <v>0</v>
      </c>
      <c r="O35" s="74">
        <v>0.2</v>
      </c>
      <c r="P35" s="56">
        <v>170</v>
      </c>
      <c r="Q35" s="180"/>
      <c r="R35" s="180"/>
      <c r="S35" s="180"/>
    </row>
    <row r="36" spans="4:19" x14ac:dyDescent="0.35">
      <c r="D36" s="6"/>
      <c r="E36" s="801"/>
      <c r="F36" s="119" t="s">
        <v>149</v>
      </c>
      <c r="G36" s="73">
        <v>0</v>
      </c>
      <c r="H36" s="74">
        <v>0.3</v>
      </c>
      <c r="I36" s="74">
        <v>0</v>
      </c>
      <c r="J36" s="74">
        <v>0</v>
      </c>
      <c r="K36" s="74">
        <v>0</v>
      </c>
      <c r="L36" s="74">
        <v>0</v>
      </c>
      <c r="M36" s="74">
        <v>0</v>
      </c>
      <c r="N36" s="74">
        <v>0</v>
      </c>
      <c r="O36" s="74">
        <v>0</v>
      </c>
      <c r="P36" s="56">
        <v>0.3</v>
      </c>
      <c r="Q36" s="180"/>
      <c r="R36" s="180"/>
      <c r="S36" s="180"/>
    </row>
    <row r="37" spans="4:19" x14ac:dyDescent="0.35">
      <c r="D37" s="6"/>
      <c r="E37" s="801"/>
      <c r="F37" s="32" t="s">
        <v>21</v>
      </c>
      <c r="G37" s="76">
        <v>0</v>
      </c>
      <c r="H37" s="77">
        <v>230.3</v>
      </c>
      <c r="I37" s="77">
        <v>40.1</v>
      </c>
      <c r="J37" s="77">
        <v>0</v>
      </c>
      <c r="K37" s="77">
        <v>0</v>
      </c>
      <c r="L37" s="77">
        <v>0</v>
      </c>
      <c r="M37" s="77">
        <v>0</v>
      </c>
      <c r="N37" s="77">
        <v>0</v>
      </c>
      <c r="O37" s="77">
        <v>0</v>
      </c>
      <c r="P37" s="56">
        <v>270.39999999999998</v>
      </c>
      <c r="Q37" s="180"/>
      <c r="R37" s="180"/>
      <c r="S37" s="180"/>
    </row>
    <row r="38" spans="4:19" ht="15" thickBot="1" x14ac:dyDescent="0.4">
      <c r="D38" s="6"/>
      <c r="E38" s="802"/>
      <c r="F38" s="117" t="s">
        <v>49</v>
      </c>
      <c r="G38" s="181">
        <v>2.7</v>
      </c>
      <c r="H38" s="181">
        <v>1213.0999999999999</v>
      </c>
      <c r="I38" s="181">
        <v>714.1</v>
      </c>
      <c r="J38" s="181">
        <v>107.9</v>
      </c>
      <c r="K38" s="181">
        <v>11.6</v>
      </c>
      <c r="L38" s="181">
        <v>0</v>
      </c>
      <c r="M38" s="181">
        <v>0</v>
      </c>
      <c r="N38" s="181">
        <v>0</v>
      </c>
      <c r="O38" s="181">
        <v>0.4</v>
      </c>
      <c r="P38" s="54">
        <v>2049.7999999999997</v>
      </c>
      <c r="Q38" s="180"/>
      <c r="R38" s="180"/>
      <c r="S38" s="180"/>
    </row>
    <row r="39" spans="4:19" x14ac:dyDescent="0.35">
      <c r="D39" s="6"/>
      <c r="E39" s="800" t="s">
        <v>22</v>
      </c>
      <c r="F39" s="119" t="s">
        <v>23</v>
      </c>
      <c r="G39" s="73">
        <v>266</v>
      </c>
      <c r="H39" s="74">
        <v>460.6</v>
      </c>
      <c r="I39" s="74">
        <v>124.5</v>
      </c>
      <c r="J39" s="74">
        <v>3.8</v>
      </c>
      <c r="K39" s="74">
        <v>0</v>
      </c>
      <c r="L39" s="74">
        <v>0</v>
      </c>
      <c r="M39" s="74">
        <v>0</v>
      </c>
      <c r="N39" s="74">
        <v>0</v>
      </c>
      <c r="O39" s="74">
        <v>0</v>
      </c>
      <c r="P39" s="56">
        <v>854.9</v>
      </c>
      <c r="Q39" s="180"/>
      <c r="R39" s="180"/>
      <c r="S39" s="180"/>
    </row>
    <row r="40" spans="4:19" x14ac:dyDescent="0.35">
      <c r="D40" s="6"/>
      <c r="E40" s="801"/>
      <c r="F40" s="119" t="s">
        <v>24</v>
      </c>
      <c r="G40" s="73">
        <v>130.1</v>
      </c>
      <c r="H40" s="74">
        <v>559.6</v>
      </c>
      <c r="I40" s="74">
        <v>215.2</v>
      </c>
      <c r="J40" s="74">
        <v>19.3</v>
      </c>
      <c r="K40" s="74">
        <v>0</v>
      </c>
      <c r="L40" s="74">
        <v>0</v>
      </c>
      <c r="M40" s="74">
        <v>0</v>
      </c>
      <c r="N40" s="74">
        <v>0</v>
      </c>
      <c r="O40" s="74">
        <v>0</v>
      </c>
      <c r="P40" s="56">
        <v>924.2</v>
      </c>
      <c r="Q40" s="180"/>
      <c r="R40" s="180"/>
      <c r="S40" s="180"/>
    </row>
    <row r="41" spans="4:19" x14ac:dyDescent="0.35">
      <c r="D41" s="6"/>
      <c r="E41" s="801"/>
      <c r="F41" s="119" t="s">
        <v>25</v>
      </c>
      <c r="G41" s="73">
        <v>944.8</v>
      </c>
      <c r="H41" s="74">
        <v>6028.1</v>
      </c>
      <c r="I41" s="74">
        <v>3896.4</v>
      </c>
      <c r="J41" s="74">
        <v>1010</v>
      </c>
      <c r="K41" s="74">
        <v>12.7</v>
      </c>
      <c r="L41" s="74">
        <v>0</v>
      </c>
      <c r="M41" s="74">
        <v>0</v>
      </c>
      <c r="N41" s="74">
        <v>0</v>
      </c>
      <c r="O41" s="74">
        <v>56.9</v>
      </c>
      <c r="P41" s="56">
        <v>11948.9</v>
      </c>
      <c r="Q41" s="180"/>
      <c r="R41" s="180"/>
      <c r="S41" s="180"/>
    </row>
    <row r="42" spans="4:19" x14ac:dyDescent="0.35">
      <c r="D42" s="6"/>
      <c r="E42" s="801"/>
      <c r="F42" s="32" t="s">
        <v>26</v>
      </c>
      <c r="G42" s="76">
        <v>2277</v>
      </c>
      <c r="H42" s="77">
        <v>8841.1</v>
      </c>
      <c r="I42" s="77">
        <v>6006</v>
      </c>
      <c r="J42" s="77">
        <v>4673.8</v>
      </c>
      <c r="K42" s="77">
        <v>2746.3</v>
      </c>
      <c r="L42" s="77">
        <v>616.5</v>
      </c>
      <c r="M42" s="77">
        <v>82</v>
      </c>
      <c r="N42" s="77">
        <v>0</v>
      </c>
      <c r="O42" s="77">
        <v>40.4</v>
      </c>
      <c r="P42" s="56">
        <v>25283.1</v>
      </c>
      <c r="Q42" s="180"/>
      <c r="R42" s="180"/>
      <c r="S42" s="180"/>
    </row>
    <row r="43" spans="4:19" ht="15" thickBot="1" x14ac:dyDescent="0.4">
      <c r="D43" s="6"/>
      <c r="E43" s="802"/>
      <c r="F43" s="117" t="s">
        <v>49</v>
      </c>
      <c r="G43" s="181">
        <v>3617.9</v>
      </c>
      <c r="H43" s="181">
        <v>15889.400000000001</v>
      </c>
      <c r="I43" s="181">
        <v>10242.1</v>
      </c>
      <c r="J43" s="181">
        <v>5706.9</v>
      </c>
      <c r="K43" s="181">
        <v>2759</v>
      </c>
      <c r="L43" s="181">
        <v>616.5</v>
      </c>
      <c r="M43" s="181">
        <v>82</v>
      </c>
      <c r="N43" s="181">
        <v>0</v>
      </c>
      <c r="O43" s="181">
        <v>97.3</v>
      </c>
      <c r="P43" s="54">
        <v>39011.1</v>
      </c>
      <c r="Q43" s="180"/>
      <c r="R43" s="180"/>
      <c r="S43" s="180"/>
    </row>
    <row r="44" spans="4:19" x14ac:dyDescent="0.35">
      <c r="D44" s="6"/>
      <c r="E44" s="800" t="s">
        <v>27</v>
      </c>
      <c r="F44" s="28" t="s">
        <v>28</v>
      </c>
      <c r="G44" s="73">
        <v>4929.1000000000004</v>
      </c>
      <c r="H44" s="74">
        <v>24461.9</v>
      </c>
      <c r="I44" s="74">
        <v>28229.3</v>
      </c>
      <c r="J44" s="74">
        <v>8956.7999999999993</v>
      </c>
      <c r="K44" s="74">
        <v>767.7</v>
      </c>
      <c r="L44" s="74">
        <v>60.5</v>
      </c>
      <c r="M44" s="74">
        <v>0</v>
      </c>
      <c r="N44" s="74">
        <v>0</v>
      </c>
      <c r="O44" s="74">
        <v>101.7</v>
      </c>
      <c r="P44" s="56">
        <v>67507</v>
      </c>
      <c r="Q44" s="180"/>
      <c r="R44" s="180"/>
      <c r="S44" s="180"/>
    </row>
    <row r="45" spans="4:19" x14ac:dyDescent="0.35">
      <c r="D45" s="6"/>
      <c r="E45" s="801"/>
      <c r="F45" s="32" t="s">
        <v>79</v>
      </c>
      <c r="G45" s="76">
        <v>1241.7</v>
      </c>
      <c r="H45" s="77">
        <v>5384.1</v>
      </c>
      <c r="I45" s="77">
        <v>3533.8</v>
      </c>
      <c r="J45" s="77">
        <v>698.1</v>
      </c>
      <c r="K45" s="77">
        <v>68</v>
      </c>
      <c r="L45" s="77">
        <v>0</v>
      </c>
      <c r="M45" s="77">
        <v>0</v>
      </c>
      <c r="N45" s="77">
        <v>0</v>
      </c>
      <c r="O45" s="77">
        <v>1.2</v>
      </c>
      <c r="P45" s="57">
        <v>10926.9</v>
      </c>
      <c r="Q45" s="180"/>
      <c r="R45" s="180"/>
      <c r="S45" s="180"/>
    </row>
    <row r="46" spans="4:19" ht="15" thickBot="1" x14ac:dyDescent="0.4">
      <c r="D46" s="6"/>
      <c r="E46" s="802"/>
      <c r="F46" s="117" t="s">
        <v>49</v>
      </c>
      <c r="G46" s="181">
        <v>6170.8</v>
      </c>
      <c r="H46" s="181">
        <v>29846</v>
      </c>
      <c r="I46" s="181">
        <v>31763.1</v>
      </c>
      <c r="J46" s="181">
        <v>9654.9</v>
      </c>
      <c r="K46" s="181">
        <v>835.7</v>
      </c>
      <c r="L46" s="181">
        <v>60.5</v>
      </c>
      <c r="M46" s="181">
        <v>0</v>
      </c>
      <c r="N46" s="181">
        <v>0</v>
      </c>
      <c r="O46" s="181">
        <v>102.9</v>
      </c>
      <c r="P46" s="59">
        <v>78433.899999999994</v>
      </c>
      <c r="Q46" s="180"/>
      <c r="R46" s="180"/>
      <c r="S46" s="180"/>
    </row>
    <row r="47" spans="4:19" x14ac:dyDescent="0.35">
      <c r="D47" s="6"/>
      <c r="E47" s="800" t="s">
        <v>29</v>
      </c>
      <c r="F47" s="40" t="s">
        <v>30</v>
      </c>
      <c r="G47" s="182">
        <v>1.2</v>
      </c>
      <c r="H47" s="89">
        <v>4</v>
      </c>
      <c r="I47" s="89">
        <v>7.2</v>
      </c>
      <c r="J47" s="89">
        <v>0</v>
      </c>
      <c r="K47" s="89">
        <v>0</v>
      </c>
      <c r="L47" s="89">
        <v>0</v>
      </c>
      <c r="M47" s="89">
        <v>0</v>
      </c>
      <c r="N47" s="89">
        <v>0</v>
      </c>
      <c r="O47" s="89">
        <v>0</v>
      </c>
      <c r="P47" s="57">
        <v>12.4</v>
      </c>
      <c r="Q47" s="180"/>
      <c r="R47" s="180"/>
      <c r="S47" s="180"/>
    </row>
    <row r="48" spans="4:19" ht="15" thickBot="1" x14ac:dyDescent="0.4">
      <c r="D48" s="6"/>
      <c r="E48" s="802"/>
      <c r="F48" s="117" t="s">
        <v>49</v>
      </c>
      <c r="G48" s="181">
        <v>1.2</v>
      </c>
      <c r="H48" s="181">
        <v>4</v>
      </c>
      <c r="I48" s="181">
        <v>7.2</v>
      </c>
      <c r="J48" s="181">
        <v>0</v>
      </c>
      <c r="K48" s="181">
        <v>0</v>
      </c>
      <c r="L48" s="181">
        <v>0</v>
      </c>
      <c r="M48" s="181">
        <v>0</v>
      </c>
      <c r="N48" s="181">
        <v>0</v>
      </c>
      <c r="O48" s="181">
        <v>0</v>
      </c>
      <c r="P48" s="59">
        <v>12.4</v>
      </c>
      <c r="Q48" s="180"/>
      <c r="R48" s="180"/>
      <c r="S48" s="180"/>
    </row>
    <row r="49" spans="4:19" x14ac:dyDescent="0.35">
      <c r="D49" s="6"/>
      <c r="E49" s="800" t="s">
        <v>31</v>
      </c>
      <c r="F49" s="40" t="s">
        <v>31</v>
      </c>
      <c r="G49" s="182">
        <v>63.1</v>
      </c>
      <c r="H49" s="89">
        <v>1506</v>
      </c>
      <c r="I49" s="89">
        <v>773.6</v>
      </c>
      <c r="J49" s="89">
        <v>15.9</v>
      </c>
      <c r="K49" s="89">
        <v>0</v>
      </c>
      <c r="L49" s="89">
        <v>0</v>
      </c>
      <c r="M49" s="89">
        <v>0</v>
      </c>
      <c r="N49" s="89">
        <v>0</v>
      </c>
      <c r="O49" s="89">
        <v>0</v>
      </c>
      <c r="P49" s="57">
        <v>2358.6</v>
      </c>
      <c r="Q49" s="180"/>
      <c r="R49" s="180"/>
      <c r="S49" s="180"/>
    </row>
    <row r="50" spans="4:19" ht="15" thickBot="1" x14ac:dyDescent="0.4">
      <c r="D50" s="6"/>
      <c r="E50" s="802"/>
      <c r="F50" s="117" t="s">
        <v>49</v>
      </c>
      <c r="G50" s="181">
        <v>63.1</v>
      </c>
      <c r="H50" s="181">
        <v>1506</v>
      </c>
      <c r="I50" s="181">
        <v>773.6</v>
      </c>
      <c r="J50" s="181">
        <v>15.9</v>
      </c>
      <c r="K50" s="181">
        <v>0</v>
      </c>
      <c r="L50" s="181">
        <v>0</v>
      </c>
      <c r="M50" s="181">
        <v>0</v>
      </c>
      <c r="N50" s="181">
        <v>0</v>
      </c>
      <c r="O50" s="181">
        <v>0</v>
      </c>
      <c r="P50" s="59">
        <v>2358.6</v>
      </c>
      <c r="Q50" s="180"/>
      <c r="R50" s="180"/>
      <c r="S50" s="180"/>
    </row>
    <row r="51" spans="4:19" x14ac:dyDescent="0.35">
      <c r="D51" s="6"/>
      <c r="E51" s="800" t="s">
        <v>32</v>
      </c>
      <c r="F51" s="40" t="s">
        <v>32</v>
      </c>
      <c r="G51" s="182">
        <v>10.5</v>
      </c>
      <c r="H51" s="89">
        <v>301.39999999999998</v>
      </c>
      <c r="I51" s="89">
        <v>1525.7</v>
      </c>
      <c r="J51" s="89">
        <v>1222.3</v>
      </c>
      <c r="K51" s="89">
        <v>683.2</v>
      </c>
      <c r="L51" s="89">
        <v>309</v>
      </c>
      <c r="M51" s="89">
        <v>0</v>
      </c>
      <c r="N51" s="89">
        <v>0</v>
      </c>
      <c r="O51" s="89">
        <v>8.1</v>
      </c>
      <c r="P51" s="57">
        <v>4060.2</v>
      </c>
      <c r="Q51" s="180"/>
      <c r="R51" s="180"/>
      <c r="S51" s="180"/>
    </row>
    <row r="52" spans="4:19" ht="15" thickBot="1" x14ac:dyDescent="0.4">
      <c r="D52" s="6"/>
      <c r="E52" s="802"/>
      <c r="F52" s="117" t="s">
        <v>49</v>
      </c>
      <c r="G52" s="181">
        <v>10.5</v>
      </c>
      <c r="H52" s="181">
        <v>301.39999999999998</v>
      </c>
      <c r="I52" s="181">
        <v>1525.7</v>
      </c>
      <c r="J52" s="181">
        <v>1222.3</v>
      </c>
      <c r="K52" s="181">
        <v>683.2</v>
      </c>
      <c r="L52" s="181">
        <v>309</v>
      </c>
      <c r="M52" s="181">
        <v>0</v>
      </c>
      <c r="N52" s="181">
        <v>0</v>
      </c>
      <c r="O52" s="181">
        <v>8.1</v>
      </c>
      <c r="P52" s="59">
        <v>4060.2</v>
      </c>
      <c r="Q52" s="180"/>
      <c r="R52" s="180"/>
      <c r="S52" s="180"/>
    </row>
    <row r="53" spans="4:19" x14ac:dyDescent="0.35">
      <c r="D53" s="6"/>
      <c r="E53" s="800" t="s">
        <v>33</v>
      </c>
      <c r="F53" s="40" t="s">
        <v>33</v>
      </c>
      <c r="G53" s="182">
        <v>762.5</v>
      </c>
      <c r="H53" s="89">
        <v>5937.9</v>
      </c>
      <c r="I53" s="89">
        <v>4848.7</v>
      </c>
      <c r="J53" s="89">
        <v>2510.9</v>
      </c>
      <c r="K53" s="89">
        <v>163.69999999999999</v>
      </c>
      <c r="L53" s="89">
        <v>40.799999999999997</v>
      </c>
      <c r="M53" s="89">
        <v>2</v>
      </c>
      <c r="N53" s="89">
        <v>0</v>
      </c>
      <c r="O53" s="89">
        <v>0.2</v>
      </c>
      <c r="P53" s="57">
        <v>14266.7</v>
      </c>
      <c r="Q53" s="180"/>
      <c r="R53" s="180"/>
      <c r="S53" s="180"/>
    </row>
    <row r="54" spans="4:19" ht="15" thickBot="1" x14ac:dyDescent="0.4">
      <c r="D54" s="6"/>
      <c r="E54" s="802"/>
      <c r="F54" s="117" t="s">
        <v>49</v>
      </c>
      <c r="G54" s="181">
        <v>762.5</v>
      </c>
      <c r="H54" s="181">
        <v>5937.9</v>
      </c>
      <c r="I54" s="181">
        <v>4848.7</v>
      </c>
      <c r="J54" s="181">
        <v>2510.9</v>
      </c>
      <c r="K54" s="181">
        <v>163.69999999999999</v>
      </c>
      <c r="L54" s="181">
        <v>40.799999999999997</v>
      </c>
      <c r="M54" s="181">
        <v>2</v>
      </c>
      <c r="N54" s="181">
        <v>0</v>
      </c>
      <c r="O54" s="181">
        <v>0.2</v>
      </c>
      <c r="P54" s="59">
        <v>14266.7</v>
      </c>
      <c r="Q54" s="180"/>
      <c r="R54" s="180"/>
      <c r="S54" s="180"/>
    </row>
    <row r="55" spans="4:19" x14ac:dyDescent="0.35">
      <c r="D55" s="6"/>
      <c r="E55" s="800" t="s">
        <v>34</v>
      </c>
      <c r="F55" s="40" t="s">
        <v>34</v>
      </c>
      <c r="G55" s="182">
        <v>396.2</v>
      </c>
      <c r="H55" s="89">
        <v>4128.8999999999996</v>
      </c>
      <c r="I55" s="89">
        <v>1266.4000000000001</v>
      </c>
      <c r="J55" s="89">
        <v>0</v>
      </c>
      <c r="K55" s="89">
        <v>0</v>
      </c>
      <c r="L55" s="89">
        <v>0</v>
      </c>
      <c r="M55" s="89">
        <v>0</v>
      </c>
      <c r="N55" s="89">
        <v>0</v>
      </c>
      <c r="O55" s="89">
        <v>1.7</v>
      </c>
      <c r="P55" s="57">
        <v>5793.2</v>
      </c>
      <c r="Q55" s="180"/>
      <c r="R55" s="180"/>
      <c r="S55" s="180"/>
    </row>
    <row r="56" spans="4:19" ht="15" thickBot="1" x14ac:dyDescent="0.4">
      <c r="D56" s="6"/>
      <c r="E56" s="802"/>
      <c r="F56" s="117" t="s">
        <v>49</v>
      </c>
      <c r="G56" s="181">
        <v>396.2</v>
      </c>
      <c r="H56" s="181">
        <v>4128.8999999999996</v>
      </c>
      <c r="I56" s="181">
        <v>1266.4000000000001</v>
      </c>
      <c r="J56" s="181">
        <v>0</v>
      </c>
      <c r="K56" s="181">
        <v>0</v>
      </c>
      <c r="L56" s="181">
        <v>0</v>
      </c>
      <c r="M56" s="181">
        <v>0</v>
      </c>
      <c r="N56" s="181">
        <v>0</v>
      </c>
      <c r="O56" s="181">
        <v>1.7</v>
      </c>
      <c r="P56" s="59">
        <v>5793.2</v>
      </c>
      <c r="Q56" s="180"/>
      <c r="R56" s="180"/>
      <c r="S56" s="180"/>
    </row>
    <row r="57" spans="4:19" x14ac:dyDescent="0.35">
      <c r="D57" s="6"/>
      <c r="E57" s="800" t="s">
        <v>77</v>
      </c>
      <c r="F57" s="40" t="s">
        <v>30</v>
      </c>
      <c r="G57" s="182">
        <v>0</v>
      </c>
      <c r="H57" s="89">
        <v>52.5</v>
      </c>
      <c r="I57" s="89">
        <v>28.8</v>
      </c>
      <c r="J57" s="89">
        <v>39.5</v>
      </c>
      <c r="K57" s="89">
        <v>0</v>
      </c>
      <c r="L57" s="89">
        <v>0</v>
      </c>
      <c r="M57" s="89">
        <v>0</v>
      </c>
      <c r="N57" s="89">
        <v>0</v>
      </c>
      <c r="O57" s="89">
        <v>0</v>
      </c>
      <c r="P57" s="57">
        <v>120.8</v>
      </c>
      <c r="Q57" s="180"/>
      <c r="R57" s="180"/>
      <c r="S57" s="180"/>
    </row>
    <row r="58" spans="4:19" ht="15" thickBot="1" x14ac:dyDescent="0.4">
      <c r="D58" s="6"/>
      <c r="E58" s="802"/>
      <c r="F58" s="60" t="s">
        <v>49</v>
      </c>
      <c r="G58" s="181">
        <v>0</v>
      </c>
      <c r="H58" s="181">
        <v>52.5</v>
      </c>
      <c r="I58" s="181">
        <v>28.8</v>
      </c>
      <c r="J58" s="181">
        <v>39.5</v>
      </c>
      <c r="K58" s="181">
        <v>0</v>
      </c>
      <c r="L58" s="181">
        <v>0</v>
      </c>
      <c r="M58" s="181">
        <v>0</v>
      </c>
      <c r="N58" s="181">
        <v>0</v>
      </c>
      <c r="O58" s="181">
        <v>0</v>
      </c>
      <c r="P58" s="59">
        <v>120.8</v>
      </c>
      <c r="Q58" s="180"/>
      <c r="R58" s="180"/>
      <c r="S58" s="180"/>
    </row>
    <row r="59" spans="4:19" s="16" customFormat="1" ht="16.5" customHeight="1" thickBot="1" x14ac:dyDescent="0.4">
      <c r="E59" s="828" t="s">
        <v>35</v>
      </c>
      <c r="F59" s="829"/>
      <c r="G59" s="61">
        <v>43036.5</v>
      </c>
      <c r="H59" s="61">
        <v>259842.99999999997</v>
      </c>
      <c r="I59" s="61">
        <v>424215.6</v>
      </c>
      <c r="J59" s="61">
        <v>329141.70000000013</v>
      </c>
      <c r="K59" s="61">
        <v>143029.00000000006</v>
      </c>
      <c r="L59" s="61">
        <v>84778.7</v>
      </c>
      <c r="M59" s="61">
        <v>12180.600000000002</v>
      </c>
      <c r="N59" s="61">
        <v>1425.6999999999998</v>
      </c>
      <c r="O59" s="61">
        <v>3284.7</v>
      </c>
      <c r="P59" s="61">
        <v>1300935.5</v>
      </c>
      <c r="Q59" s="180"/>
      <c r="R59" s="180"/>
      <c r="S59" s="289"/>
    </row>
    <row r="60" spans="4:19" ht="6" customHeight="1" x14ac:dyDescent="0.35">
      <c r="E60" s="791"/>
      <c r="F60" s="833"/>
      <c r="G60" s="833"/>
      <c r="H60" s="833"/>
      <c r="I60" s="833"/>
      <c r="J60" s="833"/>
      <c r="K60" s="833"/>
      <c r="L60" s="833"/>
      <c r="M60" s="833"/>
      <c r="N60" s="833"/>
      <c r="O60" s="833"/>
      <c r="P60" s="833"/>
    </row>
    <row r="61" spans="4:19" x14ac:dyDescent="0.35">
      <c r="E61" s="830" t="s">
        <v>86</v>
      </c>
      <c r="F61" s="831"/>
      <c r="G61" s="831"/>
      <c r="H61" s="831"/>
      <c r="I61" s="831"/>
      <c r="J61" s="831"/>
      <c r="K61" s="831"/>
      <c r="L61" s="831"/>
      <c r="M61" s="831"/>
      <c r="N61" s="831"/>
      <c r="O61" s="831"/>
      <c r="P61" s="831"/>
      <c r="Q61" s="180"/>
    </row>
    <row r="62" spans="4:19" ht="13.5" customHeight="1" x14ac:dyDescent="0.35">
      <c r="E62" s="826" t="s">
        <v>119</v>
      </c>
      <c r="F62" s="827"/>
      <c r="G62" s="827"/>
      <c r="H62" s="827"/>
      <c r="I62" s="827"/>
      <c r="J62" s="827"/>
      <c r="K62" s="827"/>
      <c r="L62" s="827"/>
      <c r="M62" s="827"/>
      <c r="N62" s="827"/>
      <c r="O62" s="827"/>
      <c r="P62" s="827"/>
    </row>
    <row r="63" spans="4:19" x14ac:dyDescent="0.35">
      <c r="G63" s="180"/>
      <c r="H63" s="180"/>
      <c r="I63" s="180"/>
      <c r="J63" s="180"/>
      <c r="K63" s="180"/>
      <c r="L63" s="180"/>
      <c r="M63" s="180"/>
      <c r="N63" s="180"/>
      <c r="O63" s="180"/>
      <c r="P63" s="180"/>
      <c r="R63" s="240"/>
    </row>
    <row r="64" spans="4:19" x14ac:dyDescent="0.35">
      <c r="H64" s="180"/>
      <c r="I64" s="180"/>
      <c r="J64" s="180"/>
      <c r="K64" s="180"/>
      <c r="L64" s="180"/>
      <c r="M64" s="180"/>
      <c r="N64" s="180"/>
      <c r="O64" s="180"/>
      <c r="P64" s="180"/>
    </row>
  </sheetData>
  <customSheetViews>
    <customSheetView guid="{6654F670-CAA9-4C4A-B3D9-226402FC46BC}" showPageBreaks="1" printArea="1" view="pageLayout" topLeftCell="D1">
      <selection activeCell="G5" sqref="G5:P59"/>
      <pageMargins left="0.70866141732283472" right="0.70866141732283472" top="0.70023148148148151" bottom="0.49652777777777779" header="0.31496062992125984" footer="0.31496062992125984"/>
      <pageSetup paperSize="9" scale="55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howPageBreaks="1" printArea="1" view="pageLayout" topLeftCell="D1">
      <selection activeCell="G5" sqref="G5:P59"/>
      <pageMargins left="0.70866141732283472" right="0.70866141732283472" top="0.70023148148148151" bottom="0.49652777777777779" header="0.31496062992125984" footer="0.31496062992125984"/>
      <pageSetup paperSize="9" scale="55" orientation="landscape"/>
      <headerFooter>
        <oddHeader>&amp;L&amp;G&amp;RCAMPAÑA: 2025/2026. MES: JULIO
Fecha de emisión de datos: 25/08/2026</oddHeader>
      </headerFooter>
    </customSheetView>
  </customSheetViews>
  <mergeCells count="20">
    <mergeCell ref="E1:P3"/>
    <mergeCell ref="E60:P60"/>
    <mergeCell ref="E27:E32"/>
    <mergeCell ref="E5:E13"/>
    <mergeCell ref="E14:E17"/>
    <mergeCell ref="E18:E19"/>
    <mergeCell ref="E20:E23"/>
    <mergeCell ref="E24:E26"/>
    <mergeCell ref="E62:P62"/>
    <mergeCell ref="E33:E38"/>
    <mergeCell ref="E39:E43"/>
    <mergeCell ref="E44:E46"/>
    <mergeCell ref="E47:E48"/>
    <mergeCell ref="E49:E50"/>
    <mergeCell ref="E51:E52"/>
    <mergeCell ref="E53:E54"/>
    <mergeCell ref="E55:E56"/>
    <mergeCell ref="E57:E58"/>
    <mergeCell ref="E59:F59"/>
    <mergeCell ref="E61:P61"/>
  </mergeCells>
  <pageMargins left="0.70866141732283472" right="0.70866141732283472" top="0.70023148148148151" bottom="0.49652777777777779" header="0.31496062992125984" footer="0.31496062992125984"/>
  <pageSetup paperSize="9" scale="55" orientation="landscape" r:id="rId1"/>
  <headerFooter>
    <oddHeader>&amp;L&amp;G&amp;RCAMPAÑA: 2025/2026. MES: JULIO
Fecha de emisión de datos: 25/08/2026</oddHead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D2:Q67"/>
  <sheetViews>
    <sheetView view="pageLayout" topLeftCell="C1" zoomScale="90" zoomScaleNormal="50" zoomScaleSheetLayoutView="100" zoomScalePageLayoutView="90" workbookViewId="0">
      <selection activeCell="E2" sqref="E2:P4"/>
    </sheetView>
  </sheetViews>
  <sheetFormatPr baseColWidth="10" defaultColWidth="11.453125" defaultRowHeight="14.5" x14ac:dyDescent="0.35"/>
  <cols>
    <col min="5" max="5" width="26.7265625" customWidth="1"/>
    <col min="6" max="6" width="22" customWidth="1"/>
    <col min="9" max="11" width="11.453125" customWidth="1"/>
    <col min="12" max="12" width="13.26953125" style="16" bestFit="1" customWidth="1"/>
    <col min="13" max="13" width="11.453125" style="16"/>
    <col min="14" max="15" width="11.453125" style="16" customWidth="1"/>
    <col min="16" max="16" width="11.453125" customWidth="1"/>
  </cols>
  <sheetData>
    <row r="2" spans="4:16" ht="15" customHeight="1" x14ac:dyDescent="0.35">
      <c r="E2" s="761" t="s">
        <v>125</v>
      </c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</row>
    <row r="3" spans="4:16" ht="15" customHeight="1" x14ac:dyDescent="0.35"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</row>
    <row r="4" spans="4:16" ht="20.25" customHeight="1" x14ac:dyDescent="0.35">
      <c r="E4" s="761"/>
      <c r="F4" s="761"/>
      <c r="G4" s="761"/>
      <c r="H4" s="761"/>
      <c r="I4" s="761"/>
      <c r="J4" s="761"/>
      <c r="K4" s="761"/>
      <c r="L4" s="761"/>
      <c r="M4" s="761"/>
      <c r="N4" s="761"/>
      <c r="O4" s="761"/>
      <c r="P4" s="761"/>
    </row>
    <row r="5" spans="4:16" ht="15.75" customHeight="1" thickBot="1" x14ac:dyDescent="0.4">
      <c r="G5" s="11"/>
      <c r="H5" s="11"/>
      <c r="I5" s="11"/>
      <c r="J5" s="11"/>
      <c r="K5" s="11"/>
      <c r="L5" s="19"/>
      <c r="M5" s="20"/>
      <c r="N5" s="21"/>
      <c r="O5" s="21"/>
    </row>
    <row r="6" spans="4:16" ht="15" thickBot="1" x14ac:dyDescent="0.4">
      <c r="E6" s="64"/>
      <c r="F6" s="64"/>
      <c r="G6" s="805" t="s">
        <v>102</v>
      </c>
      <c r="H6" s="845"/>
      <c r="I6" s="845"/>
      <c r="J6" s="845"/>
      <c r="K6" s="846"/>
      <c r="L6" s="845" t="s">
        <v>71</v>
      </c>
      <c r="M6" s="845"/>
      <c r="N6" s="845"/>
      <c r="O6" s="845"/>
      <c r="P6" s="846"/>
    </row>
    <row r="7" spans="4:16" ht="15" thickBot="1" x14ac:dyDescent="0.4">
      <c r="E7" s="65"/>
      <c r="F7" s="64"/>
      <c r="G7" s="66" t="s">
        <v>60</v>
      </c>
      <c r="H7" s="847" t="s">
        <v>101</v>
      </c>
      <c r="I7" s="848"/>
      <c r="J7" s="847" t="s">
        <v>98</v>
      </c>
      <c r="K7" s="848"/>
      <c r="L7" s="67" t="s">
        <v>60</v>
      </c>
      <c r="M7" s="849" t="s">
        <v>101</v>
      </c>
      <c r="N7" s="850"/>
      <c r="O7" s="847" t="s">
        <v>98</v>
      </c>
      <c r="P7" s="848"/>
    </row>
    <row r="8" spans="4:16" ht="15" thickBot="1" x14ac:dyDescent="0.4">
      <c r="D8" s="6"/>
      <c r="E8" s="268" t="s">
        <v>54</v>
      </c>
      <c r="F8" s="268" t="s">
        <v>4</v>
      </c>
      <c r="G8" s="68" t="s">
        <v>129</v>
      </c>
      <c r="H8" s="264" t="s">
        <v>129</v>
      </c>
      <c r="I8" s="66" t="s">
        <v>97</v>
      </c>
      <c r="J8" s="66" t="s">
        <v>129</v>
      </c>
      <c r="K8" s="66" t="s">
        <v>97</v>
      </c>
      <c r="L8" s="69" t="s">
        <v>136</v>
      </c>
      <c r="M8" s="69" t="s">
        <v>136</v>
      </c>
      <c r="N8" s="266" t="s">
        <v>97</v>
      </c>
      <c r="O8" s="69" t="s">
        <v>136</v>
      </c>
      <c r="P8" s="265" t="s">
        <v>97</v>
      </c>
    </row>
    <row r="9" spans="4:16" x14ac:dyDescent="0.35">
      <c r="D9" s="6"/>
      <c r="E9" s="800" t="s">
        <v>74</v>
      </c>
      <c r="F9" s="70" t="s">
        <v>80</v>
      </c>
      <c r="G9" s="183">
        <v>28</v>
      </c>
      <c r="H9" s="184">
        <v>5</v>
      </c>
      <c r="I9" s="256">
        <v>0.17857142857142858</v>
      </c>
      <c r="J9" s="185">
        <v>23</v>
      </c>
      <c r="K9" s="186">
        <v>0.8214285714285714</v>
      </c>
      <c r="L9" s="71">
        <v>16130</v>
      </c>
      <c r="M9" s="72">
        <v>2666</v>
      </c>
      <c r="N9" s="256">
        <v>0.16528208307501549</v>
      </c>
      <c r="O9" s="72">
        <v>13464</v>
      </c>
      <c r="P9" s="187">
        <v>0.83471791692498454</v>
      </c>
    </row>
    <row r="10" spans="4:16" x14ac:dyDescent="0.35">
      <c r="D10" s="6"/>
      <c r="E10" s="843"/>
      <c r="F10" s="267" t="s">
        <v>81</v>
      </c>
      <c r="G10" s="188">
        <v>20</v>
      </c>
      <c r="H10" s="189">
        <v>4</v>
      </c>
      <c r="I10" s="256">
        <v>0.2</v>
      </c>
      <c r="J10" s="190">
        <v>16</v>
      </c>
      <c r="K10" s="186">
        <v>0.8</v>
      </c>
      <c r="L10" s="73">
        <v>15013</v>
      </c>
      <c r="M10" s="74">
        <v>11948.9</v>
      </c>
      <c r="N10" s="256">
        <v>0.79590355025644444</v>
      </c>
      <c r="O10" s="74">
        <v>3064.1</v>
      </c>
      <c r="P10" s="191">
        <v>0.20409644974355559</v>
      </c>
    </row>
    <row r="11" spans="4:16" x14ac:dyDescent="0.35">
      <c r="D11" s="6"/>
      <c r="E11" s="843"/>
      <c r="F11" s="267" t="s">
        <v>82</v>
      </c>
      <c r="G11" s="188">
        <v>179</v>
      </c>
      <c r="H11" s="189">
        <v>70</v>
      </c>
      <c r="I11" s="256">
        <v>0.39106145251396646</v>
      </c>
      <c r="J11" s="190">
        <v>109</v>
      </c>
      <c r="K11" s="186">
        <v>0.60893854748603349</v>
      </c>
      <c r="L11" s="73">
        <v>246735.40000000002</v>
      </c>
      <c r="M11" s="74">
        <v>134527.20000000001</v>
      </c>
      <c r="N11" s="256">
        <v>0.54522861332423311</v>
      </c>
      <c r="O11" s="74">
        <v>112208.2</v>
      </c>
      <c r="P11" s="191">
        <v>0.45477138667576678</v>
      </c>
    </row>
    <row r="12" spans="4:16" x14ac:dyDescent="0.35">
      <c r="D12" s="6"/>
      <c r="E12" s="843"/>
      <c r="F12" s="267" t="s">
        <v>6</v>
      </c>
      <c r="G12" s="188">
        <v>104</v>
      </c>
      <c r="H12" s="189">
        <v>47</v>
      </c>
      <c r="I12" s="256">
        <v>0.45192307692307693</v>
      </c>
      <c r="J12" s="190">
        <v>57</v>
      </c>
      <c r="K12" s="186">
        <v>0.54807692307692313</v>
      </c>
      <c r="L12" s="73">
        <v>107297.79999999999</v>
      </c>
      <c r="M12" s="74">
        <v>72882.7</v>
      </c>
      <c r="N12" s="256">
        <v>0.67925623824533221</v>
      </c>
      <c r="O12" s="74">
        <v>34415.1</v>
      </c>
      <c r="P12" s="191">
        <v>0.32074376175466784</v>
      </c>
    </row>
    <row r="13" spans="4:16" x14ac:dyDescent="0.35">
      <c r="D13" s="6"/>
      <c r="E13" s="843"/>
      <c r="F13" s="267" t="s">
        <v>7</v>
      </c>
      <c r="G13" s="188">
        <v>20</v>
      </c>
      <c r="H13" s="189">
        <v>14</v>
      </c>
      <c r="I13" s="256">
        <v>0.7</v>
      </c>
      <c r="J13" s="190">
        <v>6</v>
      </c>
      <c r="K13" s="186">
        <v>0.3</v>
      </c>
      <c r="L13" s="73">
        <v>15212.4</v>
      </c>
      <c r="M13" s="74">
        <v>5826.4</v>
      </c>
      <c r="N13" s="256">
        <v>0.38300333938103126</v>
      </c>
      <c r="O13" s="74">
        <v>9386</v>
      </c>
      <c r="P13" s="191">
        <v>0.61699666061896874</v>
      </c>
    </row>
    <row r="14" spans="4:16" x14ac:dyDescent="0.35">
      <c r="D14" s="6"/>
      <c r="E14" s="843"/>
      <c r="F14" s="267" t="s">
        <v>83</v>
      </c>
      <c r="G14" s="188">
        <v>323</v>
      </c>
      <c r="H14" s="189">
        <v>179</v>
      </c>
      <c r="I14" s="256">
        <v>0.55417956656346745</v>
      </c>
      <c r="J14" s="190">
        <v>144</v>
      </c>
      <c r="K14" s="186">
        <v>0.44582043343653249</v>
      </c>
      <c r="L14" s="73">
        <v>389086.1</v>
      </c>
      <c r="M14" s="74">
        <v>269642.8</v>
      </c>
      <c r="N14" s="256">
        <v>0.69301576180696256</v>
      </c>
      <c r="O14" s="74">
        <v>119443.3</v>
      </c>
      <c r="P14" s="191">
        <v>0.3069842381930375</v>
      </c>
    </row>
    <row r="15" spans="4:16" x14ac:dyDescent="0.35">
      <c r="D15" s="6"/>
      <c r="E15" s="843"/>
      <c r="F15" s="267" t="s">
        <v>84</v>
      </c>
      <c r="G15" s="188">
        <v>79</v>
      </c>
      <c r="H15" s="189">
        <v>41</v>
      </c>
      <c r="I15" s="256">
        <v>0.51898734177215189</v>
      </c>
      <c r="J15" s="190">
        <v>38</v>
      </c>
      <c r="K15" s="186">
        <v>0.48101265822784811</v>
      </c>
      <c r="L15" s="73">
        <v>59163.6</v>
      </c>
      <c r="M15" s="74">
        <v>50969.5</v>
      </c>
      <c r="N15" s="256">
        <v>0.86150099047387252</v>
      </c>
      <c r="O15" s="74">
        <v>8194.1</v>
      </c>
      <c r="P15" s="191">
        <v>0.13849900952612756</v>
      </c>
    </row>
    <row r="16" spans="4:16" x14ac:dyDescent="0.35">
      <c r="D16" s="6"/>
      <c r="E16" s="843"/>
      <c r="F16" s="75" t="s">
        <v>8</v>
      </c>
      <c r="G16" s="192">
        <v>89</v>
      </c>
      <c r="H16" s="193">
        <v>49</v>
      </c>
      <c r="I16" s="256">
        <v>0.550561797752809</v>
      </c>
      <c r="J16" s="194">
        <v>40</v>
      </c>
      <c r="K16" s="186">
        <v>0.449438202247191</v>
      </c>
      <c r="L16" s="76">
        <v>126002.29999999999</v>
      </c>
      <c r="M16" s="77">
        <v>83299.199999999997</v>
      </c>
      <c r="N16" s="256">
        <v>0.66109269433970652</v>
      </c>
      <c r="O16" s="77">
        <v>42703.1</v>
      </c>
      <c r="P16" s="195">
        <v>0.33890730566029353</v>
      </c>
    </row>
    <row r="17" spans="4:16" s="18" customFormat="1" ht="15" thickBot="1" x14ac:dyDescent="0.4">
      <c r="D17" s="17"/>
      <c r="E17" s="844"/>
      <c r="F17" s="262" t="s">
        <v>99</v>
      </c>
      <c r="G17" s="78">
        <v>842</v>
      </c>
      <c r="H17" s="79">
        <v>409</v>
      </c>
      <c r="I17" s="257">
        <v>0.48574821852731592</v>
      </c>
      <c r="J17" s="80">
        <v>433</v>
      </c>
      <c r="K17" s="81">
        <v>0.51425178147268413</v>
      </c>
      <c r="L17" s="82">
        <v>974640.59999999986</v>
      </c>
      <c r="M17" s="82">
        <v>631762.69999999995</v>
      </c>
      <c r="N17" s="257">
        <v>0.64820068033283251</v>
      </c>
      <c r="O17" s="82">
        <v>342877.89999999997</v>
      </c>
      <c r="P17" s="83">
        <v>0.3517993196671676</v>
      </c>
    </row>
    <row r="18" spans="4:16" x14ac:dyDescent="0.35">
      <c r="E18" s="762" t="s">
        <v>75</v>
      </c>
      <c r="F18" s="267" t="s">
        <v>10</v>
      </c>
      <c r="G18" s="188">
        <v>27</v>
      </c>
      <c r="H18" s="189">
        <v>10</v>
      </c>
      <c r="I18" s="256">
        <v>0.37037037037037035</v>
      </c>
      <c r="J18" s="189">
        <v>17</v>
      </c>
      <c r="K18" s="186">
        <v>0.62962962962962965</v>
      </c>
      <c r="L18" s="74">
        <v>2175.8000000000002</v>
      </c>
      <c r="M18" s="74">
        <v>654.79999999999995</v>
      </c>
      <c r="N18" s="256">
        <v>0.30094677819652538</v>
      </c>
      <c r="O18" s="74">
        <v>1521</v>
      </c>
      <c r="P18" s="196">
        <v>0.69905322180347451</v>
      </c>
    </row>
    <row r="19" spans="4:16" x14ac:dyDescent="0.35">
      <c r="E19" s="836"/>
      <c r="F19" s="267" t="s">
        <v>11</v>
      </c>
      <c r="G19" s="188">
        <v>28</v>
      </c>
      <c r="H19" s="189">
        <v>14</v>
      </c>
      <c r="I19" s="256">
        <v>0.5</v>
      </c>
      <c r="J19" s="189">
        <v>14</v>
      </c>
      <c r="K19" s="186">
        <v>0.5</v>
      </c>
      <c r="L19" s="74">
        <v>9289.0999999999985</v>
      </c>
      <c r="M19" s="74">
        <v>4473.7</v>
      </c>
      <c r="N19" s="256">
        <v>0.4816074754281901</v>
      </c>
      <c r="O19" s="74">
        <v>4815.3999999999996</v>
      </c>
      <c r="P19" s="196">
        <v>0.51839252457181006</v>
      </c>
    </row>
    <row r="20" spans="4:16" x14ac:dyDescent="0.35">
      <c r="E20" s="836"/>
      <c r="F20" s="75" t="s">
        <v>12</v>
      </c>
      <c r="G20" s="192">
        <v>41</v>
      </c>
      <c r="H20" s="193">
        <v>24</v>
      </c>
      <c r="I20" s="256">
        <v>0.58536585365853655</v>
      </c>
      <c r="J20" s="193">
        <v>17</v>
      </c>
      <c r="K20" s="186">
        <v>0.41463414634146339</v>
      </c>
      <c r="L20" s="77">
        <v>5650.1</v>
      </c>
      <c r="M20" s="77">
        <v>2627.1</v>
      </c>
      <c r="N20" s="256">
        <v>0.46496522185448041</v>
      </c>
      <c r="O20" s="77">
        <v>3023</v>
      </c>
      <c r="P20" s="197">
        <v>0.53503477814551947</v>
      </c>
    </row>
    <row r="21" spans="4:16" s="18" customFormat="1" ht="15" thickBot="1" x14ac:dyDescent="0.4">
      <c r="E21" s="837"/>
      <c r="F21" s="262" t="s">
        <v>99</v>
      </c>
      <c r="G21" s="78">
        <v>96</v>
      </c>
      <c r="H21" s="84">
        <v>48</v>
      </c>
      <c r="I21" s="257">
        <v>0.5</v>
      </c>
      <c r="J21" s="85">
        <v>48</v>
      </c>
      <c r="K21" s="81">
        <v>0.5</v>
      </c>
      <c r="L21" s="86">
        <v>17115</v>
      </c>
      <c r="M21" s="86">
        <v>7755.6</v>
      </c>
      <c r="N21" s="257">
        <v>0.4531463628396144</v>
      </c>
      <c r="O21" s="86">
        <v>9359.4</v>
      </c>
      <c r="P21" s="83">
        <v>0.5468536371603856</v>
      </c>
    </row>
    <row r="22" spans="4:16" x14ac:dyDescent="0.35">
      <c r="E22" s="762" t="s">
        <v>13</v>
      </c>
      <c r="F22" s="87" t="s">
        <v>13</v>
      </c>
      <c r="G22" s="198">
        <v>25</v>
      </c>
      <c r="H22" s="199">
        <v>5</v>
      </c>
      <c r="I22" s="256">
        <v>0.2</v>
      </c>
      <c r="J22" s="189">
        <v>20</v>
      </c>
      <c r="K22" s="186">
        <v>0.8</v>
      </c>
      <c r="L22" s="74">
        <v>989.59999999999991</v>
      </c>
      <c r="M22" s="88">
        <v>400.8</v>
      </c>
      <c r="N22" s="256">
        <v>0.40501212611156029</v>
      </c>
      <c r="O22" s="74">
        <v>588.79999999999995</v>
      </c>
      <c r="P22" s="196">
        <v>0.59498787388843977</v>
      </c>
    </row>
    <row r="23" spans="4:16" s="10" customFormat="1" ht="15" thickBot="1" x14ac:dyDescent="0.4">
      <c r="E23" s="837"/>
      <c r="F23" s="262" t="s">
        <v>99</v>
      </c>
      <c r="G23" s="201">
        <v>25</v>
      </c>
      <c r="H23" s="202">
        <v>5</v>
      </c>
      <c r="I23" s="257">
        <v>0.2</v>
      </c>
      <c r="J23" s="80">
        <v>20</v>
      </c>
      <c r="K23" s="81">
        <v>0.8</v>
      </c>
      <c r="L23" s="82">
        <v>989.59999999999991</v>
      </c>
      <c r="M23" s="82">
        <v>400.8</v>
      </c>
      <c r="N23" s="257">
        <v>0.40501212611156029</v>
      </c>
      <c r="O23" s="82">
        <v>588.79999999999995</v>
      </c>
      <c r="P23" s="203">
        <v>0.59498787388843977</v>
      </c>
    </row>
    <row r="24" spans="4:16" s="10" customFormat="1" x14ac:dyDescent="0.35">
      <c r="E24" s="762" t="s">
        <v>151</v>
      </c>
      <c r="F24" s="28" t="s">
        <v>152</v>
      </c>
      <c r="G24" s="188">
        <v>8</v>
      </c>
      <c r="H24" s="189">
        <v>0</v>
      </c>
      <c r="I24" s="256">
        <v>0</v>
      </c>
      <c r="J24" s="189">
        <v>8</v>
      </c>
      <c r="K24" s="186">
        <v>1</v>
      </c>
      <c r="L24" s="74">
        <v>15.7</v>
      </c>
      <c r="M24" s="74">
        <v>0</v>
      </c>
      <c r="N24" s="256">
        <v>0</v>
      </c>
      <c r="O24" s="74">
        <v>15.7</v>
      </c>
      <c r="P24" s="196">
        <v>1</v>
      </c>
    </row>
    <row r="25" spans="4:16" s="10" customFormat="1" x14ac:dyDescent="0.35">
      <c r="E25" s="836"/>
      <c r="F25" s="32" t="s">
        <v>153</v>
      </c>
      <c r="G25" s="188">
        <v>4</v>
      </c>
      <c r="H25" s="189">
        <v>1</v>
      </c>
      <c r="I25" s="256">
        <v>0.25</v>
      </c>
      <c r="J25" s="189">
        <v>3</v>
      </c>
      <c r="K25" s="186">
        <v>0.75</v>
      </c>
      <c r="L25" s="74">
        <v>18</v>
      </c>
      <c r="M25" s="74">
        <v>16.2</v>
      </c>
      <c r="N25" s="256">
        <v>0.89999999999999991</v>
      </c>
      <c r="O25" s="74">
        <v>1.8</v>
      </c>
      <c r="P25" s="196">
        <v>0.1</v>
      </c>
    </row>
    <row r="26" spans="4:16" s="10" customFormat="1" ht="15" thickBot="1" x14ac:dyDescent="0.4">
      <c r="E26" s="837"/>
      <c r="F26" s="48" t="s">
        <v>99</v>
      </c>
      <c r="G26" s="206">
        <v>12</v>
      </c>
      <c r="H26" s="79">
        <v>1</v>
      </c>
      <c r="I26" s="257">
        <v>8.3333333333333329E-2</v>
      </c>
      <c r="J26" s="79">
        <v>11</v>
      </c>
      <c r="K26" s="81">
        <v>0.91666666666666663</v>
      </c>
      <c r="L26" s="82">
        <v>33.700000000000003</v>
      </c>
      <c r="M26" s="82">
        <v>16.2</v>
      </c>
      <c r="N26" s="257">
        <v>0.48071216617210677</v>
      </c>
      <c r="O26" s="82">
        <v>17.5</v>
      </c>
      <c r="P26" s="212">
        <v>0.51928783382789312</v>
      </c>
    </row>
    <row r="27" spans="4:16" x14ac:dyDescent="0.35">
      <c r="E27" s="762" t="s">
        <v>73</v>
      </c>
      <c r="F27" s="267" t="s">
        <v>16</v>
      </c>
      <c r="G27" s="188">
        <v>39</v>
      </c>
      <c r="H27" s="189">
        <v>14</v>
      </c>
      <c r="I27" s="256">
        <v>0.35897435897435898</v>
      </c>
      <c r="J27" s="189">
        <v>25</v>
      </c>
      <c r="K27" s="186">
        <v>0.64102564102564108</v>
      </c>
      <c r="L27" s="74">
        <v>17777.5</v>
      </c>
      <c r="M27" s="74">
        <v>7674.6</v>
      </c>
      <c r="N27" s="256">
        <v>0.43170299535930251</v>
      </c>
      <c r="O27" s="74">
        <v>10102.9</v>
      </c>
      <c r="P27" s="196">
        <v>0.56829700464069755</v>
      </c>
    </row>
    <row r="28" spans="4:16" x14ac:dyDescent="0.35">
      <c r="E28" s="836"/>
      <c r="F28" s="267" t="s">
        <v>17</v>
      </c>
      <c r="G28" s="188">
        <v>78</v>
      </c>
      <c r="H28" s="189">
        <v>43</v>
      </c>
      <c r="I28" s="256">
        <v>0.55128205128205132</v>
      </c>
      <c r="J28" s="189">
        <v>35</v>
      </c>
      <c r="K28" s="186">
        <v>0.44871794871794873</v>
      </c>
      <c r="L28" s="74">
        <v>69079.3</v>
      </c>
      <c r="M28" s="74">
        <v>38091.1</v>
      </c>
      <c r="N28" s="256">
        <v>0.55141120422470979</v>
      </c>
      <c r="O28" s="74">
        <v>30988.2</v>
      </c>
      <c r="P28" s="196">
        <v>0.44858879577529015</v>
      </c>
    </row>
    <row r="29" spans="4:16" x14ac:dyDescent="0.35">
      <c r="E29" s="836"/>
      <c r="F29" s="267" t="s">
        <v>18</v>
      </c>
      <c r="G29" s="188">
        <v>26</v>
      </c>
      <c r="H29" s="189">
        <v>12</v>
      </c>
      <c r="I29" s="256">
        <v>0.46153846153846156</v>
      </c>
      <c r="J29" s="189">
        <v>14</v>
      </c>
      <c r="K29" s="186">
        <v>0.53846153846153844</v>
      </c>
      <c r="L29" s="74">
        <v>6652.1</v>
      </c>
      <c r="M29" s="74">
        <v>2908.2</v>
      </c>
      <c r="N29" s="256">
        <v>0.43718524977074902</v>
      </c>
      <c r="O29" s="74">
        <v>3743.9</v>
      </c>
      <c r="P29" s="196">
        <v>0.56281475022925087</v>
      </c>
    </row>
    <row r="30" spans="4:16" x14ac:dyDescent="0.35">
      <c r="E30" s="836"/>
      <c r="F30" s="267" t="s">
        <v>50</v>
      </c>
      <c r="G30" s="188">
        <v>7</v>
      </c>
      <c r="H30" s="189">
        <v>1</v>
      </c>
      <c r="I30" s="256">
        <v>0.14285714285714285</v>
      </c>
      <c r="J30" s="189">
        <v>6</v>
      </c>
      <c r="K30" s="186">
        <v>0.8571428571428571</v>
      </c>
      <c r="L30" s="74">
        <v>1941.3999999999999</v>
      </c>
      <c r="M30" s="74">
        <v>31.6</v>
      </c>
      <c r="N30" s="256">
        <v>1.6276913567528591E-2</v>
      </c>
      <c r="O30" s="74">
        <v>1909.8</v>
      </c>
      <c r="P30" s="196">
        <v>0.98372308643247142</v>
      </c>
    </row>
    <row r="31" spans="4:16" x14ac:dyDescent="0.35">
      <c r="E31" s="836"/>
      <c r="F31" s="75" t="s">
        <v>19</v>
      </c>
      <c r="G31" s="192">
        <v>112</v>
      </c>
      <c r="H31" s="193">
        <v>57</v>
      </c>
      <c r="I31" s="256">
        <v>0.5089285714285714</v>
      </c>
      <c r="J31" s="193">
        <v>55</v>
      </c>
      <c r="K31" s="186">
        <v>0.49107142857142855</v>
      </c>
      <c r="L31" s="77">
        <v>43223.4</v>
      </c>
      <c r="M31" s="77">
        <v>28306.7</v>
      </c>
      <c r="N31" s="256">
        <v>0.65489295150312099</v>
      </c>
      <c r="O31" s="77">
        <v>14916.7</v>
      </c>
      <c r="P31" s="197">
        <v>0.34510704849687901</v>
      </c>
    </row>
    <row r="32" spans="4:16" s="10" customFormat="1" ht="15" thickBot="1" x14ac:dyDescent="0.4">
      <c r="E32" s="837"/>
      <c r="F32" s="262" t="s">
        <v>99</v>
      </c>
      <c r="G32" s="78">
        <v>262</v>
      </c>
      <c r="H32" s="84">
        <v>127</v>
      </c>
      <c r="I32" s="257">
        <v>0.48473282442748089</v>
      </c>
      <c r="J32" s="84">
        <v>135</v>
      </c>
      <c r="K32" s="81">
        <v>0.51526717557251911</v>
      </c>
      <c r="L32" s="86">
        <v>138673.70000000001</v>
      </c>
      <c r="M32" s="86">
        <v>77012.2</v>
      </c>
      <c r="N32" s="257">
        <v>0.55534827440242807</v>
      </c>
      <c r="O32" s="86">
        <v>61661.5</v>
      </c>
      <c r="P32" s="83">
        <v>0.44465172559757182</v>
      </c>
    </row>
    <row r="33" spans="5:16" x14ac:dyDescent="0.35">
      <c r="E33" s="762" t="s">
        <v>76</v>
      </c>
      <c r="F33" s="267" t="s">
        <v>78</v>
      </c>
      <c r="G33" s="188">
        <v>11</v>
      </c>
      <c r="H33" s="189">
        <v>8</v>
      </c>
      <c r="I33" s="200">
        <v>0.72727272727272729</v>
      </c>
      <c r="J33" s="189">
        <v>3</v>
      </c>
      <c r="K33" s="186">
        <v>0.27272727272727271</v>
      </c>
      <c r="L33" s="74">
        <v>1609.1</v>
      </c>
      <c r="M33" s="74">
        <v>612.4</v>
      </c>
      <c r="N33" s="256">
        <v>0.38058542042135357</v>
      </c>
      <c r="O33" s="74">
        <v>996.7</v>
      </c>
      <c r="P33" s="196">
        <v>0.61941457957864654</v>
      </c>
    </row>
    <row r="34" spans="5:16" x14ac:dyDescent="0.35">
      <c r="E34" s="838"/>
      <c r="F34" s="267" t="s">
        <v>157</v>
      </c>
      <c r="G34" s="188">
        <v>1</v>
      </c>
      <c r="H34" s="189">
        <v>0</v>
      </c>
      <c r="I34" s="200">
        <v>0</v>
      </c>
      <c r="J34" s="189">
        <v>1</v>
      </c>
      <c r="K34" s="186">
        <v>1</v>
      </c>
      <c r="L34" s="74">
        <v>0</v>
      </c>
      <c r="M34" s="74">
        <v>0</v>
      </c>
      <c r="N34" s="256">
        <v>0</v>
      </c>
      <c r="O34" s="74">
        <v>0</v>
      </c>
      <c r="P34" s="196">
        <v>0</v>
      </c>
    </row>
    <row r="35" spans="5:16" x14ac:dyDescent="0.35">
      <c r="E35" s="836"/>
      <c r="F35" s="267" t="s">
        <v>20</v>
      </c>
      <c r="G35" s="188">
        <v>5</v>
      </c>
      <c r="H35" s="189">
        <v>3</v>
      </c>
      <c r="I35" s="200">
        <v>0.6</v>
      </c>
      <c r="J35" s="189">
        <v>2</v>
      </c>
      <c r="K35" s="186">
        <v>0.4</v>
      </c>
      <c r="L35" s="74">
        <v>170</v>
      </c>
      <c r="M35" s="74">
        <v>75</v>
      </c>
      <c r="N35" s="256">
        <v>0.44117647058823528</v>
      </c>
      <c r="O35" s="74">
        <v>95</v>
      </c>
      <c r="P35" s="196">
        <v>0.55882352941176472</v>
      </c>
    </row>
    <row r="36" spans="5:16" x14ac:dyDescent="0.35">
      <c r="E36" s="836"/>
      <c r="F36" s="267" t="s">
        <v>149</v>
      </c>
      <c r="G36" s="188">
        <v>1</v>
      </c>
      <c r="H36" s="189">
        <v>0</v>
      </c>
      <c r="I36" s="200">
        <v>0</v>
      </c>
      <c r="J36" s="189">
        <v>1</v>
      </c>
      <c r="K36" s="186">
        <v>1</v>
      </c>
      <c r="L36" s="74">
        <v>0.3</v>
      </c>
      <c r="M36" s="74">
        <v>0</v>
      </c>
      <c r="N36" s="256">
        <v>0</v>
      </c>
      <c r="O36" s="74">
        <v>0.3</v>
      </c>
      <c r="P36" s="196">
        <v>1</v>
      </c>
    </row>
    <row r="37" spans="5:16" x14ac:dyDescent="0.35">
      <c r="E37" s="836"/>
      <c r="F37" s="32" t="s">
        <v>21</v>
      </c>
      <c r="G37" s="192">
        <v>4</v>
      </c>
      <c r="H37" s="193">
        <v>1</v>
      </c>
      <c r="I37" s="204">
        <v>0.25</v>
      </c>
      <c r="J37" s="193">
        <v>3</v>
      </c>
      <c r="K37" s="186">
        <v>0.75</v>
      </c>
      <c r="L37" s="77">
        <v>270.39999999999998</v>
      </c>
      <c r="M37" s="77">
        <v>10</v>
      </c>
      <c r="N37" s="256">
        <v>3.6982248520710061E-2</v>
      </c>
      <c r="O37" s="77">
        <v>260.39999999999998</v>
      </c>
      <c r="P37" s="197">
        <v>0.96301775147928992</v>
      </c>
    </row>
    <row r="38" spans="5:16" s="10" customFormat="1" ht="15" thickBot="1" x14ac:dyDescent="0.4">
      <c r="E38" s="837"/>
      <c r="F38" s="262" t="s">
        <v>99</v>
      </c>
      <c r="G38" s="78">
        <v>22</v>
      </c>
      <c r="H38" s="84">
        <v>12</v>
      </c>
      <c r="I38" s="205">
        <v>0.54545454545454541</v>
      </c>
      <c r="J38" s="84">
        <v>10</v>
      </c>
      <c r="K38" s="81">
        <v>0.45454545454545453</v>
      </c>
      <c r="L38" s="86">
        <v>2049.7999999999997</v>
      </c>
      <c r="M38" s="86">
        <v>697.4</v>
      </c>
      <c r="N38" s="257">
        <v>0.34022831495755684</v>
      </c>
      <c r="O38" s="86">
        <v>1352.4</v>
      </c>
      <c r="P38" s="83">
        <v>0.65977168504244332</v>
      </c>
    </row>
    <row r="39" spans="5:16" x14ac:dyDescent="0.35">
      <c r="E39" s="762" t="s">
        <v>22</v>
      </c>
      <c r="F39" s="267" t="s">
        <v>23</v>
      </c>
      <c r="G39" s="188">
        <v>13</v>
      </c>
      <c r="H39" s="189">
        <v>2</v>
      </c>
      <c r="I39" s="200">
        <v>0.15384615384615385</v>
      </c>
      <c r="J39" s="189">
        <v>11</v>
      </c>
      <c r="K39" s="186">
        <v>0.84615384615384615</v>
      </c>
      <c r="L39" s="74">
        <v>854.9</v>
      </c>
      <c r="M39" s="74">
        <v>60</v>
      </c>
      <c r="N39" s="256">
        <v>7.0183647210200026E-2</v>
      </c>
      <c r="O39" s="74">
        <v>794.9</v>
      </c>
      <c r="P39" s="196">
        <v>0.92981635278980002</v>
      </c>
    </row>
    <row r="40" spans="5:16" x14ac:dyDescent="0.35">
      <c r="E40" s="836"/>
      <c r="F40" s="267" t="s">
        <v>24</v>
      </c>
      <c r="G40" s="188">
        <v>13</v>
      </c>
      <c r="H40" s="189">
        <v>3</v>
      </c>
      <c r="I40" s="200">
        <v>0.23076923076923078</v>
      </c>
      <c r="J40" s="189">
        <v>10</v>
      </c>
      <c r="K40" s="186">
        <v>0.76923076923076927</v>
      </c>
      <c r="L40" s="74">
        <v>924.2</v>
      </c>
      <c r="M40" s="74">
        <v>540.5</v>
      </c>
      <c r="N40" s="256">
        <v>0.58483012334992424</v>
      </c>
      <c r="O40" s="74">
        <v>383.7</v>
      </c>
      <c r="P40" s="196">
        <v>0.41516987665007571</v>
      </c>
    </row>
    <row r="41" spans="5:16" x14ac:dyDescent="0.35">
      <c r="E41" s="836"/>
      <c r="F41" s="119" t="s">
        <v>25</v>
      </c>
      <c r="G41" s="188">
        <v>57</v>
      </c>
      <c r="H41" s="189">
        <v>26</v>
      </c>
      <c r="I41" s="200">
        <v>0.45614035087719296</v>
      </c>
      <c r="J41" s="189">
        <v>31</v>
      </c>
      <c r="K41" s="186">
        <v>0.54385964912280704</v>
      </c>
      <c r="L41" s="74">
        <v>11948.9</v>
      </c>
      <c r="M41" s="74">
        <v>8125</v>
      </c>
      <c r="N41" s="256">
        <v>0.67997891019257006</v>
      </c>
      <c r="O41" s="74">
        <v>3823.9</v>
      </c>
      <c r="P41" s="196">
        <v>0.32002108980742999</v>
      </c>
    </row>
    <row r="42" spans="5:16" x14ac:dyDescent="0.35">
      <c r="E42" s="836"/>
      <c r="F42" s="32" t="s">
        <v>26</v>
      </c>
      <c r="G42" s="188">
        <v>88</v>
      </c>
      <c r="H42" s="189">
        <v>51</v>
      </c>
      <c r="I42" s="200">
        <v>0.57954545454545459</v>
      </c>
      <c r="J42" s="193">
        <v>37</v>
      </c>
      <c r="K42" s="186">
        <v>0.42045454545454547</v>
      </c>
      <c r="L42" s="77">
        <v>25283.1</v>
      </c>
      <c r="M42" s="77">
        <v>16414.2</v>
      </c>
      <c r="N42" s="256">
        <v>0.64921627490299849</v>
      </c>
      <c r="O42" s="77">
        <v>8868.9</v>
      </c>
      <c r="P42" s="197">
        <v>0.35078372509700156</v>
      </c>
    </row>
    <row r="43" spans="5:16" s="10" customFormat="1" ht="15" thickBot="1" x14ac:dyDescent="0.4">
      <c r="E43" s="837"/>
      <c r="F43" s="262" t="s">
        <v>99</v>
      </c>
      <c r="G43" s="206">
        <v>171</v>
      </c>
      <c r="H43" s="79">
        <v>82</v>
      </c>
      <c r="I43" s="81">
        <v>0.47953216374269003</v>
      </c>
      <c r="J43" s="84">
        <v>89</v>
      </c>
      <c r="K43" s="81">
        <v>0.52046783625730997</v>
      </c>
      <c r="L43" s="86">
        <v>39011.1</v>
      </c>
      <c r="M43" s="86">
        <v>25139.7</v>
      </c>
      <c r="N43" s="257">
        <v>0.64442427924359991</v>
      </c>
      <c r="O43" s="86">
        <v>13871.4</v>
      </c>
      <c r="P43" s="83">
        <v>0.35557572075640009</v>
      </c>
    </row>
    <row r="44" spans="5:16" x14ac:dyDescent="0.35">
      <c r="E44" s="762" t="s">
        <v>27</v>
      </c>
      <c r="F44" s="119" t="s">
        <v>28</v>
      </c>
      <c r="G44" s="188">
        <v>92</v>
      </c>
      <c r="H44" s="189">
        <v>42</v>
      </c>
      <c r="I44" s="200">
        <v>0.45652173913043476</v>
      </c>
      <c r="J44" s="189">
        <v>50</v>
      </c>
      <c r="K44" s="186">
        <v>0.54347826086956519</v>
      </c>
      <c r="L44" s="74">
        <v>67507</v>
      </c>
      <c r="M44" s="74">
        <v>45211.3</v>
      </c>
      <c r="N44" s="256">
        <v>0.66972758380612385</v>
      </c>
      <c r="O44" s="74">
        <v>22295.7</v>
      </c>
      <c r="P44" s="196">
        <v>0.33027241619387621</v>
      </c>
    </row>
    <row r="45" spans="5:16" x14ac:dyDescent="0.35">
      <c r="E45" s="836"/>
      <c r="F45" s="32" t="s">
        <v>79</v>
      </c>
      <c r="G45" s="192">
        <v>46</v>
      </c>
      <c r="H45" s="193">
        <v>21</v>
      </c>
      <c r="I45" s="200">
        <v>0.45652173913043476</v>
      </c>
      <c r="J45" s="193">
        <v>25</v>
      </c>
      <c r="K45" s="186">
        <v>0.54347826086956519</v>
      </c>
      <c r="L45" s="77">
        <v>10926.9</v>
      </c>
      <c r="M45" s="77">
        <v>3480</v>
      </c>
      <c r="N45" s="256">
        <v>0.31848008126733107</v>
      </c>
      <c r="O45" s="77">
        <v>7446.9</v>
      </c>
      <c r="P45" s="197">
        <v>0.68151991873266893</v>
      </c>
    </row>
    <row r="46" spans="5:16" s="10" customFormat="1" ht="15" thickBot="1" x14ac:dyDescent="0.4">
      <c r="E46" s="837"/>
      <c r="F46" s="262" t="s">
        <v>99</v>
      </c>
      <c r="G46" s="78">
        <v>138</v>
      </c>
      <c r="H46" s="84">
        <v>63</v>
      </c>
      <c r="I46" s="81">
        <v>0.45652173913043476</v>
      </c>
      <c r="J46" s="84">
        <v>75</v>
      </c>
      <c r="K46" s="81">
        <v>0.54347826086956519</v>
      </c>
      <c r="L46" s="86">
        <v>78433.899999999994</v>
      </c>
      <c r="M46" s="86">
        <v>48691.3</v>
      </c>
      <c r="N46" s="257">
        <v>0.6207940699110972</v>
      </c>
      <c r="O46" s="86">
        <v>29742.6</v>
      </c>
      <c r="P46" s="83">
        <v>0.37920593008890291</v>
      </c>
    </row>
    <row r="47" spans="5:16" x14ac:dyDescent="0.35">
      <c r="E47" s="762" t="s">
        <v>29</v>
      </c>
      <c r="F47" s="40" t="s">
        <v>30</v>
      </c>
      <c r="G47" s="207">
        <v>5</v>
      </c>
      <c r="H47" s="208">
        <v>0</v>
      </c>
      <c r="I47" s="200">
        <v>0</v>
      </c>
      <c r="J47" s="208">
        <v>5</v>
      </c>
      <c r="K47" s="186">
        <v>1</v>
      </c>
      <c r="L47" s="89">
        <v>12.4</v>
      </c>
      <c r="M47" s="90">
        <v>0</v>
      </c>
      <c r="N47" s="256">
        <v>0</v>
      </c>
      <c r="O47" s="89">
        <v>12.4</v>
      </c>
      <c r="P47" s="209">
        <v>1</v>
      </c>
    </row>
    <row r="48" spans="5:16" s="10" customFormat="1" ht="15" thickBot="1" x14ac:dyDescent="0.4">
      <c r="E48" s="763"/>
      <c r="F48" s="262" t="s">
        <v>99</v>
      </c>
      <c r="G48" s="78">
        <v>5</v>
      </c>
      <c r="H48" s="84">
        <v>0</v>
      </c>
      <c r="I48" s="81">
        <v>0</v>
      </c>
      <c r="J48" s="84">
        <v>5</v>
      </c>
      <c r="K48" s="81">
        <v>1</v>
      </c>
      <c r="L48" s="86">
        <v>12.4</v>
      </c>
      <c r="M48" s="86">
        <v>0</v>
      </c>
      <c r="N48" s="257">
        <v>0</v>
      </c>
      <c r="O48" s="86">
        <v>12.4</v>
      </c>
      <c r="P48" s="83">
        <v>1</v>
      </c>
    </row>
    <row r="49" spans="4:17" x14ac:dyDescent="0.35">
      <c r="E49" s="762" t="s">
        <v>32</v>
      </c>
      <c r="F49" s="40" t="s">
        <v>32</v>
      </c>
      <c r="G49" s="207">
        <v>21</v>
      </c>
      <c r="H49" s="208">
        <v>13</v>
      </c>
      <c r="I49" s="200">
        <v>0.61904761904761907</v>
      </c>
      <c r="J49" s="208">
        <v>8</v>
      </c>
      <c r="K49" s="186">
        <v>0.38095238095238093</v>
      </c>
      <c r="L49" s="89">
        <v>4060.2000000000003</v>
      </c>
      <c r="M49" s="89">
        <v>3066.3</v>
      </c>
      <c r="N49" s="256">
        <v>0.75520910299985222</v>
      </c>
      <c r="O49" s="89">
        <v>993.9</v>
      </c>
      <c r="P49" s="209">
        <v>0.24479089700014775</v>
      </c>
    </row>
    <row r="50" spans="4:17" s="10" customFormat="1" ht="15" thickBot="1" x14ac:dyDescent="0.4">
      <c r="E50" s="763"/>
      <c r="F50" s="262" t="s">
        <v>99</v>
      </c>
      <c r="G50" s="78">
        <v>21</v>
      </c>
      <c r="H50" s="84">
        <v>13</v>
      </c>
      <c r="I50" s="81">
        <v>0.61904761904761907</v>
      </c>
      <c r="J50" s="84">
        <v>8</v>
      </c>
      <c r="K50" s="81">
        <v>0.38095238095238093</v>
      </c>
      <c r="L50" s="86">
        <v>4060.2000000000003</v>
      </c>
      <c r="M50" s="86">
        <v>3066.3</v>
      </c>
      <c r="N50" s="257">
        <v>0.75520910299985222</v>
      </c>
      <c r="O50" s="86">
        <v>993.9</v>
      </c>
      <c r="P50" s="83">
        <v>0.24479089700014775</v>
      </c>
    </row>
    <row r="51" spans="4:17" x14ac:dyDescent="0.35">
      <c r="E51" s="762" t="s">
        <v>33</v>
      </c>
      <c r="F51" s="40" t="s">
        <v>33</v>
      </c>
      <c r="G51" s="207">
        <v>46</v>
      </c>
      <c r="H51" s="208">
        <v>10</v>
      </c>
      <c r="I51" s="200">
        <v>0.21739130434782608</v>
      </c>
      <c r="J51" s="210">
        <v>36</v>
      </c>
      <c r="K51" s="186">
        <v>0.78260869565217395</v>
      </c>
      <c r="L51" s="89">
        <v>14266.7</v>
      </c>
      <c r="M51" s="89">
        <v>2802.7</v>
      </c>
      <c r="N51" s="256">
        <v>0.19645047558300094</v>
      </c>
      <c r="O51" s="89">
        <v>11464</v>
      </c>
      <c r="P51" s="209">
        <v>0.80354952441699901</v>
      </c>
    </row>
    <row r="52" spans="4:17" s="10" customFormat="1" ht="15" thickBot="1" x14ac:dyDescent="0.4">
      <c r="E52" s="763"/>
      <c r="F52" s="262" t="s">
        <v>99</v>
      </c>
      <c r="G52" s="78">
        <v>46</v>
      </c>
      <c r="H52" s="84">
        <v>10</v>
      </c>
      <c r="I52" s="81">
        <v>0.21739130434782608</v>
      </c>
      <c r="J52" s="85">
        <v>36</v>
      </c>
      <c r="K52" s="81">
        <v>0.78260869565217395</v>
      </c>
      <c r="L52" s="86">
        <v>14266.7</v>
      </c>
      <c r="M52" s="86">
        <v>2802.7</v>
      </c>
      <c r="N52" s="257">
        <v>0.19645047558300094</v>
      </c>
      <c r="O52" s="86">
        <v>11464</v>
      </c>
      <c r="P52" s="83">
        <v>0.80354952441699901</v>
      </c>
    </row>
    <row r="53" spans="4:17" x14ac:dyDescent="0.35">
      <c r="E53" s="762" t="s">
        <v>34</v>
      </c>
      <c r="F53" s="40" t="s">
        <v>34</v>
      </c>
      <c r="G53" s="207">
        <v>19</v>
      </c>
      <c r="H53" s="208">
        <v>8</v>
      </c>
      <c r="I53" s="200">
        <v>0.42105263157894735</v>
      </c>
      <c r="J53" s="210">
        <v>11</v>
      </c>
      <c r="K53" s="211">
        <v>0.57894736842105265</v>
      </c>
      <c r="L53" s="89">
        <v>5793.2</v>
      </c>
      <c r="M53" s="89">
        <v>2993</v>
      </c>
      <c r="N53" s="256">
        <v>0.51664019885382861</v>
      </c>
      <c r="O53" s="89">
        <v>2800.2</v>
      </c>
      <c r="P53" s="209">
        <v>0.48335980114617133</v>
      </c>
    </row>
    <row r="54" spans="4:17" s="10" customFormat="1" ht="15" thickBot="1" x14ac:dyDescent="0.4">
      <c r="E54" s="763"/>
      <c r="F54" s="262" t="s">
        <v>99</v>
      </c>
      <c r="G54" s="78">
        <v>19</v>
      </c>
      <c r="H54" s="84">
        <v>8</v>
      </c>
      <c r="I54" s="81">
        <v>0.42105263157894735</v>
      </c>
      <c r="J54" s="85">
        <v>11</v>
      </c>
      <c r="K54" s="81">
        <v>0.57894736842105265</v>
      </c>
      <c r="L54" s="86">
        <v>5793.2</v>
      </c>
      <c r="M54" s="86">
        <v>2993</v>
      </c>
      <c r="N54" s="257">
        <v>0.51664019885382861</v>
      </c>
      <c r="O54" s="86">
        <v>2800.2</v>
      </c>
      <c r="P54" s="83">
        <v>0.48335980114617133</v>
      </c>
      <c r="Q54" s="296"/>
    </row>
    <row r="55" spans="4:17" x14ac:dyDescent="0.35">
      <c r="E55" s="762" t="s">
        <v>77</v>
      </c>
      <c r="F55" s="40" t="s">
        <v>30</v>
      </c>
      <c r="G55" s="207">
        <v>5</v>
      </c>
      <c r="H55" s="208">
        <v>1</v>
      </c>
      <c r="I55" s="200">
        <v>0.2</v>
      </c>
      <c r="J55" s="210">
        <v>4</v>
      </c>
      <c r="K55" s="186">
        <v>0.8</v>
      </c>
      <c r="L55" s="89">
        <v>120.8</v>
      </c>
      <c r="M55" s="90">
        <v>39.5</v>
      </c>
      <c r="N55" s="256">
        <v>0.32698675496688745</v>
      </c>
      <c r="O55" s="89">
        <v>81.3</v>
      </c>
      <c r="P55" s="209">
        <v>0.67301324503311255</v>
      </c>
      <c r="Q55" s="295"/>
    </row>
    <row r="56" spans="4:17" s="10" customFormat="1" ht="15" thickBot="1" x14ac:dyDescent="0.4">
      <c r="E56" s="763"/>
      <c r="F56" s="262" t="s">
        <v>99</v>
      </c>
      <c r="G56" s="78">
        <v>5</v>
      </c>
      <c r="H56" s="84">
        <v>1</v>
      </c>
      <c r="I56" s="81">
        <v>0.2</v>
      </c>
      <c r="J56" s="85">
        <v>4</v>
      </c>
      <c r="K56" s="81">
        <v>0.8</v>
      </c>
      <c r="L56" s="86">
        <v>120.8</v>
      </c>
      <c r="M56" s="86">
        <v>39.5</v>
      </c>
      <c r="N56" s="257">
        <v>0.32698675496688745</v>
      </c>
      <c r="O56" s="86">
        <v>81.3</v>
      </c>
      <c r="P56" s="83">
        <v>0.67301324503311255</v>
      </c>
    </row>
    <row r="57" spans="4:17" x14ac:dyDescent="0.35">
      <c r="E57" s="762" t="s">
        <v>31</v>
      </c>
      <c r="F57" s="32" t="s">
        <v>31</v>
      </c>
      <c r="G57" s="207">
        <v>23</v>
      </c>
      <c r="H57" s="208">
        <v>11</v>
      </c>
      <c r="I57" s="200">
        <v>0.47826086956521741</v>
      </c>
      <c r="J57" s="210">
        <v>12</v>
      </c>
      <c r="K57" s="186">
        <v>0.52173913043478259</v>
      </c>
      <c r="L57" s="89">
        <v>2358.6</v>
      </c>
      <c r="M57" s="89">
        <v>758.6</v>
      </c>
      <c r="N57" s="256">
        <v>0.32163147629949973</v>
      </c>
      <c r="O57" s="74">
        <v>1600</v>
      </c>
      <c r="P57" s="196">
        <v>0.67836852370050027</v>
      </c>
    </row>
    <row r="58" spans="4:17" s="10" customFormat="1" ht="15" thickBot="1" x14ac:dyDescent="0.4">
      <c r="E58" s="763"/>
      <c r="F58" s="262" t="s">
        <v>99</v>
      </c>
      <c r="G58" s="78">
        <v>23</v>
      </c>
      <c r="H58" s="84">
        <v>11</v>
      </c>
      <c r="I58" s="81">
        <v>0.47826086956521741</v>
      </c>
      <c r="J58" s="85">
        <v>12</v>
      </c>
      <c r="K58" s="81">
        <v>0.52173913043478259</v>
      </c>
      <c r="L58" s="86">
        <v>2358.6</v>
      </c>
      <c r="M58" s="86">
        <v>758.6</v>
      </c>
      <c r="N58" s="257">
        <v>0.32163147629949973</v>
      </c>
      <c r="O58" s="82">
        <v>1600</v>
      </c>
      <c r="P58" s="212">
        <v>0.67836852370050027</v>
      </c>
    </row>
    <row r="59" spans="4:17" x14ac:dyDescent="0.35">
      <c r="D59" s="6"/>
      <c r="E59" s="800" t="s">
        <v>87</v>
      </c>
      <c r="F59" s="28" t="s">
        <v>14</v>
      </c>
      <c r="G59" s="188">
        <v>45</v>
      </c>
      <c r="H59" s="189">
        <v>23</v>
      </c>
      <c r="I59" s="200">
        <v>0.51111111111111107</v>
      </c>
      <c r="J59" s="213">
        <v>22</v>
      </c>
      <c r="K59" s="186">
        <v>0.48888888888888887</v>
      </c>
      <c r="L59" s="74">
        <v>9735.4</v>
      </c>
      <c r="M59" s="74">
        <v>5926.4</v>
      </c>
      <c r="N59" s="256">
        <v>0.60874745773157757</v>
      </c>
      <c r="O59" s="74">
        <v>3809</v>
      </c>
      <c r="P59" s="196">
        <v>0.39125254226842249</v>
      </c>
    </row>
    <row r="60" spans="4:17" x14ac:dyDescent="0.35">
      <c r="D60" s="6"/>
      <c r="E60" s="807"/>
      <c r="F60" s="119" t="s">
        <v>85</v>
      </c>
      <c r="G60" s="188">
        <v>45</v>
      </c>
      <c r="H60" s="189">
        <v>31</v>
      </c>
      <c r="I60" s="200">
        <v>0.68888888888888888</v>
      </c>
      <c r="J60" s="213">
        <v>14</v>
      </c>
      <c r="K60" s="186">
        <v>0.31111111111111112</v>
      </c>
      <c r="L60" s="74">
        <v>5498.5</v>
      </c>
      <c r="M60" s="74">
        <v>4013.8</v>
      </c>
      <c r="N60" s="256">
        <v>0.72998090388287717</v>
      </c>
      <c r="O60" s="74">
        <v>1484.7</v>
      </c>
      <c r="P60" s="196">
        <v>0.27001909611712288</v>
      </c>
    </row>
    <row r="61" spans="4:17" x14ac:dyDescent="0.35">
      <c r="D61" s="6"/>
      <c r="E61" s="807"/>
      <c r="F61" s="32" t="s">
        <v>15</v>
      </c>
      <c r="G61" s="192">
        <v>52</v>
      </c>
      <c r="H61" s="193">
        <v>40</v>
      </c>
      <c r="I61" s="200">
        <v>0.76923076923076927</v>
      </c>
      <c r="J61" s="214">
        <v>12</v>
      </c>
      <c r="K61" s="186">
        <v>0.23076923076923078</v>
      </c>
      <c r="L61" s="77">
        <v>8142.2999999999993</v>
      </c>
      <c r="M61" s="77">
        <v>7059.4</v>
      </c>
      <c r="N61" s="256">
        <v>0.86700318091939632</v>
      </c>
      <c r="O61" s="77">
        <v>1082.9000000000001</v>
      </c>
      <c r="P61" s="197">
        <v>0.13299681908060379</v>
      </c>
    </row>
    <row r="62" spans="4:17" s="10" customFormat="1" ht="15" thickBot="1" x14ac:dyDescent="0.4">
      <c r="D62" s="12"/>
      <c r="E62" s="839"/>
      <c r="F62" s="262" t="s">
        <v>99</v>
      </c>
      <c r="G62" s="78">
        <v>142</v>
      </c>
      <c r="H62" s="84">
        <v>94</v>
      </c>
      <c r="I62" s="81">
        <v>0.6619718309859155</v>
      </c>
      <c r="J62" s="85">
        <v>48</v>
      </c>
      <c r="K62" s="81">
        <v>0.3380281690140845</v>
      </c>
      <c r="L62" s="86">
        <v>23376.199999999997</v>
      </c>
      <c r="M62" s="86">
        <v>16999.599999999999</v>
      </c>
      <c r="N62" s="257">
        <v>0.7272182818422156</v>
      </c>
      <c r="O62" s="86">
        <v>6376.6</v>
      </c>
      <c r="P62" s="83">
        <v>0.27278171815778446</v>
      </c>
    </row>
    <row r="63" spans="4:17" s="15" customFormat="1" ht="15.75" customHeight="1" thickBot="1" x14ac:dyDescent="0.4">
      <c r="D63" s="22"/>
      <c r="E63" s="840" t="s">
        <v>35</v>
      </c>
      <c r="F63" s="841"/>
      <c r="G63" s="91">
        <v>1829</v>
      </c>
      <c r="H63" s="91">
        <v>884</v>
      </c>
      <c r="I63" s="92">
        <v>0.4833242208857299</v>
      </c>
      <c r="J63" s="91">
        <v>945</v>
      </c>
      <c r="K63" s="92">
        <v>0.5166757791142701</v>
      </c>
      <c r="L63" s="93">
        <v>1300935.4999999998</v>
      </c>
      <c r="M63" s="93">
        <v>818135.59999999986</v>
      </c>
      <c r="N63" s="92">
        <v>0.62888252338413397</v>
      </c>
      <c r="O63" s="93">
        <v>482799.89999999997</v>
      </c>
      <c r="P63" s="94">
        <v>0.37111747661586608</v>
      </c>
    </row>
    <row r="64" spans="4:17" x14ac:dyDescent="0.35">
      <c r="E64" s="49"/>
      <c r="F64" s="49"/>
      <c r="G64" s="49"/>
      <c r="H64" s="49"/>
      <c r="I64" s="49"/>
      <c r="J64" s="49"/>
      <c r="K64" s="95"/>
      <c r="L64" s="96"/>
      <c r="M64" s="96"/>
      <c r="N64" s="96"/>
      <c r="O64" s="96"/>
      <c r="P64" s="62"/>
    </row>
    <row r="65" spans="5:16" x14ac:dyDescent="0.35">
      <c r="E65" s="842" t="s">
        <v>103</v>
      </c>
      <c r="F65" s="842"/>
      <c r="G65" s="842"/>
      <c r="H65" s="842"/>
      <c r="I65" s="842"/>
      <c r="J65" s="842"/>
      <c r="K65" s="842"/>
      <c r="L65" s="842"/>
      <c r="M65" s="842"/>
      <c r="N65" s="842"/>
      <c r="O65" s="842"/>
      <c r="P65" s="842"/>
    </row>
    <row r="66" spans="5:16" x14ac:dyDescent="0.35">
      <c r="E66" s="842" t="s">
        <v>86</v>
      </c>
      <c r="F66" s="842"/>
      <c r="G66" s="842"/>
      <c r="H66" s="842"/>
      <c r="I66" s="842"/>
      <c r="J66" s="842"/>
      <c r="K66" s="842"/>
      <c r="L66" s="842"/>
      <c r="M66" s="842"/>
      <c r="N66" s="842"/>
      <c r="O66" s="842"/>
      <c r="P66" s="842"/>
    </row>
    <row r="67" spans="5:16" ht="15.5" x14ac:dyDescent="0.35">
      <c r="E67" s="791" t="s">
        <v>119</v>
      </c>
      <c r="F67" s="791"/>
      <c r="G67" s="791"/>
      <c r="H67" s="791"/>
      <c r="I67" s="791"/>
      <c r="J67" s="791"/>
      <c r="K67" s="791"/>
      <c r="L67" s="791"/>
      <c r="M67" s="791"/>
      <c r="N67" s="791"/>
      <c r="O67" s="791"/>
      <c r="P67" s="791"/>
    </row>
  </sheetData>
  <customSheetViews>
    <customSheetView guid="{6654F670-CAA9-4C4A-B3D9-226402FC46BC}" showPageBreaks="1" printArea="1" view="pageBreakPreview" topLeftCell="C49">
      <selection activeCell="J71" sqref="J71"/>
      <pageMargins left="0.70866141732283472" right="0.70866141732283472" top="0.74803149606299213" bottom="0.74803149606299213" header="0.31496062992125984" footer="0.31496062992125984"/>
      <pageSetup paperSize="9" scale="49" orientation="landscape"/>
      <headerFooter>
        <oddHeader>&amp;L&amp;G&amp;RCAMPAÑA: 2025/2026. MES: JULIO
 Fecha de emisión de datos: 25/08/2026</oddHeader>
      </headerFooter>
    </customSheetView>
    <customSheetView guid="{89192556-592D-44A9-BA8C-EA83608B5C0F}" showPageBreaks="1" printArea="1" view="pageBreakPreview" topLeftCell="C49">
      <selection activeCell="J71" sqref="J71"/>
      <pageMargins left="0.70866141732283472" right="0.70866141732283472" top="0.74803149606299213" bottom="0.74803149606299213" header="0.31496062992125984" footer="0.31496062992125984"/>
      <pageSetup paperSize="9" scale="49" orientation="landscape"/>
      <headerFooter>
        <oddHeader>&amp;L&amp;G&amp;RCAMPAÑA: 2025/2026. MES: JULIO
 Fecha de emisión de datos: 25/08/2026</oddHeader>
      </headerFooter>
    </customSheetView>
  </customSheetViews>
  <mergeCells count="26">
    <mergeCell ref="E24:E26"/>
    <mergeCell ref="E9:E17"/>
    <mergeCell ref="E18:E21"/>
    <mergeCell ref="E2:P4"/>
    <mergeCell ref="G6:K6"/>
    <mergeCell ref="L6:P6"/>
    <mergeCell ref="H7:I7"/>
    <mergeCell ref="J7:K7"/>
    <mergeCell ref="M7:N7"/>
    <mergeCell ref="O7:P7"/>
    <mergeCell ref="E22:E23"/>
    <mergeCell ref="E27:E32"/>
    <mergeCell ref="E33:E38"/>
    <mergeCell ref="E67:P67"/>
    <mergeCell ref="E44:E46"/>
    <mergeCell ref="E47:E48"/>
    <mergeCell ref="E49:E50"/>
    <mergeCell ref="E51:E52"/>
    <mergeCell ref="E53:E54"/>
    <mergeCell ref="E55:E56"/>
    <mergeCell ref="E39:E43"/>
    <mergeCell ref="E57:E58"/>
    <mergeCell ref="E59:E62"/>
    <mergeCell ref="E63:F63"/>
    <mergeCell ref="E65:P65"/>
    <mergeCell ref="E66:P66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Header>&amp;L&amp;G&amp;RCAMPAÑA: 2025/2026. MES: JULIO
 Fecha de emisión de datos: 25/08/2026</oddHeader>
  </headerFooter>
  <legacyDrawingHF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4:G45"/>
  <sheetViews>
    <sheetView view="pageLayout" zoomScale="85" zoomScaleNormal="100" zoomScaleSheetLayoutView="100" zoomScalePageLayoutView="85" workbookViewId="0">
      <selection activeCell="B4" sqref="B4:G5"/>
    </sheetView>
  </sheetViews>
  <sheetFormatPr baseColWidth="10" defaultColWidth="11.453125" defaultRowHeight="14.5" x14ac:dyDescent="0.35"/>
  <cols>
    <col min="2" max="2" width="16.453125" bestFit="1" customWidth="1"/>
    <col min="3" max="3" width="12.81640625" customWidth="1"/>
    <col min="4" max="4" width="13" customWidth="1"/>
    <col min="5" max="5" width="12.81640625" customWidth="1"/>
    <col min="6" max="6" width="13" customWidth="1"/>
    <col min="7" max="7" width="14.26953125" customWidth="1"/>
  </cols>
  <sheetData>
    <row r="4" spans="2:7" ht="28.5" customHeight="1" x14ac:dyDescent="0.35">
      <c r="B4" s="761" t="s">
        <v>121</v>
      </c>
      <c r="C4" s="761"/>
      <c r="D4" s="761"/>
      <c r="E4" s="761"/>
      <c r="F4" s="761"/>
      <c r="G4" s="761"/>
    </row>
    <row r="5" spans="2:7" ht="28.5" customHeight="1" x14ac:dyDescent="0.35">
      <c r="B5" s="761"/>
      <c r="C5" s="761"/>
      <c r="D5" s="761"/>
      <c r="E5" s="761"/>
      <c r="F5" s="761"/>
      <c r="G5" s="761"/>
    </row>
    <row r="6" spans="2:7" ht="28.5" customHeight="1" x14ac:dyDescent="0.35">
      <c r="B6" s="260"/>
      <c r="C6" s="260"/>
      <c r="D6" s="260"/>
      <c r="E6" s="260"/>
      <c r="F6" s="260"/>
      <c r="G6" s="260"/>
    </row>
    <row r="7" spans="2:7" x14ac:dyDescent="0.35">
      <c r="B7" s="2"/>
      <c r="C7" s="9"/>
      <c r="D7" s="2"/>
      <c r="E7" s="2"/>
      <c r="F7" s="2"/>
      <c r="G7" s="2"/>
    </row>
    <row r="8" spans="2:7" x14ac:dyDescent="0.35">
      <c r="B8" s="851" t="s">
        <v>133</v>
      </c>
      <c r="C8" s="851"/>
      <c r="D8" s="851"/>
      <c r="E8" s="851"/>
      <c r="F8" s="851"/>
      <c r="G8" s="851"/>
    </row>
    <row r="9" spans="2:7" x14ac:dyDescent="0.35">
      <c r="B9" s="104"/>
      <c r="C9" s="104"/>
      <c r="D9" s="104"/>
      <c r="E9" s="104"/>
      <c r="F9" s="104"/>
      <c r="G9" s="104"/>
    </row>
    <row r="10" spans="2:7" x14ac:dyDescent="0.35">
      <c r="B10" s="104"/>
      <c r="C10" s="104"/>
      <c r="D10" s="104"/>
      <c r="E10" s="104"/>
      <c r="F10" s="104"/>
      <c r="G10" s="104"/>
    </row>
    <row r="11" spans="2:7" x14ac:dyDescent="0.35">
      <c r="B11" s="104"/>
      <c r="C11" s="104"/>
      <c r="D11" s="104"/>
      <c r="E11" s="104"/>
      <c r="F11" s="104"/>
      <c r="G11" s="104"/>
    </row>
    <row r="12" spans="2:7" x14ac:dyDescent="0.35">
      <c r="B12" s="104"/>
      <c r="C12" s="104"/>
      <c r="D12" s="104"/>
      <c r="E12" s="104"/>
      <c r="F12" s="104"/>
      <c r="G12" s="104"/>
    </row>
    <row r="13" spans="2:7" x14ac:dyDescent="0.35">
      <c r="B13" s="104"/>
      <c r="C13" s="104"/>
      <c r="D13" s="104"/>
      <c r="E13" s="104"/>
      <c r="F13" s="104"/>
      <c r="G13" s="104"/>
    </row>
    <row r="14" spans="2:7" x14ac:dyDescent="0.35">
      <c r="B14" s="104"/>
      <c r="C14" s="104"/>
      <c r="D14" s="104"/>
      <c r="E14" s="104"/>
      <c r="F14" s="104"/>
      <c r="G14" s="104"/>
    </row>
    <row r="15" spans="2:7" x14ac:dyDescent="0.35">
      <c r="B15" s="104"/>
      <c r="C15" s="104"/>
      <c r="D15" s="104"/>
      <c r="E15" s="104"/>
      <c r="F15" s="104"/>
      <c r="G15" s="104"/>
    </row>
    <row r="16" spans="2:7" x14ac:dyDescent="0.35">
      <c r="B16" s="104"/>
      <c r="C16" s="104"/>
      <c r="D16" s="104"/>
      <c r="E16" s="104"/>
      <c r="F16" s="104"/>
      <c r="G16" s="104"/>
    </row>
    <row r="17" spans="2:7" x14ac:dyDescent="0.35">
      <c r="B17" s="104"/>
      <c r="C17" s="104"/>
      <c r="D17" s="104"/>
      <c r="E17" s="104"/>
      <c r="F17" s="104"/>
      <c r="G17" s="104"/>
    </row>
    <row r="18" spans="2:7" x14ac:dyDescent="0.35">
      <c r="B18" s="104"/>
      <c r="C18" s="104"/>
      <c r="D18" s="104"/>
      <c r="E18" s="104"/>
      <c r="F18" s="104"/>
      <c r="G18" s="104"/>
    </row>
    <row r="19" spans="2:7" x14ac:dyDescent="0.35">
      <c r="B19" s="104"/>
      <c r="C19" s="104"/>
      <c r="D19" s="104"/>
      <c r="E19" s="104"/>
      <c r="F19" s="104"/>
      <c r="G19" s="104"/>
    </row>
    <row r="20" spans="2:7" ht="15" thickBot="1" x14ac:dyDescent="0.4"/>
    <row r="21" spans="2:7" ht="15" thickBot="1" x14ac:dyDescent="0.4">
      <c r="B21" s="105" t="s">
        <v>104</v>
      </c>
      <c r="C21" s="105" t="s">
        <v>144</v>
      </c>
      <c r="D21" s="105" t="s">
        <v>147</v>
      </c>
      <c r="E21" s="105" t="s">
        <v>148</v>
      </c>
      <c r="F21" s="105" t="s">
        <v>150</v>
      </c>
      <c r="G21" s="105" t="s">
        <v>155</v>
      </c>
    </row>
    <row r="22" spans="2:7" ht="15" thickBot="1" x14ac:dyDescent="0.4">
      <c r="B22" s="105" t="s">
        <v>135</v>
      </c>
      <c r="C22" s="106">
        <v>49.755301794453509</v>
      </c>
      <c r="D22" s="106">
        <v>49.890829694323145</v>
      </c>
      <c r="E22" s="106">
        <v>49.40087145969499</v>
      </c>
      <c r="F22" s="106">
        <v>49.125683060109289</v>
      </c>
      <c r="G22" s="106">
        <v>48.33242208857299</v>
      </c>
    </row>
    <row r="23" spans="2:7" ht="15" thickBot="1" x14ac:dyDescent="0.4">
      <c r="B23" s="105" t="s">
        <v>134</v>
      </c>
      <c r="C23" s="106">
        <v>64.69310113399473</v>
      </c>
      <c r="D23" s="106">
        <v>59.039253302034759</v>
      </c>
      <c r="E23" s="106">
        <v>58.851403135509599</v>
      </c>
      <c r="F23" s="106">
        <v>63.551506176118906</v>
      </c>
      <c r="G23" s="106">
        <v>62.888265224540611</v>
      </c>
    </row>
    <row r="24" spans="2:7" x14ac:dyDescent="0.35">
      <c r="B24" s="107"/>
      <c r="C24" s="108"/>
      <c r="D24" s="108"/>
      <c r="E24" s="108"/>
      <c r="F24" s="108"/>
      <c r="G24" s="108"/>
    </row>
    <row r="26" spans="2:7" x14ac:dyDescent="0.35">
      <c r="B26" s="851" t="s">
        <v>132</v>
      </c>
      <c r="C26" s="851"/>
      <c r="D26" s="851"/>
      <c r="E26" s="851"/>
      <c r="F26" s="851"/>
      <c r="G26" s="851"/>
    </row>
    <row r="38" spans="2:7" ht="15" thickBot="1" x14ac:dyDescent="0.4"/>
    <row r="39" spans="2:7" ht="15" thickBot="1" x14ac:dyDescent="0.4">
      <c r="B39" s="105" t="s">
        <v>104</v>
      </c>
      <c r="C39" s="105" t="s">
        <v>144</v>
      </c>
      <c r="D39" s="105" t="s">
        <v>147</v>
      </c>
      <c r="E39" s="105" t="s">
        <v>148</v>
      </c>
      <c r="F39" s="105" t="s">
        <v>150</v>
      </c>
      <c r="G39" s="105" t="s">
        <v>155</v>
      </c>
    </row>
    <row r="40" spans="2:7" ht="15" thickBot="1" x14ac:dyDescent="0.4">
      <c r="B40" s="105" t="s">
        <v>135</v>
      </c>
      <c r="C40" s="106">
        <v>50.244698205546491</v>
      </c>
      <c r="D40" s="106">
        <v>50.109170305676855</v>
      </c>
      <c r="E40" s="106">
        <v>50.59912854030501</v>
      </c>
      <c r="F40" s="106">
        <v>50.874316939890711</v>
      </c>
      <c r="G40" s="106">
        <v>51.66757791142701</v>
      </c>
    </row>
    <row r="41" spans="2:7" ht="15" thickBot="1" x14ac:dyDescent="0.4">
      <c r="B41" s="105" t="s">
        <v>134</v>
      </c>
      <c r="C41" s="106">
        <v>35.30689886600527</v>
      </c>
      <c r="D41" s="106">
        <v>40.960746697965241</v>
      </c>
      <c r="E41" s="106">
        <v>41.148596864490401</v>
      </c>
      <c r="F41" s="106">
        <v>36.448493823881094</v>
      </c>
      <c r="G41" s="106">
        <v>37.111734775459389</v>
      </c>
    </row>
    <row r="43" spans="2:7" ht="15.5" x14ac:dyDescent="0.35">
      <c r="B43" s="791" t="s">
        <v>119</v>
      </c>
      <c r="C43" s="791"/>
      <c r="D43" s="791"/>
      <c r="E43" s="791"/>
      <c r="F43" s="791"/>
      <c r="G43" s="791"/>
    </row>
    <row r="45" spans="2:7" x14ac:dyDescent="0.35">
      <c r="C45" s="23"/>
      <c r="D45" s="23"/>
      <c r="E45" s="23"/>
      <c r="F45" s="23"/>
      <c r="G45" s="23"/>
    </row>
  </sheetData>
  <customSheetViews>
    <customSheetView guid="{6654F670-CAA9-4C4A-B3D9-226402FC46BC}" scale="85" showPageBreaks="1" printArea="1" view="pageLayout" topLeftCell="A7">
      <selection activeCell="C40" sqref="C40:G41"/>
      <pageMargins left="0.70866141732283472" right="0.70866141732283472" top="0.9055118110236221" bottom="0.74803149606299213" header="0.31496062992125984" footer="0.31496062992125984"/>
      <pageSetup paperSize="9" scale="85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cale="85" showPageBreaks="1" printArea="1" view="pageLayout" topLeftCell="A7">
      <selection activeCell="C40" sqref="C40:G41"/>
      <pageMargins left="0.70866141732283472" right="0.70866141732283472" top="0.9055118110236221" bottom="0.74803149606299213" header="0.31496062992125984" footer="0.31496062992125984"/>
      <pageSetup paperSize="9" scale="85" orientation="portrait"/>
      <headerFooter>
        <oddHeader>&amp;L&amp;G&amp;RCAMPAÑA: 2025/2026. MES: JULIO
Fecha de emisión de datos: 25/08/2026</oddHeader>
      </headerFooter>
    </customSheetView>
  </customSheetViews>
  <mergeCells count="4">
    <mergeCell ref="B4:G5"/>
    <mergeCell ref="B8:G8"/>
    <mergeCell ref="B26:G26"/>
    <mergeCell ref="B43:G43"/>
  </mergeCells>
  <pageMargins left="0.70866141732283472" right="0.70866141732283472" top="0.9055118110236221" bottom="0.74803149606299213" header="0.31496062992125984" footer="0.31496062992125984"/>
  <pageSetup paperSize="9" scale="85" orientation="portrait" r:id="rId1"/>
  <headerFooter>
    <oddHeader>&amp;L&amp;G&amp;RCAMPAÑA: 2025/2026. MES: JULIO
Fecha de emisión de datos: 25/08/2026</oddHeader>
  </headerFooter>
  <drawing r:id="rId2"/>
  <legacyDrawingHF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C1:S68"/>
  <sheetViews>
    <sheetView view="pageLayout" topLeftCell="B1" zoomScale="77" zoomScaleNormal="80" zoomScaleSheetLayoutView="100" zoomScalePageLayoutView="77" workbookViewId="0">
      <selection activeCell="D2" sqref="D2:R4"/>
    </sheetView>
  </sheetViews>
  <sheetFormatPr baseColWidth="10" defaultColWidth="11.453125" defaultRowHeight="14.5" x14ac:dyDescent="0.35"/>
  <cols>
    <col min="4" max="4" width="25.26953125" customWidth="1"/>
    <col min="5" max="5" width="21.81640625" bestFit="1" customWidth="1"/>
    <col min="6" max="6" width="11.7265625" bestFit="1" customWidth="1"/>
    <col min="7" max="7" width="14.26953125" bestFit="1" customWidth="1"/>
    <col min="8" max="8" width="13.54296875" bestFit="1" customWidth="1"/>
    <col min="17" max="17" width="15.26953125" bestFit="1" customWidth="1"/>
    <col min="18" max="18" width="12.1796875" style="10" bestFit="1" customWidth="1"/>
    <col min="19" max="19" width="9.453125" customWidth="1"/>
  </cols>
  <sheetData>
    <row r="1" spans="4:18" ht="7.5" customHeight="1" x14ac:dyDescent="0.35"/>
    <row r="2" spans="4:18" ht="15" customHeight="1" x14ac:dyDescent="0.35">
      <c r="D2" s="761" t="s">
        <v>122</v>
      </c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</row>
    <row r="3" spans="4:18" ht="15" customHeight="1" x14ac:dyDescent="0.35"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  <c r="R3" s="761"/>
    </row>
    <row r="4" spans="4:18" ht="4.5" customHeight="1" x14ac:dyDescent="0.35"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  <c r="O4" s="761"/>
      <c r="P4" s="761"/>
      <c r="Q4" s="761"/>
      <c r="R4" s="761"/>
    </row>
    <row r="5" spans="4:18" ht="12" customHeight="1" thickBot="1" x14ac:dyDescent="0.4"/>
    <row r="6" spans="4:18" s="5" customFormat="1" ht="33.75" customHeight="1" thickBot="1" x14ac:dyDescent="0.3">
      <c r="D6" s="50" t="s">
        <v>54</v>
      </c>
      <c r="E6" s="268" t="s">
        <v>4</v>
      </c>
      <c r="F6" s="268" t="s">
        <v>39</v>
      </c>
      <c r="G6" s="268" t="s">
        <v>40</v>
      </c>
      <c r="H6" s="268" t="s">
        <v>41</v>
      </c>
      <c r="I6" s="268" t="s">
        <v>42</v>
      </c>
      <c r="J6" s="268" t="s">
        <v>43</v>
      </c>
      <c r="K6" s="268" t="s">
        <v>44</v>
      </c>
      <c r="L6" s="268" t="s">
        <v>45</v>
      </c>
      <c r="M6" s="268" t="s">
        <v>46</v>
      </c>
      <c r="N6" s="268" t="s">
        <v>55</v>
      </c>
      <c r="O6" s="263" t="s">
        <v>56</v>
      </c>
      <c r="P6" s="268" t="s">
        <v>57</v>
      </c>
      <c r="Q6" s="268" t="s">
        <v>58</v>
      </c>
      <c r="R6" s="268" t="s">
        <v>48</v>
      </c>
    </row>
    <row r="7" spans="4:18" x14ac:dyDescent="0.35">
      <c r="D7" s="762" t="s">
        <v>74</v>
      </c>
      <c r="E7" s="28" t="s">
        <v>80</v>
      </c>
      <c r="F7" s="52">
        <v>459.8</v>
      </c>
      <c r="G7" s="46">
        <v>2627</v>
      </c>
      <c r="H7" s="46">
        <v>3414.7</v>
      </c>
      <c r="I7" s="46">
        <v>1918.7</v>
      </c>
      <c r="J7" s="46">
        <v>1826.9</v>
      </c>
      <c r="K7" s="46">
        <v>922.7</v>
      </c>
      <c r="L7" s="46">
        <v>706.7</v>
      </c>
      <c r="M7" s="46">
        <v>351.3</v>
      </c>
      <c r="N7" s="46">
        <v>695</v>
      </c>
      <c r="O7" s="46">
        <v>555.9</v>
      </c>
      <c r="P7" s="46"/>
      <c r="Q7" s="46"/>
      <c r="R7" s="290">
        <v>13478.7</v>
      </c>
    </row>
    <row r="8" spans="4:18" x14ac:dyDescent="0.35">
      <c r="D8" s="860"/>
      <c r="E8" s="119" t="s">
        <v>81</v>
      </c>
      <c r="F8" s="29">
        <v>670.6</v>
      </c>
      <c r="G8" s="37">
        <v>1481</v>
      </c>
      <c r="H8" s="37">
        <v>1739.1</v>
      </c>
      <c r="I8" s="37">
        <v>2158.6999999999998</v>
      </c>
      <c r="J8" s="37">
        <v>739.8</v>
      </c>
      <c r="K8" s="37">
        <v>1099.5999999999999</v>
      </c>
      <c r="L8" s="37">
        <v>658.7</v>
      </c>
      <c r="M8" s="37">
        <v>272.7</v>
      </c>
      <c r="N8" s="37">
        <v>1338.2</v>
      </c>
      <c r="O8" s="37">
        <v>1694.3</v>
      </c>
      <c r="P8" s="37"/>
      <c r="Q8" s="37"/>
      <c r="R8" s="290">
        <v>11852.7</v>
      </c>
    </row>
    <row r="9" spans="4:18" x14ac:dyDescent="0.35">
      <c r="D9" s="860"/>
      <c r="E9" s="119" t="s">
        <v>82</v>
      </c>
      <c r="F9" s="29">
        <v>10599.9</v>
      </c>
      <c r="G9" s="37">
        <v>13128.1</v>
      </c>
      <c r="H9" s="37">
        <v>24487.7</v>
      </c>
      <c r="I9" s="37">
        <v>33273.800000000003</v>
      </c>
      <c r="J9" s="37">
        <v>27527.7</v>
      </c>
      <c r="K9" s="37">
        <v>28193.9</v>
      </c>
      <c r="L9" s="37">
        <v>22200.6</v>
      </c>
      <c r="M9" s="37">
        <v>24892.5</v>
      </c>
      <c r="N9" s="37">
        <v>20416.5</v>
      </c>
      <c r="O9" s="37">
        <v>20965.099999999999</v>
      </c>
      <c r="P9" s="37"/>
      <c r="Q9" s="37"/>
      <c r="R9" s="290">
        <v>225685.80000000002</v>
      </c>
    </row>
    <row r="10" spans="4:18" x14ac:dyDescent="0.35">
      <c r="D10" s="860"/>
      <c r="E10" s="119" t="s">
        <v>6</v>
      </c>
      <c r="F10" s="29">
        <v>7984.6</v>
      </c>
      <c r="G10" s="37">
        <v>6354.1</v>
      </c>
      <c r="H10" s="37">
        <v>10195.1</v>
      </c>
      <c r="I10" s="37">
        <v>13991.1</v>
      </c>
      <c r="J10" s="37">
        <v>12699.1</v>
      </c>
      <c r="K10" s="37">
        <v>11981.5</v>
      </c>
      <c r="L10" s="37">
        <v>9385.4</v>
      </c>
      <c r="M10" s="37">
        <v>7105.3</v>
      </c>
      <c r="N10" s="37">
        <v>7011.9</v>
      </c>
      <c r="O10" s="37">
        <v>6446.7</v>
      </c>
      <c r="P10" s="37"/>
      <c r="Q10" s="37"/>
      <c r="R10" s="290">
        <v>93154.799999999988</v>
      </c>
    </row>
    <row r="11" spans="4:18" x14ac:dyDescent="0.35">
      <c r="D11" s="860"/>
      <c r="E11" s="119" t="s">
        <v>7</v>
      </c>
      <c r="F11" s="29">
        <v>719.4</v>
      </c>
      <c r="G11" s="37">
        <v>1336.7</v>
      </c>
      <c r="H11" s="37">
        <v>1576.7</v>
      </c>
      <c r="I11" s="37">
        <v>1317.8</v>
      </c>
      <c r="J11" s="37">
        <v>1601.8</v>
      </c>
      <c r="K11" s="37">
        <v>962.7</v>
      </c>
      <c r="L11" s="37">
        <v>847.6</v>
      </c>
      <c r="M11" s="37">
        <v>838.6</v>
      </c>
      <c r="N11" s="37">
        <v>1080.7</v>
      </c>
      <c r="O11" s="37">
        <v>2766.9</v>
      </c>
      <c r="P11" s="37"/>
      <c r="Q11" s="37"/>
      <c r="R11" s="290">
        <v>13048.900000000001</v>
      </c>
    </row>
    <row r="12" spans="4:18" x14ac:dyDescent="0.35">
      <c r="D12" s="860"/>
      <c r="E12" s="119" t="s">
        <v>83</v>
      </c>
      <c r="F12" s="29">
        <v>46914.5</v>
      </c>
      <c r="G12" s="37">
        <v>26610</v>
      </c>
      <c r="H12" s="37">
        <v>28077.8</v>
      </c>
      <c r="I12" s="37">
        <v>44777.599999999999</v>
      </c>
      <c r="J12" s="37">
        <v>45432.1</v>
      </c>
      <c r="K12" s="37">
        <v>45481</v>
      </c>
      <c r="L12" s="37">
        <v>37056.400000000001</v>
      </c>
      <c r="M12" s="37">
        <v>34305.699999999997</v>
      </c>
      <c r="N12" s="37">
        <v>32296.1</v>
      </c>
      <c r="O12" s="37">
        <v>31405.7</v>
      </c>
      <c r="P12" s="37"/>
      <c r="Q12" s="37"/>
      <c r="R12" s="290">
        <v>372356.9</v>
      </c>
    </row>
    <row r="13" spans="4:18" x14ac:dyDescent="0.35">
      <c r="D13" s="860"/>
      <c r="E13" s="119" t="s">
        <v>84</v>
      </c>
      <c r="F13" s="29">
        <v>1802.1</v>
      </c>
      <c r="G13" s="37">
        <v>4816</v>
      </c>
      <c r="H13" s="37">
        <v>6359.4</v>
      </c>
      <c r="I13" s="37">
        <v>9708.2999999999993</v>
      </c>
      <c r="J13" s="37">
        <v>5271.7</v>
      </c>
      <c r="K13" s="37">
        <v>5847.2</v>
      </c>
      <c r="L13" s="37">
        <v>5783.2</v>
      </c>
      <c r="M13" s="37">
        <v>4911.8999999999996</v>
      </c>
      <c r="N13" s="37">
        <v>6355.8</v>
      </c>
      <c r="O13" s="37">
        <v>3768.1</v>
      </c>
      <c r="P13" s="37"/>
      <c r="Q13" s="37"/>
      <c r="R13" s="290">
        <v>54623.7</v>
      </c>
    </row>
    <row r="14" spans="4:18" x14ac:dyDescent="0.35">
      <c r="D14" s="860"/>
      <c r="E14" s="32" t="s">
        <v>8</v>
      </c>
      <c r="F14" s="33">
        <v>7013.4</v>
      </c>
      <c r="G14" s="38">
        <v>13697</v>
      </c>
      <c r="H14" s="38">
        <v>12302.2</v>
      </c>
      <c r="I14" s="38">
        <v>12541.5</v>
      </c>
      <c r="J14" s="38">
        <v>9981.5</v>
      </c>
      <c r="K14" s="38">
        <v>11292.9</v>
      </c>
      <c r="L14" s="38">
        <v>9366.2000000000007</v>
      </c>
      <c r="M14" s="38">
        <v>9675.9</v>
      </c>
      <c r="N14" s="38">
        <v>9483.9</v>
      </c>
      <c r="O14" s="38">
        <v>9057.6</v>
      </c>
      <c r="P14" s="38"/>
      <c r="Q14" s="38"/>
      <c r="R14" s="290">
        <v>104412.09999999999</v>
      </c>
    </row>
    <row r="15" spans="4:18" s="10" customFormat="1" ht="15" thickBot="1" x14ac:dyDescent="0.4">
      <c r="D15" s="804"/>
      <c r="E15" s="117" t="s">
        <v>72</v>
      </c>
      <c r="F15" s="35">
        <v>76164.3</v>
      </c>
      <c r="G15" s="110">
        <v>70049.899999999994</v>
      </c>
      <c r="H15" s="110">
        <v>88152.699999999983</v>
      </c>
      <c r="I15" s="110">
        <v>119687.50000000001</v>
      </c>
      <c r="J15" s="110">
        <v>105080.59999999999</v>
      </c>
      <c r="K15" s="110">
        <v>105781.49999999999</v>
      </c>
      <c r="L15" s="110">
        <v>86004.799999999988</v>
      </c>
      <c r="M15" s="110">
        <v>82353.899999999994</v>
      </c>
      <c r="N15" s="110">
        <v>78678.099999999991</v>
      </c>
      <c r="O15" s="110">
        <v>76660.300000000017</v>
      </c>
      <c r="P15" s="110"/>
      <c r="Q15" s="110"/>
      <c r="R15" s="111">
        <v>888613.6</v>
      </c>
    </row>
    <row r="16" spans="4:18" x14ac:dyDescent="0.35">
      <c r="D16" s="762" t="s">
        <v>75</v>
      </c>
      <c r="E16" s="119" t="s">
        <v>10</v>
      </c>
      <c r="F16" s="29">
        <v>91.5</v>
      </c>
      <c r="G16" s="37">
        <v>851.7</v>
      </c>
      <c r="H16" s="37">
        <v>547.6</v>
      </c>
      <c r="I16" s="37">
        <v>152.80000000000001</v>
      </c>
      <c r="J16" s="37">
        <v>125.1</v>
      </c>
      <c r="K16" s="37">
        <v>84.4</v>
      </c>
      <c r="L16" s="37">
        <v>31.6</v>
      </c>
      <c r="M16" s="37">
        <v>40.799999999999997</v>
      </c>
      <c r="N16" s="37">
        <v>29.9</v>
      </c>
      <c r="O16" s="37">
        <v>96</v>
      </c>
      <c r="P16" s="37"/>
      <c r="Q16" s="37"/>
      <c r="R16" s="290">
        <v>2051.4</v>
      </c>
    </row>
    <row r="17" spans="4:19" x14ac:dyDescent="0.35">
      <c r="D17" s="860"/>
      <c r="E17" s="119" t="s">
        <v>11</v>
      </c>
      <c r="F17" s="29">
        <v>168.7</v>
      </c>
      <c r="G17" s="37">
        <v>300.7</v>
      </c>
      <c r="H17" s="37">
        <v>1460.6</v>
      </c>
      <c r="I17" s="37">
        <v>1473</v>
      </c>
      <c r="J17" s="37">
        <v>953.8</v>
      </c>
      <c r="K17" s="37">
        <v>628.6</v>
      </c>
      <c r="L17" s="37">
        <v>945</v>
      </c>
      <c r="M17" s="37">
        <v>740.5</v>
      </c>
      <c r="N17" s="37">
        <v>398.5</v>
      </c>
      <c r="O17" s="37">
        <v>479.6</v>
      </c>
      <c r="P17" s="37"/>
      <c r="Q17" s="37"/>
      <c r="R17" s="290">
        <v>7549.0000000000009</v>
      </c>
    </row>
    <row r="18" spans="4:19" x14ac:dyDescent="0.35">
      <c r="D18" s="860"/>
      <c r="E18" s="32" t="s">
        <v>12</v>
      </c>
      <c r="F18" s="33">
        <v>187.8</v>
      </c>
      <c r="G18" s="38">
        <v>449.3</v>
      </c>
      <c r="H18" s="38">
        <v>606.20000000000005</v>
      </c>
      <c r="I18" s="38">
        <v>969.7</v>
      </c>
      <c r="J18" s="38">
        <v>881.6</v>
      </c>
      <c r="K18" s="38">
        <v>790.8</v>
      </c>
      <c r="L18" s="38">
        <v>410.3</v>
      </c>
      <c r="M18" s="38">
        <v>181.9</v>
      </c>
      <c r="N18" s="38">
        <v>244.3</v>
      </c>
      <c r="O18" s="38">
        <v>105.2</v>
      </c>
      <c r="P18" s="38"/>
      <c r="Q18" s="38"/>
      <c r="R18" s="290">
        <v>4827.0999999999995</v>
      </c>
    </row>
    <row r="19" spans="4:19" s="10" customFormat="1" ht="15" thickBot="1" x14ac:dyDescent="0.4">
      <c r="D19" s="804"/>
      <c r="E19" s="117" t="s">
        <v>72</v>
      </c>
      <c r="F19" s="35">
        <v>448</v>
      </c>
      <c r="G19" s="35">
        <v>1601.7</v>
      </c>
      <c r="H19" s="35">
        <v>2614.3999999999996</v>
      </c>
      <c r="I19" s="35">
        <v>2595.5</v>
      </c>
      <c r="J19" s="35">
        <v>1960.5</v>
      </c>
      <c r="K19" s="35">
        <v>1503.8</v>
      </c>
      <c r="L19" s="35">
        <v>1386.9</v>
      </c>
      <c r="M19" s="35">
        <v>963.19999999999993</v>
      </c>
      <c r="N19" s="35">
        <v>672.7</v>
      </c>
      <c r="O19" s="35">
        <v>680.80000000000007</v>
      </c>
      <c r="P19" s="35"/>
      <c r="Q19" s="35"/>
      <c r="R19" s="111">
        <v>14427.5</v>
      </c>
    </row>
    <row r="20" spans="4:19" x14ac:dyDescent="0.35">
      <c r="D20" s="762" t="s">
        <v>13</v>
      </c>
      <c r="E20" s="40" t="s">
        <v>13</v>
      </c>
      <c r="F20" s="41">
        <v>221.1</v>
      </c>
      <c r="G20" s="42">
        <v>297.2</v>
      </c>
      <c r="H20" s="42">
        <v>100.6</v>
      </c>
      <c r="I20" s="42">
        <v>36.799999999999997</v>
      </c>
      <c r="J20" s="46">
        <v>25</v>
      </c>
      <c r="K20" s="37">
        <v>37.1</v>
      </c>
      <c r="L20" s="37">
        <v>23.9</v>
      </c>
      <c r="M20" s="37">
        <v>28.7</v>
      </c>
      <c r="N20" s="37">
        <v>36.9</v>
      </c>
      <c r="O20" s="37">
        <v>29.7</v>
      </c>
      <c r="P20" s="37"/>
      <c r="Q20" s="37"/>
      <c r="R20" s="290">
        <v>837</v>
      </c>
    </row>
    <row r="21" spans="4:19" s="10" customFormat="1" ht="15" thickBot="1" x14ac:dyDescent="0.4">
      <c r="D21" s="804"/>
      <c r="E21" s="117" t="s">
        <v>72</v>
      </c>
      <c r="F21" s="35">
        <v>221.1</v>
      </c>
      <c r="G21" s="110">
        <v>297.2</v>
      </c>
      <c r="H21" s="110">
        <v>100.6</v>
      </c>
      <c r="I21" s="110">
        <v>36.799999999999997</v>
      </c>
      <c r="J21" s="112">
        <v>25</v>
      </c>
      <c r="K21" s="112">
        <v>37.1</v>
      </c>
      <c r="L21" s="112">
        <v>23.9</v>
      </c>
      <c r="M21" s="112">
        <v>28.7</v>
      </c>
      <c r="N21" s="112">
        <v>36.9</v>
      </c>
      <c r="O21" s="112">
        <v>29.7</v>
      </c>
      <c r="P21" s="112"/>
      <c r="Q21" s="112"/>
      <c r="R21" s="111">
        <v>837</v>
      </c>
      <c r="S21" s="13"/>
    </row>
    <row r="22" spans="4:19" x14ac:dyDescent="0.35">
      <c r="D22" s="762" t="s">
        <v>87</v>
      </c>
      <c r="E22" s="28" t="s">
        <v>14</v>
      </c>
      <c r="F22" s="29">
        <v>266.10000000000002</v>
      </c>
      <c r="G22" s="37">
        <v>1278.3</v>
      </c>
      <c r="H22" s="37">
        <v>2082.1999999999998</v>
      </c>
      <c r="I22" s="37">
        <v>1471.5</v>
      </c>
      <c r="J22" s="37">
        <v>539.5</v>
      </c>
      <c r="K22" s="37">
        <v>829.6</v>
      </c>
      <c r="L22" s="37">
        <v>989.1</v>
      </c>
      <c r="M22" s="37">
        <v>717</v>
      </c>
      <c r="N22" s="37">
        <v>461</v>
      </c>
      <c r="O22" s="37">
        <v>243.7</v>
      </c>
      <c r="P22" s="37"/>
      <c r="Q22" s="37"/>
      <c r="R22" s="290">
        <v>8878.0000000000018</v>
      </c>
    </row>
    <row r="23" spans="4:19" x14ac:dyDescent="0.35">
      <c r="D23" s="860"/>
      <c r="E23" s="119" t="s">
        <v>85</v>
      </c>
      <c r="F23" s="29">
        <v>212.2</v>
      </c>
      <c r="G23" s="37">
        <v>998.5</v>
      </c>
      <c r="H23" s="37">
        <v>1064.2</v>
      </c>
      <c r="I23" s="37">
        <v>995.4</v>
      </c>
      <c r="J23" s="37">
        <v>670.8</v>
      </c>
      <c r="K23" s="37">
        <v>397.1</v>
      </c>
      <c r="L23" s="37">
        <v>367.3</v>
      </c>
      <c r="M23" s="37">
        <v>222.7</v>
      </c>
      <c r="N23" s="37">
        <v>151.19999999999999</v>
      </c>
      <c r="O23" s="37">
        <v>85.3</v>
      </c>
      <c r="P23" s="37"/>
      <c r="Q23" s="37"/>
      <c r="R23" s="290">
        <v>5164.7000000000007</v>
      </c>
    </row>
    <row r="24" spans="4:19" x14ac:dyDescent="0.35">
      <c r="D24" s="860"/>
      <c r="E24" s="32" t="s">
        <v>15</v>
      </c>
      <c r="F24" s="33">
        <v>71.7</v>
      </c>
      <c r="G24" s="38">
        <v>1151.5</v>
      </c>
      <c r="H24" s="38">
        <v>1511.6</v>
      </c>
      <c r="I24" s="38">
        <v>1051.5999999999999</v>
      </c>
      <c r="J24" s="38">
        <v>1517.9</v>
      </c>
      <c r="K24" s="38">
        <v>1003.8</v>
      </c>
      <c r="L24" s="38">
        <v>474.3</v>
      </c>
      <c r="M24" s="38">
        <v>220.2</v>
      </c>
      <c r="N24" s="38">
        <v>189.1</v>
      </c>
      <c r="O24" s="38">
        <v>374.2</v>
      </c>
      <c r="P24" s="38"/>
      <c r="Q24" s="38"/>
      <c r="R24" s="290">
        <v>7565.9000000000005</v>
      </c>
    </row>
    <row r="25" spans="4:19" s="10" customFormat="1" ht="15" thickBot="1" x14ac:dyDescent="0.4">
      <c r="D25" s="804"/>
      <c r="E25" s="117" t="s">
        <v>72</v>
      </c>
      <c r="F25" s="35">
        <v>550</v>
      </c>
      <c r="G25" s="35">
        <v>3428.3</v>
      </c>
      <c r="H25" s="35">
        <v>4658</v>
      </c>
      <c r="I25" s="35">
        <v>3518.5</v>
      </c>
      <c r="J25" s="35">
        <v>2728.2</v>
      </c>
      <c r="K25" s="35">
        <v>2230.5</v>
      </c>
      <c r="L25" s="35">
        <v>1830.7</v>
      </c>
      <c r="M25" s="35">
        <v>1159.9000000000001</v>
      </c>
      <c r="N25" s="35">
        <v>801.30000000000007</v>
      </c>
      <c r="O25" s="35">
        <v>703.2</v>
      </c>
      <c r="P25" s="35"/>
      <c r="Q25" s="35"/>
      <c r="R25" s="111">
        <v>21608.600000000002</v>
      </c>
    </row>
    <row r="26" spans="4:19" s="10" customFormat="1" x14ac:dyDescent="0.35">
      <c r="D26" s="762" t="s">
        <v>151</v>
      </c>
      <c r="E26" s="28" t="s">
        <v>152</v>
      </c>
      <c r="F26" s="29">
        <v>8.9</v>
      </c>
      <c r="G26" s="29">
        <v>0.1</v>
      </c>
      <c r="H26" s="29">
        <v>0.8</v>
      </c>
      <c r="I26" s="29">
        <v>0.9</v>
      </c>
      <c r="J26" s="29">
        <v>1</v>
      </c>
      <c r="K26" s="29">
        <v>1.1000000000000001</v>
      </c>
      <c r="L26" s="29">
        <v>1.1000000000000001</v>
      </c>
      <c r="M26" s="29">
        <v>0.5</v>
      </c>
      <c r="N26" s="29">
        <v>0.3</v>
      </c>
      <c r="O26" s="29">
        <v>0.3</v>
      </c>
      <c r="P26" s="29"/>
      <c r="Q26" s="29"/>
      <c r="R26" s="290">
        <v>15.000000000000002</v>
      </c>
    </row>
    <row r="27" spans="4:19" s="10" customFormat="1" x14ac:dyDescent="0.35">
      <c r="D27" s="860"/>
      <c r="E27" s="32" t="s">
        <v>153</v>
      </c>
      <c r="F27" s="29">
        <v>15.7</v>
      </c>
      <c r="G27" s="29">
        <v>2.2999999999999998</v>
      </c>
      <c r="H27" s="29">
        <v>0.1</v>
      </c>
      <c r="I27" s="29">
        <v>0</v>
      </c>
      <c r="J27" s="29">
        <v>0</v>
      </c>
      <c r="K27" s="29">
        <v>0</v>
      </c>
      <c r="L27" s="29">
        <v>0</v>
      </c>
      <c r="M27" s="29">
        <v>0</v>
      </c>
      <c r="N27" s="29">
        <v>0</v>
      </c>
      <c r="O27" s="29">
        <v>0</v>
      </c>
      <c r="P27" s="29"/>
      <c r="Q27" s="29"/>
      <c r="R27" s="290">
        <v>18.100000000000001</v>
      </c>
    </row>
    <row r="28" spans="4:19" s="10" customFormat="1" ht="15" thickBot="1" x14ac:dyDescent="0.4">
      <c r="D28" s="804"/>
      <c r="E28" s="48" t="s">
        <v>72</v>
      </c>
      <c r="F28" s="113">
        <v>24.6</v>
      </c>
      <c r="G28" s="112">
        <v>2.4</v>
      </c>
      <c r="H28" s="113">
        <v>0.9</v>
      </c>
      <c r="I28" s="113">
        <v>0.9</v>
      </c>
      <c r="J28" s="113">
        <v>1</v>
      </c>
      <c r="K28" s="113">
        <v>1.1000000000000001</v>
      </c>
      <c r="L28" s="113">
        <v>1.1000000000000001</v>
      </c>
      <c r="M28" s="113">
        <v>0.5</v>
      </c>
      <c r="N28" s="113">
        <v>0.3</v>
      </c>
      <c r="O28" s="113">
        <v>0.3</v>
      </c>
      <c r="P28" s="113"/>
      <c r="Q28" s="113"/>
      <c r="R28" s="111">
        <v>33.1</v>
      </c>
    </row>
    <row r="29" spans="4:19" x14ac:dyDescent="0.35">
      <c r="D29" s="762" t="s">
        <v>73</v>
      </c>
      <c r="E29" s="119" t="s">
        <v>16</v>
      </c>
      <c r="F29" s="29">
        <v>284.2</v>
      </c>
      <c r="G29" s="37">
        <v>1106</v>
      </c>
      <c r="H29" s="37">
        <v>2109</v>
      </c>
      <c r="I29" s="37">
        <v>2602.5</v>
      </c>
      <c r="J29" s="37">
        <v>2169.1999999999998</v>
      </c>
      <c r="K29" s="37">
        <v>1872.4</v>
      </c>
      <c r="L29" s="37">
        <v>1422</v>
      </c>
      <c r="M29" s="37">
        <v>1007.7</v>
      </c>
      <c r="N29" s="37">
        <v>836.3</v>
      </c>
      <c r="O29" s="37">
        <v>653.6</v>
      </c>
      <c r="P29" s="37"/>
      <c r="Q29" s="37"/>
      <c r="R29" s="290">
        <v>14062.9</v>
      </c>
    </row>
    <row r="30" spans="4:19" x14ac:dyDescent="0.35">
      <c r="D30" s="860"/>
      <c r="E30" s="119" t="s">
        <v>17</v>
      </c>
      <c r="F30" s="29">
        <v>2800.9</v>
      </c>
      <c r="G30" s="37">
        <v>1692.7</v>
      </c>
      <c r="H30" s="37">
        <v>6605.8</v>
      </c>
      <c r="I30" s="37">
        <v>13076.2</v>
      </c>
      <c r="J30" s="37">
        <v>5829.8</v>
      </c>
      <c r="K30" s="37">
        <v>8325.5</v>
      </c>
      <c r="L30" s="37">
        <v>6095.7</v>
      </c>
      <c r="M30" s="37">
        <v>4104.3999999999996</v>
      </c>
      <c r="N30" s="37">
        <v>3701.8</v>
      </c>
      <c r="O30" s="37">
        <v>6245.4</v>
      </c>
      <c r="P30" s="37"/>
      <c r="Q30" s="37"/>
      <c r="R30" s="290">
        <v>58478.200000000004</v>
      </c>
    </row>
    <row r="31" spans="4:19" x14ac:dyDescent="0.35">
      <c r="D31" s="860"/>
      <c r="E31" s="119" t="s">
        <v>18</v>
      </c>
      <c r="F31" s="29">
        <v>362.1</v>
      </c>
      <c r="G31" s="37">
        <v>229.6</v>
      </c>
      <c r="H31" s="37">
        <v>436.1</v>
      </c>
      <c r="I31" s="37">
        <v>433.7</v>
      </c>
      <c r="J31" s="37">
        <v>1079</v>
      </c>
      <c r="K31" s="37">
        <v>1062.2</v>
      </c>
      <c r="L31" s="37">
        <v>885</v>
      </c>
      <c r="M31" s="37">
        <v>571.70000000000005</v>
      </c>
      <c r="N31" s="37">
        <v>495.9</v>
      </c>
      <c r="O31" s="37">
        <v>316</v>
      </c>
      <c r="P31" s="37"/>
      <c r="Q31" s="37"/>
      <c r="R31" s="290">
        <v>5871.2999999999993</v>
      </c>
    </row>
    <row r="32" spans="4:19" x14ac:dyDescent="0.35">
      <c r="D32" s="860"/>
      <c r="E32" s="119" t="s">
        <v>50</v>
      </c>
      <c r="F32" s="29">
        <v>270.3</v>
      </c>
      <c r="G32" s="37">
        <v>112</v>
      </c>
      <c r="H32" s="37">
        <v>220.8</v>
      </c>
      <c r="I32" s="37">
        <v>204.4</v>
      </c>
      <c r="J32" s="37">
        <v>155.69999999999999</v>
      </c>
      <c r="K32" s="37">
        <v>231.8</v>
      </c>
      <c r="L32" s="37">
        <v>31.1</v>
      </c>
      <c r="M32" s="37">
        <v>57.9</v>
      </c>
      <c r="N32" s="37">
        <v>198.1</v>
      </c>
      <c r="O32" s="37">
        <v>99.5</v>
      </c>
      <c r="P32" s="37"/>
      <c r="Q32" s="37"/>
      <c r="R32" s="290">
        <v>1581.6</v>
      </c>
    </row>
    <row r="33" spans="3:18" x14ac:dyDescent="0.35">
      <c r="D33" s="860"/>
      <c r="E33" s="32" t="s">
        <v>19</v>
      </c>
      <c r="F33" s="33">
        <v>1907</v>
      </c>
      <c r="G33" s="38">
        <v>2238.3000000000002</v>
      </c>
      <c r="H33" s="38">
        <v>2875.2</v>
      </c>
      <c r="I33" s="38">
        <v>4748.8999999999996</v>
      </c>
      <c r="J33" s="38">
        <v>5164.6000000000004</v>
      </c>
      <c r="K33" s="38">
        <v>3860</v>
      </c>
      <c r="L33" s="38">
        <v>2323.4</v>
      </c>
      <c r="M33" s="38">
        <v>2588.5</v>
      </c>
      <c r="N33" s="38">
        <v>2019.7</v>
      </c>
      <c r="O33" s="38">
        <v>4431.7</v>
      </c>
      <c r="P33" s="38"/>
      <c r="Q33" s="38"/>
      <c r="R33" s="290">
        <v>32157.300000000003</v>
      </c>
    </row>
    <row r="34" spans="3:18" s="10" customFormat="1" ht="15" thickBot="1" x14ac:dyDescent="0.4">
      <c r="D34" s="804"/>
      <c r="E34" s="117" t="s">
        <v>72</v>
      </c>
      <c r="F34" s="35">
        <v>5624.5</v>
      </c>
      <c r="G34" s="110">
        <v>5378.6</v>
      </c>
      <c r="H34" s="110">
        <v>12246.899999999998</v>
      </c>
      <c r="I34" s="110">
        <v>21065.7</v>
      </c>
      <c r="J34" s="110">
        <v>14398.300000000001</v>
      </c>
      <c r="K34" s="110">
        <v>15351.9</v>
      </c>
      <c r="L34" s="110">
        <v>10757.2</v>
      </c>
      <c r="M34" s="110">
        <v>8330.1999999999989</v>
      </c>
      <c r="N34" s="110">
        <v>7251.8</v>
      </c>
      <c r="O34" s="110">
        <v>11746.2</v>
      </c>
      <c r="P34" s="110"/>
      <c r="Q34" s="110"/>
      <c r="R34" s="111">
        <v>112151.30000000002</v>
      </c>
    </row>
    <row r="35" spans="3:18" x14ac:dyDescent="0.35">
      <c r="C35" s="6"/>
      <c r="D35" s="762" t="s">
        <v>76</v>
      </c>
      <c r="E35" s="28" t="s">
        <v>78</v>
      </c>
      <c r="F35" s="52">
        <v>7.5</v>
      </c>
      <c r="G35" s="46">
        <v>93.6</v>
      </c>
      <c r="H35" s="46">
        <v>159.69999999999999</v>
      </c>
      <c r="I35" s="46">
        <v>500.1</v>
      </c>
      <c r="J35" s="46">
        <v>393.7</v>
      </c>
      <c r="K35" s="46">
        <v>58.7</v>
      </c>
      <c r="L35" s="46">
        <v>34.4</v>
      </c>
      <c r="M35" s="46">
        <v>4.5</v>
      </c>
      <c r="N35" s="46">
        <v>0</v>
      </c>
      <c r="O35" s="46">
        <v>317.2</v>
      </c>
      <c r="P35" s="46"/>
      <c r="Q35" s="46"/>
      <c r="R35" s="290">
        <v>1569.4</v>
      </c>
    </row>
    <row r="36" spans="3:18" x14ac:dyDescent="0.35">
      <c r="C36" s="6"/>
      <c r="D36" s="838"/>
      <c r="E36" s="119" t="s">
        <v>157</v>
      </c>
      <c r="F36" s="29">
        <v>0</v>
      </c>
      <c r="G36" s="37">
        <v>0</v>
      </c>
      <c r="H36" s="37">
        <v>0</v>
      </c>
      <c r="I36" s="37">
        <v>0</v>
      </c>
      <c r="J36" s="37">
        <v>0</v>
      </c>
      <c r="K36" s="37">
        <v>0</v>
      </c>
      <c r="L36" s="37">
        <v>0</v>
      </c>
      <c r="M36" s="37">
        <v>0</v>
      </c>
      <c r="N36" s="37">
        <v>0</v>
      </c>
      <c r="O36" s="37">
        <v>0</v>
      </c>
      <c r="P36" s="37"/>
      <c r="Q36" s="37"/>
      <c r="R36" s="290">
        <v>0</v>
      </c>
    </row>
    <row r="37" spans="3:18" x14ac:dyDescent="0.35">
      <c r="C37" s="6"/>
      <c r="D37" s="860"/>
      <c r="E37" s="119" t="s">
        <v>20</v>
      </c>
      <c r="F37" s="29">
        <v>0.7</v>
      </c>
      <c r="G37" s="37">
        <v>0.9</v>
      </c>
      <c r="H37" s="37">
        <v>52</v>
      </c>
      <c r="I37" s="37">
        <v>38.9</v>
      </c>
      <c r="J37" s="37">
        <v>13.6</v>
      </c>
      <c r="K37" s="37">
        <v>50.7</v>
      </c>
      <c r="L37" s="37">
        <v>1.4</v>
      </c>
      <c r="M37" s="37">
        <v>0.9</v>
      </c>
      <c r="N37" s="37">
        <v>1.5</v>
      </c>
      <c r="O37" s="37">
        <v>0.6</v>
      </c>
      <c r="P37" s="37"/>
      <c r="Q37" s="37"/>
      <c r="R37" s="290">
        <v>161.20000000000002</v>
      </c>
    </row>
    <row r="38" spans="3:18" x14ac:dyDescent="0.35">
      <c r="C38" s="6"/>
      <c r="D38" s="860"/>
      <c r="E38" s="119" t="s">
        <v>149</v>
      </c>
      <c r="F38" s="29">
        <v>0</v>
      </c>
      <c r="G38" s="37">
        <v>0.1</v>
      </c>
      <c r="H38" s="37">
        <v>0</v>
      </c>
      <c r="I38" s="37">
        <v>0</v>
      </c>
      <c r="J38" s="37">
        <v>0.1</v>
      </c>
      <c r="K38" s="37">
        <v>0.1</v>
      </c>
      <c r="L38" s="37">
        <v>0</v>
      </c>
      <c r="M38" s="37">
        <v>0</v>
      </c>
      <c r="N38" s="37">
        <v>0</v>
      </c>
      <c r="O38" s="37">
        <v>0</v>
      </c>
      <c r="P38" s="37"/>
      <c r="Q38" s="37"/>
      <c r="R38" s="290">
        <v>0.30000000000000004</v>
      </c>
    </row>
    <row r="39" spans="3:18" x14ac:dyDescent="0.35">
      <c r="C39" s="6"/>
      <c r="D39" s="860"/>
      <c r="E39" s="32" t="s">
        <v>21</v>
      </c>
      <c r="F39" s="33">
        <v>37</v>
      </c>
      <c r="G39" s="38">
        <v>7.9</v>
      </c>
      <c r="H39" s="38">
        <v>37.4</v>
      </c>
      <c r="I39" s="38">
        <v>13.8</v>
      </c>
      <c r="J39" s="38">
        <v>5.9</v>
      </c>
      <c r="K39" s="38">
        <v>24.3</v>
      </c>
      <c r="L39" s="38">
        <v>9.9</v>
      </c>
      <c r="M39" s="38">
        <v>18.2</v>
      </c>
      <c r="N39" s="38">
        <v>8.5</v>
      </c>
      <c r="O39" s="38">
        <v>2.2000000000000002</v>
      </c>
      <c r="P39" s="38"/>
      <c r="Q39" s="38"/>
      <c r="R39" s="290">
        <v>165.09999999999997</v>
      </c>
    </row>
    <row r="40" spans="3:18" s="10" customFormat="1" ht="15" thickBot="1" x14ac:dyDescent="0.4">
      <c r="C40" s="12"/>
      <c r="D40" s="804"/>
      <c r="E40" s="117" t="s">
        <v>72</v>
      </c>
      <c r="F40" s="35">
        <v>45.2</v>
      </c>
      <c r="G40" s="110">
        <v>102.5</v>
      </c>
      <c r="H40" s="110">
        <v>249.1</v>
      </c>
      <c r="I40" s="110">
        <v>552.79999999999995</v>
      </c>
      <c r="J40" s="110">
        <v>413.3</v>
      </c>
      <c r="K40" s="110">
        <v>133.80000000000001</v>
      </c>
      <c r="L40" s="110">
        <v>45.699999999999996</v>
      </c>
      <c r="M40" s="110">
        <v>23.6</v>
      </c>
      <c r="N40" s="110">
        <v>10</v>
      </c>
      <c r="O40" s="110">
        <v>320</v>
      </c>
      <c r="P40" s="110"/>
      <c r="Q40" s="110"/>
      <c r="R40" s="111">
        <v>1896</v>
      </c>
    </row>
    <row r="41" spans="3:18" x14ac:dyDescent="0.35">
      <c r="C41" s="6"/>
      <c r="D41" s="762" t="s">
        <v>22</v>
      </c>
      <c r="E41" s="119" t="s">
        <v>23</v>
      </c>
      <c r="F41" s="29">
        <v>242.5</v>
      </c>
      <c r="G41" s="37">
        <v>392.6</v>
      </c>
      <c r="H41" s="37">
        <v>107.1</v>
      </c>
      <c r="I41" s="37">
        <v>5.2</v>
      </c>
      <c r="J41" s="37">
        <v>3.7</v>
      </c>
      <c r="K41" s="37">
        <v>18.100000000000001</v>
      </c>
      <c r="L41" s="37">
        <v>6.6</v>
      </c>
      <c r="M41" s="37">
        <v>7.6</v>
      </c>
      <c r="N41" s="37">
        <v>8.9</v>
      </c>
      <c r="O41" s="37">
        <v>21</v>
      </c>
      <c r="P41" s="37"/>
      <c r="Q41" s="37"/>
      <c r="R41" s="290">
        <v>813.30000000000018</v>
      </c>
    </row>
    <row r="42" spans="3:18" x14ac:dyDescent="0.35">
      <c r="C42" s="6"/>
      <c r="D42" s="860"/>
      <c r="E42" s="119" t="s">
        <v>24</v>
      </c>
      <c r="F42" s="29">
        <v>64.8</v>
      </c>
      <c r="G42" s="37">
        <v>327.2</v>
      </c>
      <c r="H42" s="37">
        <v>253</v>
      </c>
      <c r="I42" s="37">
        <v>65</v>
      </c>
      <c r="J42" s="37">
        <v>25.6</v>
      </c>
      <c r="K42" s="37">
        <v>24.4</v>
      </c>
      <c r="L42" s="37">
        <v>43.7</v>
      </c>
      <c r="M42" s="37">
        <v>10</v>
      </c>
      <c r="N42" s="37">
        <v>22.3</v>
      </c>
      <c r="O42" s="37">
        <v>19.3</v>
      </c>
      <c r="P42" s="37"/>
      <c r="Q42" s="37"/>
      <c r="R42" s="290">
        <v>855.3</v>
      </c>
    </row>
    <row r="43" spans="3:18" x14ac:dyDescent="0.35">
      <c r="C43" s="6"/>
      <c r="D43" s="860"/>
      <c r="E43" s="119" t="s">
        <v>25</v>
      </c>
      <c r="F43" s="29">
        <v>464.9</v>
      </c>
      <c r="G43" s="37">
        <v>2131.8000000000002</v>
      </c>
      <c r="H43" s="37">
        <v>2483.8000000000002</v>
      </c>
      <c r="I43" s="37">
        <v>1557.3</v>
      </c>
      <c r="J43" s="37">
        <v>896</v>
      </c>
      <c r="K43" s="37">
        <v>820.2</v>
      </c>
      <c r="L43" s="37">
        <v>475.2</v>
      </c>
      <c r="M43" s="37">
        <v>685</v>
      </c>
      <c r="N43" s="37">
        <v>496.2</v>
      </c>
      <c r="O43" s="37">
        <v>415.5</v>
      </c>
      <c r="P43" s="37"/>
      <c r="Q43" s="37"/>
      <c r="R43" s="290">
        <v>10425.900000000001</v>
      </c>
    </row>
    <row r="44" spans="3:18" x14ac:dyDescent="0.35">
      <c r="C44" s="6"/>
      <c r="D44" s="860"/>
      <c r="E44" s="32" t="s">
        <v>26</v>
      </c>
      <c r="F44" s="33">
        <v>1065.7</v>
      </c>
      <c r="G44" s="38">
        <v>5179.1000000000004</v>
      </c>
      <c r="H44" s="38">
        <v>5936.5</v>
      </c>
      <c r="I44" s="38">
        <v>3932.1</v>
      </c>
      <c r="J44" s="38">
        <v>2873.8</v>
      </c>
      <c r="K44" s="38">
        <v>1193.4000000000001</v>
      </c>
      <c r="L44" s="38">
        <v>1800.1</v>
      </c>
      <c r="M44" s="38">
        <v>1051.5</v>
      </c>
      <c r="N44" s="38">
        <v>537</v>
      </c>
      <c r="O44" s="38">
        <v>813.8</v>
      </c>
      <c r="P44" s="38"/>
      <c r="Q44" s="38"/>
      <c r="R44" s="290">
        <v>24383</v>
      </c>
    </row>
    <row r="45" spans="3:18" s="10" customFormat="1" ht="15" thickBot="1" x14ac:dyDescent="0.4">
      <c r="C45" s="12"/>
      <c r="D45" s="804"/>
      <c r="E45" s="117" t="s">
        <v>72</v>
      </c>
      <c r="F45" s="35">
        <v>1837.9</v>
      </c>
      <c r="G45" s="110">
        <v>8030.7000000000007</v>
      </c>
      <c r="H45" s="35">
        <v>8780.4</v>
      </c>
      <c r="I45" s="35">
        <v>5559.6</v>
      </c>
      <c r="J45" s="35">
        <v>3799.1000000000004</v>
      </c>
      <c r="K45" s="35">
        <v>2056.1000000000004</v>
      </c>
      <c r="L45" s="35">
        <v>2325.6</v>
      </c>
      <c r="M45" s="35">
        <v>1754.1</v>
      </c>
      <c r="N45" s="35">
        <v>1064.4000000000001</v>
      </c>
      <c r="O45" s="35">
        <v>1269.5999999999999</v>
      </c>
      <c r="P45" s="35"/>
      <c r="Q45" s="35"/>
      <c r="R45" s="111">
        <v>36477.5</v>
      </c>
    </row>
    <row r="46" spans="3:18" x14ac:dyDescent="0.35">
      <c r="C46" s="6"/>
      <c r="D46" s="762" t="s">
        <v>27</v>
      </c>
      <c r="E46" s="119" t="s">
        <v>28</v>
      </c>
      <c r="F46" s="29">
        <v>2255.1999999999998</v>
      </c>
      <c r="G46" s="37">
        <v>7202.5</v>
      </c>
      <c r="H46" s="37">
        <v>8201.2000000000007</v>
      </c>
      <c r="I46" s="37">
        <v>8188.2</v>
      </c>
      <c r="J46" s="37">
        <v>7664.5</v>
      </c>
      <c r="K46" s="37">
        <v>9226.2000000000007</v>
      </c>
      <c r="L46" s="37">
        <v>5158.8999999999996</v>
      </c>
      <c r="M46" s="37">
        <v>4614.5</v>
      </c>
      <c r="N46" s="37">
        <v>3069.5</v>
      </c>
      <c r="O46" s="37">
        <v>3326.2</v>
      </c>
      <c r="P46" s="37"/>
      <c r="Q46" s="37"/>
      <c r="R46" s="290">
        <v>58906.9</v>
      </c>
    </row>
    <row r="47" spans="3:18" x14ac:dyDescent="0.35">
      <c r="C47" s="6"/>
      <c r="D47" s="860"/>
      <c r="E47" s="119" t="s">
        <v>79</v>
      </c>
      <c r="F47" s="29">
        <v>470</v>
      </c>
      <c r="G47" s="37">
        <v>1931.3</v>
      </c>
      <c r="H47" s="37">
        <v>1908.3</v>
      </c>
      <c r="I47" s="37">
        <v>1122.0999999999999</v>
      </c>
      <c r="J47" s="38">
        <v>928.3</v>
      </c>
      <c r="K47" s="38">
        <v>917.5</v>
      </c>
      <c r="L47" s="38">
        <v>901.1</v>
      </c>
      <c r="M47" s="38">
        <v>885.1</v>
      </c>
      <c r="N47" s="38">
        <v>368.1</v>
      </c>
      <c r="O47" s="38">
        <v>287.3</v>
      </c>
      <c r="P47" s="38"/>
      <c r="Q47" s="38"/>
      <c r="R47" s="290">
        <v>9719.1</v>
      </c>
    </row>
    <row r="48" spans="3:18" s="10" customFormat="1" ht="15" thickBot="1" x14ac:dyDescent="0.4">
      <c r="C48" s="12"/>
      <c r="D48" s="804"/>
      <c r="E48" s="48" t="s">
        <v>72</v>
      </c>
      <c r="F48" s="113">
        <v>2725.2</v>
      </c>
      <c r="G48" s="112">
        <v>9133.7999999999993</v>
      </c>
      <c r="H48" s="113">
        <v>10109.5</v>
      </c>
      <c r="I48" s="113">
        <v>9310.2999999999993</v>
      </c>
      <c r="J48" s="113">
        <v>8592.7999999999993</v>
      </c>
      <c r="K48" s="113">
        <v>10143.700000000001</v>
      </c>
      <c r="L48" s="113">
        <v>6060</v>
      </c>
      <c r="M48" s="113">
        <v>5499.6</v>
      </c>
      <c r="N48" s="113">
        <v>3437.6</v>
      </c>
      <c r="O48" s="113">
        <v>3613.5</v>
      </c>
      <c r="P48" s="110"/>
      <c r="Q48" s="113"/>
      <c r="R48" s="111">
        <v>68626</v>
      </c>
    </row>
    <row r="49" spans="3:19" x14ac:dyDescent="0.35">
      <c r="C49" s="6"/>
      <c r="D49" s="762" t="s">
        <v>29</v>
      </c>
      <c r="E49" s="32" t="s">
        <v>30</v>
      </c>
      <c r="F49" s="33">
        <v>0</v>
      </c>
      <c r="G49" s="38">
        <v>0.6</v>
      </c>
      <c r="H49" s="38">
        <v>0.4</v>
      </c>
      <c r="I49" s="38">
        <v>7.4</v>
      </c>
      <c r="J49" s="42">
        <v>0.6</v>
      </c>
      <c r="K49" s="42">
        <v>0.4</v>
      </c>
      <c r="L49" s="42">
        <v>0.3</v>
      </c>
      <c r="M49" s="42">
        <v>1.2</v>
      </c>
      <c r="N49" s="42">
        <v>0.8</v>
      </c>
      <c r="O49" s="42">
        <v>0.3</v>
      </c>
      <c r="P49" s="42"/>
      <c r="Q49" s="42"/>
      <c r="R49" s="291">
        <v>12.000000000000002</v>
      </c>
    </row>
    <row r="50" spans="3:19" s="10" customFormat="1" ht="15" thickBot="1" x14ac:dyDescent="0.4">
      <c r="C50" s="12"/>
      <c r="D50" s="804"/>
      <c r="E50" s="48" t="s">
        <v>72</v>
      </c>
      <c r="F50" s="113">
        <v>0</v>
      </c>
      <c r="G50" s="113">
        <v>0.6</v>
      </c>
      <c r="H50" s="113">
        <v>0.4</v>
      </c>
      <c r="I50" s="113">
        <v>7.4</v>
      </c>
      <c r="J50" s="113">
        <v>0.6</v>
      </c>
      <c r="K50" s="113">
        <v>0.4</v>
      </c>
      <c r="L50" s="113">
        <v>0.3</v>
      </c>
      <c r="M50" s="113">
        <v>1.2</v>
      </c>
      <c r="N50" s="113">
        <v>0.8</v>
      </c>
      <c r="O50" s="113">
        <v>0.3</v>
      </c>
      <c r="P50" s="113"/>
      <c r="Q50" s="113"/>
      <c r="R50" s="111">
        <v>12.000000000000002</v>
      </c>
    </row>
    <row r="51" spans="3:19" x14ac:dyDescent="0.35">
      <c r="C51" s="6"/>
      <c r="D51" s="762" t="s">
        <v>31</v>
      </c>
      <c r="E51" s="87" t="s">
        <v>31</v>
      </c>
      <c r="F51" s="33">
        <v>116.1</v>
      </c>
      <c r="G51" s="38">
        <v>53.1</v>
      </c>
      <c r="H51" s="38">
        <v>318.3</v>
      </c>
      <c r="I51" s="38">
        <v>91.8</v>
      </c>
      <c r="J51" s="42">
        <v>336.2</v>
      </c>
      <c r="K51" s="42">
        <v>297.7</v>
      </c>
      <c r="L51" s="42">
        <v>295.5</v>
      </c>
      <c r="M51" s="42">
        <v>184.5</v>
      </c>
      <c r="N51" s="42">
        <v>148.19999999999999</v>
      </c>
      <c r="O51" s="42">
        <v>134.30000000000001</v>
      </c>
      <c r="P51" s="42"/>
      <c r="Q51" s="42"/>
      <c r="R51" s="291">
        <v>1975.7</v>
      </c>
    </row>
    <row r="52" spans="3:19" s="10" customFormat="1" ht="15" thickBot="1" x14ac:dyDescent="0.4">
      <c r="C52" s="12"/>
      <c r="D52" s="804"/>
      <c r="E52" s="114" t="s">
        <v>72</v>
      </c>
      <c r="F52" s="113">
        <v>116.1</v>
      </c>
      <c r="G52" s="113">
        <v>53.1</v>
      </c>
      <c r="H52" s="113">
        <v>318.3</v>
      </c>
      <c r="I52" s="113">
        <v>91.8</v>
      </c>
      <c r="J52" s="113">
        <v>336.2</v>
      </c>
      <c r="K52" s="113">
        <v>297.7</v>
      </c>
      <c r="L52" s="113">
        <v>295.5</v>
      </c>
      <c r="M52" s="113">
        <v>184.5</v>
      </c>
      <c r="N52" s="113">
        <v>148.19999999999999</v>
      </c>
      <c r="O52" s="113">
        <v>134.30000000000001</v>
      </c>
      <c r="P52" s="113"/>
      <c r="Q52" s="113"/>
      <c r="R52" s="111">
        <v>1975.7</v>
      </c>
    </row>
    <row r="53" spans="3:19" x14ac:dyDescent="0.35">
      <c r="C53" s="6"/>
      <c r="D53" s="762" t="s">
        <v>32</v>
      </c>
      <c r="E53" s="75" t="s">
        <v>32</v>
      </c>
      <c r="F53" s="33">
        <v>82.1</v>
      </c>
      <c r="G53" s="38">
        <v>73.7</v>
      </c>
      <c r="H53" s="38">
        <v>132.19999999999999</v>
      </c>
      <c r="I53" s="38">
        <v>498</v>
      </c>
      <c r="J53" s="74">
        <v>406.2</v>
      </c>
      <c r="K53" s="74">
        <v>1038.3</v>
      </c>
      <c r="L53" s="37">
        <v>812.5</v>
      </c>
      <c r="M53" s="37">
        <v>187.5</v>
      </c>
      <c r="N53" s="37">
        <v>235.3</v>
      </c>
      <c r="O53" s="38">
        <v>200.1</v>
      </c>
      <c r="P53" s="38"/>
      <c r="Q53" s="38"/>
      <c r="R53" s="292">
        <v>3665.9</v>
      </c>
    </row>
    <row r="54" spans="3:19" s="10" customFormat="1" ht="15" thickBot="1" x14ac:dyDescent="0.4">
      <c r="C54" s="12"/>
      <c r="D54" s="804"/>
      <c r="E54" s="262" t="s">
        <v>72</v>
      </c>
      <c r="F54" s="113">
        <v>82.1</v>
      </c>
      <c r="G54" s="113">
        <v>73.7</v>
      </c>
      <c r="H54" s="113">
        <v>132.19999999999999</v>
      </c>
      <c r="I54" s="113">
        <v>498</v>
      </c>
      <c r="J54" s="113">
        <v>406.2</v>
      </c>
      <c r="K54" s="113">
        <v>1038.3</v>
      </c>
      <c r="L54" s="113">
        <v>812.5</v>
      </c>
      <c r="M54" s="113">
        <v>187.5</v>
      </c>
      <c r="N54" s="113">
        <v>235.3</v>
      </c>
      <c r="O54" s="113">
        <v>200.1</v>
      </c>
      <c r="P54" s="113"/>
      <c r="Q54" s="113"/>
      <c r="R54" s="111">
        <v>3665.9</v>
      </c>
    </row>
    <row r="55" spans="3:19" x14ac:dyDescent="0.35">
      <c r="C55" s="6"/>
      <c r="D55" s="762" t="s">
        <v>33</v>
      </c>
      <c r="E55" s="87" t="s">
        <v>33</v>
      </c>
      <c r="F55" s="41">
        <v>374.9</v>
      </c>
      <c r="G55" s="42">
        <v>2808</v>
      </c>
      <c r="H55" s="42">
        <v>3359.6</v>
      </c>
      <c r="I55" s="42">
        <v>1986.4</v>
      </c>
      <c r="J55" s="38">
        <v>1309.0999999999999</v>
      </c>
      <c r="K55" s="38">
        <v>953.9</v>
      </c>
      <c r="L55" s="38">
        <v>746.8</v>
      </c>
      <c r="M55" s="38">
        <v>442.1</v>
      </c>
      <c r="N55" s="38">
        <v>477.7</v>
      </c>
      <c r="O55" s="42">
        <v>420.8</v>
      </c>
      <c r="P55" s="42"/>
      <c r="Q55" s="42"/>
      <c r="R55" s="292">
        <v>12879.3</v>
      </c>
    </row>
    <row r="56" spans="3:19" s="10" customFormat="1" ht="15" thickBot="1" x14ac:dyDescent="0.4">
      <c r="C56" s="12"/>
      <c r="D56" s="804"/>
      <c r="E56" s="262" t="s">
        <v>72</v>
      </c>
      <c r="F56" s="35">
        <v>374.9</v>
      </c>
      <c r="G56" s="113">
        <v>2808</v>
      </c>
      <c r="H56" s="110">
        <v>3359.6</v>
      </c>
      <c r="I56" s="113">
        <v>1986.4</v>
      </c>
      <c r="J56" s="113">
        <v>1309.0999999999999</v>
      </c>
      <c r="K56" s="113">
        <v>953.9</v>
      </c>
      <c r="L56" s="112">
        <v>746.8</v>
      </c>
      <c r="M56" s="113">
        <v>442.1</v>
      </c>
      <c r="N56" s="113">
        <v>477.7</v>
      </c>
      <c r="O56" s="113">
        <v>420.8</v>
      </c>
      <c r="P56" s="113"/>
      <c r="Q56" s="113"/>
      <c r="R56" s="111">
        <v>12879.3</v>
      </c>
    </row>
    <row r="57" spans="3:19" x14ac:dyDescent="0.35">
      <c r="C57" s="6"/>
      <c r="D57" s="762" t="s">
        <v>34</v>
      </c>
      <c r="E57" s="87" t="s">
        <v>34</v>
      </c>
      <c r="F57" s="41">
        <v>118.9</v>
      </c>
      <c r="G57" s="42">
        <v>916.3</v>
      </c>
      <c r="H57" s="42">
        <v>929.7</v>
      </c>
      <c r="I57" s="42">
        <v>456</v>
      </c>
      <c r="J57" s="38">
        <v>1030.5999999999999</v>
      </c>
      <c r="K57" s="38">
        <v>734.1</v>
      </c>
      <c r="L57" s="38">
        <v>239.9</v>
      </c>
      <c r="M57" s="38">
        <v>292.2</v>
      </c>
      <c r="N57" s="38">
        <v>112.4</v>
      </c>
      <c r="O57" s="38">
        <v>86.8</v>
      </c>
      <c r="P57" s="38"/>
      <c r="Q57" s="38"/>
      <c r="R57" s="293">
        <v>4916.8999999999996</v>
      </c>
    </row>
    <row r="58" spans="3:19" s="10" customFormat="1" ht="15" thickBot="1" x14ac:dyDescent="0.4">
      <c r="C58" s="12"/>
      <c r="D58" s="804"/>
      <c r="E58" s="114" t="s">
        <v>72</v>
      </c>
      <c r="F58" s="113">
        <v>118.9</v>
      </c>
      <c r="G58" s="113">
        <v>916.3</v>
      </c>
      <c r="H58" s="113">
        <v>929.7</v>
      </c>
      <c r="I58" s="113">
        <v>456</v>
      </c>
      <c r="J58" s="113">
        <v>1030.5999999999999</v>
      </c>
      <c r="K58" s="113">
        <v>734.1</v>
      </c>
      <c r="L58" s="113">
        <v>239.9</v>
      </c>
      <c r="M58" s="113">
        <v>292.2</v>
      </c>
      <c r="N58" s="113">
        <v>112.4</v>
      </c>
      <c r="O58" s="113">
        <v>86.8</v>
      </c>
      <c r="P58" s="113"/>
      <c r="Q58" s="113"/>
      <c r="R58" s="111">
        <v>4916.8999999999996</v>
      </c>
    </row>
    <row r="59" spans="3:19" x14ac:dyDescent="0.35">
      <c r="C59" s="6"/>
      <c r="D59" s="762" t="s">
        <v>77</v>
      </c>
      <c r="E59" s="75" t="s">
        <v>30</v>
      </c>
      <c r="F59" s="33">
        <v>0</v>
      </c>
      <c r="G59" s="38">
        <v>52</v>
      </c>
      <c r="H59" s="38">
        <v>28.8</v>
      </c>
      <c r="I59" s="38">
        <v>39.5</v>
      </c>
      <c r="J59" s="38">
        <v>0</v>
      </c>
      <c r="K59" s="38">
        <v>0.4</v>
      </c>
      <c r="L59" s="38">
        <v>0</v>
      </c>
      <c r="M59" s="38">
        <v>0</v>
      </c>
      <c r="N59" s="38">
        <v>0</v>
      </c>
      <c r="O59" s="38">
        <v>0.1</v>
      </c>
      <c r="P59" s="42"/>
      <c r="Q59" s="42"/>
      <c r="R59" s="294">
        <v>120.8</v>
      </c>
      <c r="S59" s="4"/>
    </row>
    <row r="60" spans="3:19" s="10" customFormat="1" ht="15" thickBot="1" x14ac:dyDescent="0.4">
      <c r="C60" s="12"/>
      <c r="D60" s="804"/>
      <c r="E60" s="262" t="s">
        <v>72</v>
      </c>
      <c r="F60" s="113">
        <v>0</v>
      </c>
      <c r="G60" s="113">
        <v>52</v>
      </c>
      <c r="H60" s="113">
        <v>28.8</v>
      </c>
      <c r="I60" s="113">
        <v>39.5</v>
      </c>
      <c r="J60" s="113">
        <v>0</v>
      </c>
      <c r="K60" s="113">
        <v>0.4</v>
      </c>
      <c r="L60" s="113">
        <v>0</v>
      </c>
      <c r="M60" s="113">
        <v>0</v>
      </c>
      <c r="N60" s="113">
        <v>0</v>
      </c>
      <c r="O60" s="113">
        <v>0.1</v>
      </c>
      <c r="P60" s="113"/>
      <c r="Q60" s="113"/>
      <c r="R60" s="111">
        <v>120.8</v>
      </c>
      <c r="S60" s="13"/>
    </row>
    <row r="61" spans="3:19" s="10" customFormat="1" ht="15" thickBot="1" x14ac:dyDescent="0.4">
      <c r="C61" s="12"/>
      <c r="D61" s="814" t="s">
        <v>48</v>
      </c>
      <c r="E61" s="857"/>
      <c r="F61" s="115">
        <v>88332.800000000003</v>
      </c>
      <c r="G61" s="115">
        <v>101928.8</v>
      </c>
      <c r="H61" s="115">
        <v>131681.49999999997</v>
      </c>
      <c r="I61" s="115">
        <v>165406.69999999998</v>
      </c>
      <c r="J61" s="115">
        <v>140081.50000000003</v>
      </c>
      <c r="K61" s="115">
        <v>140264.29999999999</v>
      </c>
      <c r="L61" s="115">
        <v>110530.89999999998</v>
      </c>
      <c r="M61" s="115">
        <v>101221.2</v>
      </c>
      <c r="N61" s="115">
        <v>92927.499999999985</v>
      </c>
      <c r="O61" s="115">
        <v>95866.000000000044</v>
      </c>
      <c r="P61" s="115"/>
      <c r="Q61" s="115"/>
      <c r="R61" s="179">
        <v>1168241.2</v>
      </c>
    </row>
    <row r="62" spans="3:19" s="239" customFormat="1" ht="15" thickBot="1" x14ac:dyDescent="0.4">
      <c r="D62" s="858" t="s">
        <v>137</v>
      </c>
      <c r="E62" s="859"/>
      <c r="F62" s="270">
        <v>1829</v>
      </c>
      <c r="G62" s="270">
        <v>1820</v>
      </c>
      <c r="H62" s="270">
        <v>1814</v>
      </c>
      <c r="I62" s="270">
        <v>1813</v>
      </c>
      <c r="J62" s="270">
        <v>1806</v>
      </c>
      <c r="K62" s="271">
        <v>1803</v>
      </c>
      <c r="L62" s="271">
        <v>1802</v>
      </c>
      <c r="M62" s="271">
        <v>1797</v>
      </c>
      <c r="N62" s="271">
        <v>1788</v>
      </c>
      <c r="O62" s="271">
        <v>1766</v>
      </c>
      <c r="P62" s="271"/>
      <c r="Q62" s="271"/>
      <c r="R62" s="300" t="s">
        <v>263</v>
      </c>
    </row>
    <row r="63" spans="3:19" ht="7.5" customHeight="1" x14ac:dyDescent="0.35">
      <c r="D63" s="49"/>
      <c r="E63" s="49"/>
      <c r="F63" s="49"/>
      <c r="G63" s="49"/>
      <c r="H63" s="49"/>
      <c r="I63" s="49"/>
      <c r="J63" s="49"/>
      <c r="K63" s="49"/>
      <c r="L63" s="49"/>
      <c r="M63" s="49"/>
      <c r="N63" s="49"/>
      <c r="O63" s="49"/>
      <c r="P63" s="49"/>
      <c r="Q63" s="49"/>
      <c r="R63" s="116"/>
    </row>
    <row r="64" spans="3:19" x14ac:dyDescent="0.35">
      <c r="D64" s="854" t="s">
        <v>51</v>
      </c>
      <c r="E64" s="854"/>
      <c r="F64" s="854"/>
      <c r="G64" s="854"/>
      <c r="H64" s="854"/>
      <c r="I64" s="854"/>
      <c r="J64" s="854"/>
      <c r="K64" s="854"/>
      <c r="L64" s="854"/>
      <c r="M64" s="854"/>
      <c r="N64" s="854"/>
      <c r="O64" s="854"/>
      <c r="P64" s="854"/>
      <c r="Q64" s="854"/>
      <c r="R64" s="854"/>
    </row>
    <row r="65" spans="4:18" x14ac:dyDescent="0.35">
      <c r="D65" s="852" t="s">
        <v>52</v>
      </c>
      <c r="E65" s="853"/>
      <c r="F65" s="853"/>
      <c r="G65" s="853"/>
      <c r="H65" s="853"/>
      <c r="I65" s="853"/>
      <c r="J65" s="853"/>
      <c r="K65" s="853"/>
      <c r="L65" s="853"/>
      <c r="M65" s="853"/>
      <c r="N65" s="853"/>
      <c r="O65" s="853"/>
      <c r="P65" s="853"/>
      <c r="Q65" s="853"/>
      <c r="R65" s="853"/>
    </row>
    <row r="66" spans="4:18" x14ac:dyDescent="0.35">
      <c r="D66" s="854" t="s">
        <v>53</v>
      </c>
      <c r="E66" s="855"/>
      <c r="F66" s="855"/>
      <c r="G66" s="855"/>
      <c r="H66" s="855"/>
      <c r="I66" s="855"/>
      <c r="J66" s="855"/>
      <c r="K66" s="855"/>
      <c r="L66" s="855"/>
      <c r="M66" s="855"/>
      <c r="N66" s="855"/>
      <c r="O66" s="855"/>
      <c r="P66" s="855"/>
      <c r="Q66" s="855"/>
      <c r="R66" s="855"/>
    </row>
    <row r="67" spans="4:18" x14ac:dyDescent="0.35">
      <c r="D67" s="854" t="s">
        <v>38</v>
      </c>
      <c r="E67" s="855"/>
      <c r="F67" s="855"/>
      <c r="G67" s="855"/>
      <c r="H67" s="855"/>
      <c r="I67" s="855"/>
      <c r="J67" s="855"/>
      <c r="K67" s="855"/>
      <c r="L67" s="855"/>
      <c r="M67" s="855"/>
      <c r="N67" s="855"/>
      <c r="O67" s="855"/>
      <c r="P67" s="855"/>
      <c r="Q67" s="855"/>
      <c r="R67" s="855"/>
    </row>
    <row r="68" spans="4:18" ht="11.25" customHeight="1" x14ac:dyDescent="0.35">
      <c r="D68" s="791" t="s">
        <v>119</v>
      </c>
      <c r="E68" s="856"/>
      <c r="F68" s="856"/>
      <c r="G68" s="856"/>
      <c r="H68" s="856"/>
      <c r="I68" s="856"/>
      <c r="J68" s="856"/>
      <c r="K68" s="856"/>
      <c r="L68" s="856"/>
      <c r="M68" s="856"/>
      <c r="N68" s="856"/>
      <c r="O68" s="856"/>
      <c r="P68" s="856"/>
      <c r="Q68" s="856"/>
      <c r="R68" s="856"/>
    </row>
  </sheetData>
  <customSheetViews>
    <customSheetView guid="{6654F670-CAA9-4C4A-B3D9-226402FC46BC}" scale="77" showPageBreaks="1" printArea="1" view="pageLayout" topLeftCell="B1">
      <selection activeCell="F7" sqref="F7:R62"/>
      <pageMargins left="0.70866141732283472" right="0.70866141732283472" top="0.74803149606299213" bottom="0.64453125" header="0.31496062992125984" footer="0.31496062992125984"/>
      <pageSetup paperSize="9" scale="50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77" showPageBreaks="1" printArea="1" view="pageLayout" topLeftCell="B1">
      <selection activeCell="F7" sqref="F7:R62"/>
      <pageMargins left="0.70866141732283472" right="0.70866141732283472" top="0.74803149606299213" bottom="0.64453125" header="0.31496062992125984" footer="0.31496062992125984"/>
      <pageSetup paperSize="9" scale="50" orientation="landscape"/>
      <headerFooter>
        <oddHeader>&amp;L&amp;G&amp;RCAMPAÑA: 2025/2026. MES: JULIO
Fecha de emisión de datos: 25/08/2026</oddHeader>
      </headerFooter>
    </customSheetView>
  </customSheetViews>
  <mergeCells count="23">
    <mergeCell ref="D29:D34"/>
    <mergeCell ref="D35:D40"/>
    <mergeCell ref="D41:D45"/>
    <mergeCell ref="D46:D48"/>
    <mergeCell ref="D2:R4"/>
    <mergeCell ref="D7:D15"/>
    <mergeCell ref="D16:D19"/>
    <mergeCell ref="D20:D21"/>
    <mergeCell ref="D22:D25"/>
    <mergeCell ref="D26:D28"/>
    <mergeCell ref="D67:R67"/>
    <mergeCell ref="D68:R68"/>
    <mergeCell ref="D55:D56"/>
    <mergeCell ref="D57:D58"/>
    <mergeCell ref="D59:D60"/>
    <mergeCell ref="D61:E61"/>
    <mergeCell ref="D62:E62"/>
    <mergeCell ref="D64:R64"/>
    <mergeCell ref="D49:D50"/>
    <mergeCell ref="D51:D52"/>
    <mergeCell ref="D65:R65"/>
    <mergeCell ref="D53:D54"/>
    <mergeCell ref="D66:R66"/>
  </mergeCells>
  <pageMargins left="0.70866141732283472" right="0.70866141732283472" top="0.74803149606299213" bottom="0.64453125" header="0.31496062992125984" footer="0.31496062992125984"/>
  <pageSetup paperSize="9" scale="50" orientation="landscape" r:id="rId1"/>
  <headerFooter>
    <oddHeader>&amp;L&amp;G&amp;RCAMPAÑA: 2025/2026. MES: JULIO
Fecha de emisión de datos: 25/08/2026</oddHeader>
  </headerFooter>
  <legacyDrawingHF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5:P67"/>
  <sheetViews>
    <sheetView view="pageLayout" zoomScaleNormal="70" zoomScaleSheetLayoutView="80" workbookViewId="0">
      <selection activeCell="B5" sqref="B5:L7"/>
    </sheetView>
  </sheetViews>
  <sheetFormatPr baseColWidth="10" defaultColWidth="11.453125" defaultRowHeight="14.5" x14ac:dyDescent="0.35"/>
  <cols>
    <col min="1" max="1" width="1.1796875" customWidth="1"/>
    <col min="2" max="2" width="23.26953125" customWidth="1"/>
    <col min="3" max="3" width="21.81640625" bestFit="1" customWidth="1"/>
    <col min="4" max="4" width="11.81640625" bestFit="1" customWidth="1"/>
    <col min="5" max="5" width="14.1796875" bestFit="1" customWidth="1"/>
    <col min="6" max="6" width="13.54296875" bestFit="1" customWidth="1"/>
    <col min="7" max="7" width="12.81640625" bestFit="1" customWidth="1"/>
    <col min="8" max="8" width="12.1796875" bestFit="1" customWidth="1"/>
    <col min="12" max="12" width="12.54296875" customWidth="1"/>
    <col min="13" max="13" width="1.453125" customWidth="1"/>
  </cols>
  <sheetData>
    <row r="5" spans="1:16" ht="15" customHeight="1" x14ac:dyDescent="0.35">
      <c r="B5" s="863" t="s">
        <v>126</v>
      </c>
      <c r="C5" s="863"/>
      <c r="D5" s="863"/>
      <c r="E5" s="863"/>
      <c r="F5" s="863"/>
      <c r="G5" s="863"/>
      <c r="H5" s="863"/>
      <c r="I5" s="863"/>
      <c r="J5" s="863"/>
      <c r="K5" s="863"/>
      <c r="L5" s="863"/>
    </row>
    <row r="6" spans="1:16" ht="15" customHeight="1" x14ac:dyDescent="0.35">
      <c r="B6" s="863"/>
      <c r="C6" s="863"/>
      <c r="D6" s="863"/>
      <c r="E6" s="863"/>
      <c r="F6" s="863"/>
      <c r="G6" s="863"/>
      <c r="H6" s="863"/>
      <c r="I6" s="863"/>
      <c r="J6" s="863"/>
      <c r="K6" s="863"/>
      <c r="L6" s="863"/>
    </row>
    <row r="7" spans="1:16" ht="15" customHeight="1" x14ac:dyDescent="0.35">
      <c r="B7" s="863"/>
      <c r="C7" s="863"/>
      <c r="D7" s="863"/>
      <c r="E7" s="863"/>
      <c r="F7" s="863"/>
      <c r="G7" s="863"/>
      <c r="H7" s="863"/>
      <c r="I7" s="863"/>
      <c r="J7" s="863"/>
      <c r="K7" s="863"/>
      <c r="L7" s="863"/>
    </row>
    <row r="8" spans="1:16" ht="15" thickBot="1" x14ac:dyDescent="0.4"/>
    <row r="9" spans="1:16" ht="34.5" customHeight="1" thickBot="1" x14ac:dyDescent="0.4">
      <c r="B9" s="50" t="s">
        <v>54</v>
      </c>
      <c r="C9" s="268" t="s">
        <v>4</v>
      </c>
      <c r="D9" s="268" t="s">
        <v>39</v>
      </c>
      <c r="E9" s="268" t="s">
        <v>40</v>
      </c>
      <c r="F9" s="268" t="s">
        <v>41</v>
      </c>
      <c r="G9" s="268" t="s">
        <v>42</v>
      </c>
      <c r="H9" s="268" t="s">
        <v>43</v>
      </c>
      <c r="I9" s="268" t="s">
        <v>44</v>
      </c>
      <c r="J9" s="268" t="s">
        <v>45</v>
      </c>
      <c r="K9" s="268" t="s">
        <v>46</v>
      </c>
      <c r="L9" s="268" t="s">
        <v>48</v>
      </c>
      <c r="M9" s="24"/>
      <c r="P9" s="10"/>
    </row>
    <row r="10" spans="1:16" x14ac:dyDescent="0.35">
      <c r="A10" s="6"/>
      <c r="B10" s="762" t="s">
        <v>74</v>
      </c>
      <c r="C10" s="28" t="s">
        <v>80</v>
      </c>
      <c r="D10" s="71">
        <v>7475.4</v>
      </c>
      <c r="E10" s="72">
        <v>34748.199999999997</v>
      </c>
      <c r="F10" s="72">
        <v>30987.8</v>
      </c>
      <c r="G10" s="72">
        <v>11026.1</v>
      </c>
      <c r="H10" s="72">
        <v>1572.7</v>
      </c>
      <c r="I10" s="72">
        <v>370.6</v>
      </c>
      <c r="J10" s="72">
        <v>5.5</v>
      </c>
      <c r="K10" s="72">
        <v>0</v>
      </c>
      <c r="L10" s="53">
        <v>86186.3</v>
      </c>
      <c r="M10" s="26"/>
    </row>
    <row r="11" spans="1:16" x14ac:dyDescent="0.35">
      <c r="A11" s="6"/>
      <c r="B11" s="860"/>
      <c r="C11" s="119" t="s">
        <v>81</v>
      </c>
      <c r="D11" s="73">
        <v>11686</v>
      </c>
      <c r="E11" s="74">
        <v>30096.2</v>
      </c>
      <c r="F11" s="74">
        <v>25795.9</v>
      </c>
      <c r="G11" s="74">
        <v>13751.4</v>
      </c>
      <c r="H11" s="74">
        <v>4517.8999999999996</v>
      </c>
      <c r="I11" s="74">
        <v>2143.1999999999998</v>
      </c>
      <c r="J11" s="74">
        <v>0</v>
      </c>
      <c r="K11" s="74">
        <v>0</v>
      </c>
      <c r="L11" s="53">
        <v>87990.599999999991</v>
      </c>
      <c r="M11" s="26"/>
    </row>
    <row r="12" spans="1:16" x14ac:dyDescent="0.35">
      <c r="A12" s="6"/>
      <c r="B12" s="860"/>
      <c r="C12" s="119" t="s">
        <v>82</v>
      </c>
      <c r="D12" s="73">
        <v>34249</v>
      </c>
      <c r="E12" s="74">
        <v>295031.7</v>
      </c>
      <c r="F12" s="74">
        <v>447694.4</v>
      </c>
      <c r="G12" s="74">
        <v>328868.7</v>
      </c>
      <c r="H12" s="74">
        <v>171687.9</v>
      </c>
      <c r="I12" s="74">
        <v>133274.29999999999</v>
      </c>
      <c r="J12" s="74">
        <v>24350.400000000001</v>
      </c>
      <c r="K12" s="74">
        <v>2212.6999999999998</v>
      </c>
      <c r="L12" s="53">
        <v>1437369.0999999999</v>
      </c>
      <c r="M12" s="26"/>
    </row>
    <row r="13" spans="1:16" x14ac:dyDescent="0.35">
      <c r="A13" s="6"/>
      <c r="B13" s="860"/>
      <c r="C13" s="119" t="s">
        <v>6</v>
      </c>
      <c r="D13" s="73">
        <v>3097.6</v>
      </c>
      <c r="E13" s="74">
        <v>76503.399999999994</v>
      </c>
      <c r="F13" s="74">
        <v>168682.9</v>
      </c>
      <c r="G13" s="74">
        <v>136080.70000000001</v>
      </c>
      <c r="H13" s="74">
        <v>60338.2</v>
      </c>
      <c r="I13" s="74">
        <v>49951.199999999997</v>
      </c>
      <c r="J13" s="74">
        <v>11782.2</v>
      </c>
      <c r="K13" s="74">
        <v>1375.4</v>
      </c>
      <c r="L13" s="53">
        <v>507811.60000000003</v>
      </c>
      <c r="M13" s="26"/>
    </row>
    <row r="14" spans="1:16" x14ac:dyDescent="0.35">
      <c r="A14" s="6"/>
      <c r="B14" s="860"/>
      <c r="C14" s="119" t="s">
        <v>7</v>
      </c>
      <c r="D14" s="73">
        <v>4550.3</v>
      </c>
      <c r="E14" s="74">
        <v>38848</v>
      </c>
      <c r="F14" s="74">
        <v>33062.300000000003</v>
      </c>
      <c r="G14" s="74">
        <v>9971.7000000000007</v>
      </c>
      <c r="H14" s="74">
        <v>1222.2</v>
      </c>
      <c r="I14" s="74">
        <v>632.6</v>
      </c>
      <c r="J14" s="74">
        <v>531.79999999999995</v>
      </c>
      <c r="K14" s="74">
        <v>0</v>
      </c>
      <c r="L14" s="53">
        <v>88818.900000000009</v>
      </c>
      <c r="M14" s="26"/>
    </row>
    <row r="15" spans="1:16" x14ac:dyDescent="0.35">
      <c r="A15" s="6"/>
      <c r="B15" s="860"/>
      <c r="C15" s="119" t="s">
        <v>83</v>
      </c>
      <c r="D15" s="73">
        <v>39237.599999999999</v>
      </c>
      <c r="E15" s="74">
        <v>237545.1</v>
      </c>
      <c r="F15" s="74">
        <v>638144.6</v>
      </c>
      <c r="G15" s="74">
        <v>593812</v>
      </c>
      <c r="H15" s="74">
        <v>307414.59999999998</v>
      </c>
      <c r="I15" s="74">
        <v>121811.2</v>
      </c>
      <c r="J15" s="74">
        <v>2221.6</v>
      </c>
      <c r="K15" s="74">
        <v>211.1</v>
      </c>
      <c r="L15" s="53">
        <v>1940397.8</v>
      </c>
      <c r="M15" s="26"/>
    </row>
    <row r="16" spans="1:16" x14ac:dyDescent="0.35">
      <c r="A16" s="6"/>
      <c r="B16" s="860"/>
      <c r="C16" s="119" t="s">
        <v>84</v>
      </c>
      <c r="D16" s="73">
        <v>15389.4</v>
      </c>
      <c r="E16" s="74">
        <v>70074.2</v>
      </c>
      <c r="F16" s="74">
        <v>81648.7</v>
      </c>
      <c r="G16" s="74">
        <v>64468</v>
      </c>
      <c r="H16" s="74">
        <v>38159.1</v>
      </c>
      <c r="I16" s="74">
        <v>41463.699999999997</v>
      </c>
      <c r="J16" s="74">
        <v>13306.4</v>
      </c>
      <c r="K16" s="74">
        <v>1113.9000000000001</v>
      </c>
      <c r="L16" s="53">
        <v>325623.40000000002</v>
      </c>
      <c r="M16" s="26"/>
    </row>
    <row r="17" spans="1:13" x14ac:dyDescent="0.35">
      <c r="A17" s="6"/>
      <c r="B17" s="860"/>
      <c r="C17" s="32" t="s">
        <v>8</v>
      </c>
      <c r="D17" s="76">
        <v>69630.399999999994</v>
      </c>
      <c r="E17" s="77">
        <v>237836.6</v>
      </c>
      <c r="F17" s="77">
        <v>264854.3</v>
      </c>
      <c r="G17" s="77">
        <v>154211.6</v>
      </c>
      <c r="H17" s="77">
        <v>54921.3</v>
      </c>
      <c r="I17" s="77">
        <v>17093.3</v>
      </c>
      <c r="J17" s="77">
        <v>1172.2</v>
      </c>
      <c r="K17" s="77">
        <v>0</v>
      </c>
      <c r="L17" s="215">
        <v>799719.70000000007</v>
      </c>
      <c r="M17" s="26"/>
    </row>
    <row r="18" spans="1:13" s="10" customFormat="1" ht="15" thickBot="1" x14ac:dyDescent="0.4">
      <c r="A18" s="12"/>
      <c r="B18" s="804"/>
      <c r="C18" s="117" t="s">
        <v>72</v>
      </c>
      <c r="D18" s="181">
        <v>185315.69999999998</v>
      </c>
      <c r="E18" s="86">
        <v>1020683.3999999999</v>
      </c>
      <c r="F18" s="86">
        <v>1690870.9</v>
      </c>
      <c r="G18" s="86">
        <v>1312190.2000000002</v>
      </c>
      <c r="H18" s="86">
        <v>639833.9</v>
      </c>
      <c r="I18" s="86">
        <v>366740.1</v>
      </c>
      <c r="J18" s="86">
        <v>53370.100000000006</v>
      </c>
      <c r="K18" s="86">
        <v>4913.1000000000004</v>
      </c>
      <c r="L18" s="216">
        <v>5273917.3999999994</v>
      </c>
      <c r="M18" s="27"/>
    </row>
    <row r="19" spans="1:13" x14ac:dyDescent="0.35">
      <c r="A19" s="6"/>
      <c r="B19" s="762" t="s">
        <v>75</v>
      </c>
      <c r="C19" s="119" t="s">
        <v>10</v>
      </c>
      <c r="D19" s="73">
        <v>895.7</v>
      </c>
      <c r="E19" s="74">
        <v>6927.6</v>
      </c>
      <c r="F19" s="74">
        <v>3045</v>
      </c>
      <c r="G19" s="74">
        <v>343.2</v>
      </c>
      <c r="H19" s="74">
        <v>142.69999999999999</v>
      </c>
      <c r="I19" s="74">
        <v>0</v>
      </c>
      <c r="J19" s="74">
        <v>0</v>
      </c>
      <c r="K19" s="74">
        <v>0</v>
      </c>
      <c r="L19" s="53">
        <v>11354.2</v>
      </c>
      <c r="M19" s="26"/>
    </row>
    <row r="20" spans="1:13" x14ac:dyDescent="0.35">
      <c r="A20" s="6"/>
      <c r="B20" s="860"/>
      <c r="C20" s="119" t="s">
        <v>11</v>
      </c>
      <c r="D20" s="73">
        <v>3182.4</v>
      </c>
      <c r="E20" s="74">
        <v>10688.5</v>
      </c>
      <c r="F20" s="74">
        <v>14168.9</v>
      </c>
      <c r="G20" s="74">
        <v>8382.1</v>
      </c>
      <c r="H20" s="74">
        <v>4127.2</v>
      </c>
      <c r="I20" s="74">
        <v>2788.1</v>
      </c>
      <c r="J20" s="74">
        <v>375.8</v>
      </c>
      <c r="K20" s="74">
        <v>0</v>
      </c>
      <c r="L20" s="53">
        <v>43713</v>
      </c>
      <c r="M20" s="26"/>
    </row>
    <row r="21" spans="1:13" x14ac:dyDescent="0.35">
      <c r="A21" s="6"/>
      <c r="B21" s="860"/>
      <c r="C21" s="32" t="s">
        <v>12</v>
      </c>
      <c r="D21" s="76">
        <v>1576.6</v>
      </c>
      <c r="E21" s="77">
        <v>10906.1</v>
      </c>
      <c r="F21" s="77">
        <v>8731.9</v>
      </c>
      <c r="G21" s="77">
        <v>3030.5</v>
      </c>
      <c r="H21" s="77">
        <v>1737.3</v>
      </c>
      <c r="I21" s="77">
        <v>1256.4000000000001</v>
      </c>
      <c r="J21" s="77">
        <v>229.8</v>
      </c>
      <c r="K21" s="77">
        <v>0</v>
      </c>
      <c r="L21" s="215">
        <v>27468.6</v>
      </c>
      <c r="M21" s="26"/>
    </row>
    <row r="22" spans="1:13" s="10" customFormat="1" ht="15" thickBot="1" x14ac:dyDescent="0.4">
      <c r="A22" s="12"/>
      <c r="B22" s="804"/>
      <c r="C22" s="117" t="s">
        <v>72</v>
      </c>
      <c r="D22" s="181">
        <v>5654.7000000000007</v>
      </c>
      <c r="E22" s="86">
        <v>28522.199999999997</v>
      </c>
      <c r="F22" s="86">
        <v>25945.800000000003</v>
      </c>
      <c r="G22" s="86">
        <v>11755.800000000001</v>
      </c>
      <c r="H22" s="86">
        <v>6007.2</v>
      </c>
      <c r="I22" s="86">
        <v>4044.5</v>
      </c>
      <c r="J22" s="86">
        <v>605.6</v>
      </c>
      <c r="K22" s="86">
        <v>0</v>
      </c>
      <c r="L22" s="216">
        <v>82535.799999999988</v>
      </c>
      <c r="M22" s="27"/>
    </row>
    <row r="23" spans="1:13" x14ac:dyDescent="0.35">
      <c r="A23" s="6"/>
      <c r="B23" s="762" t="s">
        <v>13</v>
      </c>
      <c r="C23" s="40" t="s">
        <v>13</v>
      </c>
      <c r="D23" s="182">
        <v>3479</v>
      </c>
      <c r="E23" s="89">
        <v>3286.6</v>
      </c>
      <c r="F23" s="89">
        <v>873</v>
      </c>
      <c r="G23" s="89">
        <v>3.8</v>
      </c>
      <c r="H23" s="89">
        <v>2.4</v>
      </c>
      <c r="I23" s="74">
        <v>0</v>
      </c>
      <c r="J23" s="74">
        <v>0</v>
      </c>
      <c r="K23" s="74">
        <v>0</v>
      </c>
      <c r="L23" s="53">
        <v>7644.8</v>
      </c>
      <c r="M23" s="26"/>
    </row>
    <row r="24" spans="1:13" s="10" customFormat="1" ht="15" thickBot="1" x14ac:dyDescent="0.4">
      <c r="A24" s="12"/>
      <c r="B24" s="804"/>
      <c r="C24" s="117" t="s">
        <v>72</v>
      </c>
      <c r="D24" s="181">
        <v>3479</v>
      </c>
      <c r="E24" s="86">
        <v>3286.6</v>
      </c>
      <c r="F24" s="86">
        <v>873</v>
      </c>
      <c r="G24" s="86">
        <v>3.8</v>
      </c>
      <c r="H24" s="86">
        <v>2.4</v>
      </c>
      <c r="I24" s="82">
        <v>0</v>
      </c>
      <c r="J24" s="82">
        <v>0</v>
      </c>
      <c r="K24" s="82">
        <v>0</v>
      </c>
      <c r="L24" s="217">
        <v>7644.8</v>
      </c>
      <c r="M24" s="27"/>
    </row>
    <row r="25" spans="1:13" s="10" customFormat="1" x14ac:dyDescent="0.35">
      <c r="A25" s="12"/>
      <c r="B25" s="762" t="s">
        <v>151</v>
      </c>
      <c r="C25" s="119" t="s">
        <v>152</v>
      </c>
      <c r="D25" s="73">
        <v>125.7</v>
      </c>
      <c r="E25" s="74">
        <v>5.0999999999999996</v>
      </c>
      <c r="F25" s="74">
        <v>5.6</v>
      </c>
      <c r="G25" s="74">
        <v>4.7</v>
      </c>
      <c r="H25" s="74">
        <v>0</v>
      </c>
      <c r="I25" s="74">
        <v>0</v>
      </c>
      <c r="J25" s="74">
        <v>0</v>
      </c>
      <c r="K25" s="74">
        <v>1.7</v>
      </c>
      <c r="L25" s="53">
        <v>142.79999999999998</v>
      </c>
      <c r="M25" s="27"/>
    </row>
    <row r="26" spans="1:13" s="10" customFormat="1" x14ac:dyDescent="0.35">
      <c r="A26" s="12"/>
      <c r="B26" s="860"/>
      <c r="C26" s="119" t="s">
        <v>153</v>
      </c>
      <c r="D26" s="73">
        <v>142.9</v>
      </c>
      <c r="E26" s="74">
        <v>17.600000000000001</v>
      </c>
      <c r="F26" s="74">
        <v>0.5</v>
      </c>
      <c r="G26" s="74">
        <v>0</v>
      </c>
      <c r="H26" s="77">
        <v>0</v>
      </c>
      <c r="I26" s="77">
        <v>0</v>
      </c>
      <c r="J26" s="77">
        <v>0</v>
      </c>
      <c r="K26" s="77">
        <v>0</v>
      </c>
      <c r="L26" s="215">
        <v>161</v>
      </c>
      <c r="M26" s="27"/>
    </row>
    <row r="27" spans="1:13" s="10" customFormat="1" ht="15" thickBot="1" x14ac:dyDescent="0.4">
      <c r="A27" s="12"/>
      <c r="B27" s="860"/>
      <c r="C27" s="48" t="s">
        <v>72</v>
      </c>
      <c r="D27" s="218">
        <v>268.60000000000002</v>
      </c>
      <c r="E27" s="82">
        <v>22.700000000000003</v>
      </c>
      <c r="F27" s="82">
        <v>6.1</v>
      </c>
      <c r="G27" s="82">
        <v>4.7</v>
      </c>
      <c r="H27" s="82">
        <v>0</v>
      </c>
      <c r="I27" s="82">
        <v>0</v>
      </c>
      <c r="J27" s="82">
        <v>0</v>
      </c>
      <c r="K27" s="82">
        <v>1.7</v>
      </c>
      <c r="L27" s="217">
        <v>303.79999999999995</v>
      </c>
      <c r="M27" s="27"/>
    </row>
    <row r="28" spans="1:13" x14ac:dyDescent="0.35">
      <c r="A28" s="6"/>
      <c r="B28" s="762" t="s">
        <v>73</v>
      </c>
      <c r="C28" s="119" t="s">
        <v>16</v>
      </c>
      <c r="D28" s="73">
        <v>806.4</v>
      </c>
      <c r="E28" s="74">
        <v>25658.2</v>
      </c>
      <c r="F28" s="74">
        <v>38828.9</v>
      </c>
      <c r="G28" s="74">
        <v>21232.7</v>
      </c>
      <c r="H28" s="74">
        <v>1561.8</v>
      </c>
      <c r="I28" s="74">
        <v>420.2</v>
      </c>
      <c r="J28" s="74">
        <v>12.1</v>
      </c>
      <c r="K28" s="74">
        <v>0</v>
      </c>
      <c r="L28" s="53">
        <v>88520.3</v>
      </c>
      <c r="M28" s="26"/>
    </row>
    <row r="29" spans="1:13" x14ac:dyDescent="0.35">
      <c r="A29" s="6"/>
      <c r="B29" s="860"/>
      <c r="C29" s="119" t="s">
        <v>17</v>
      </c>
      <c r="D29" s="73">
        <v>1813.3</v>
      </c>
      <c r="E29" s="74">
        <v>56316.3</v>
      </c>
      <c r="F29" s="74">
        <v>154686</v>
      </c>
      <c r="G29" s="74">
        <v>96372.2</v>
      </c>
      <c r="H29" s="74">
        <v>20931.3</v>
      </c>
      <c r="I29" s="74">
        <v>4517.3999999999996</v>
      </c>
      <c r="J29" s="74">
        <v>96.5</v>
      </c>
      <c r="K29" s="74">
        <v>0</v>
      </c>
      <c r="L29" s="53">
        <v>334733</v>
      </c>
      <c r="M29" s="26"/>
    </row>
    <row r="30" spans="1:13" x14ac:dyDescent="0.35">
      <c r="A30" s="6"/>
      <c r="B30" s="860"/>
      <c r="C30" s="119" t="s">
        <v>18</v>
      </c>
      <c r="D30" s="73">
        <v>218.6</v>
      </c>
      <c r="E30" s="74">
        <v>4257.5</v>
      </c>
      <c r="F30" s="74">
        <v>16738.8</v>
      </c>
      <c r="G30" s="74">
        <v>9343.2999999999993</v>
      </c>
      <c r="H30" s="74">
        <v>2011.2</v>
      </c>
      <c r="I30" s="74">
        <v>547.29999999999995</v>
      </c>
      <c r="J30" s="74">
        <v>0</v>
      </c>
      <c r="K30" s="74">
        <v>0</v>
      </c>
      <c r="L30" s="53">
        <v>33116.700000000004</v>
      </c>
      <c r="M30" s="26"/>
    </row>
    <row r="31" spans="1:13" x14ac:dyDescent="0.35">
      <c r="A31" s="6"/>
      <c r="B31" s="860"/>
      <c r="C31" s="119" t="s">
        <v>50</v>
      </c>
      <c r="D31" s="73">
        <v>130.80000000000001</v>
      </c>
      <c r="E31" s="74">
        <v>1484</v>
      </c>
      <c r="F31" s="74">
        <v>3342.2</v>
      </c>
      <c r="G31" s="74">
        <v>2875.2</v>
      </c>
      <c r="H31" s="74">
        <v>1026.4000000000001</v>
      </c>
      <c r="I31" s="74">
        <v>471.4</v>
      </c>
      <c r="J31" s="74">
        <v>0</v>
      </c>
      <c r="K31" s="74">
        <v>0</v>
      </c>
      <c r="L31" s="53">
        <v>9330</v>
      </c>
      <c r="M31" s="26"/>
    </row>
    <row r="32" spans="1:13" x14ac:dyDescent="0.35">
      <c r="A32" s="6"/>
      <c r="B32" s="860"/>
      <c r="C32" s="32" t="s">
        <v>19</v>
      </c>
      <c r="D32" s="76">
        <v>3003.5</v>
      </c>
      <c r="E32" s="77">
        <v>37097.599999999999</v>
      </c>
      <c r="F32" s="77">
        <v>85140.4</v>
      </c>
      <c r="G32" s="77">
        <v>62847.5</v>
      </c>
      <c r="H32" s="77">
        <v>20150.3</v>
      </c>
      <c r="I32" s="77">
        <v>6774.9</v>
      </c>
      <c r="J32" s="77">
        <v>31.6</v>
      </c>
      <c r="K32" s="77">
        <v>0</v>
      </c>
      <c r="L32" s="215">
        <v>215045.8</v>
      </c>
      <c r="M32" s="26"/>
    </row>
    <row r="33" spans="1:13" s="10" customFormat="1" ht="15" thickBot="1" x14ac:dyDescent="0.4">
      <c r="A33" s="12"/>
      <c r="B33" s="804"/>
      <c r="C33" s="48" t="s">
        <v>72</v>
      </c>
      <c r="D33" s="181">
        <v>5972.6</v>
      </c>
      <c r="E33" s="86">
        <v>124813.6</v>
      </c>
      <c r="F33" s="86">
        <v>298736.3</v>
      </c>
      <c r="G33" s="86">
        <v>192670.9</v>
      </c>
      <c r="H33" s="86">
        <v>45681</v>
      </c>
      <c r="I33" s="86">
        <v>12731.199999999999</v>
      </c>
      <c r="J33" s="86">
        <v>140.19999999999999</v>
      </c>
      <c r="K33" s="86">
        <v>0</v>
      </c>
      <c r="L33" s="216">
        <v>680745.8</v>
      </c>
      <c r="M33" s="27"/>
    </row>
    <row r="34" spans="1:13" x14ac:dyDescent="0.35">
      <c r="A34" s="6"/>
      <c r="B34" s="762" t="s">
        <v>76</v>
      </c>
      <c r="C34" s="28" t="s">
        <v>78</v>
      </c>
      <c r="D34" s="71">
        <v>4.8</v>
      </c>
      <c r="E34" s="72">
        <v>5303.6</v>
      </c>
      <c r="F34" s="72">
        <v>4384.7</v>
      </c>
      <c r="G34" s="72">
        <v>802.7</v>
      </c>
      <c r="H34" s="72">
        <v>89.1</v>
      </c>
      <c r="I34" s="72">
        <v>0</v>
      </c>
      <c r="J34" s="72">
        <v>0</v>
      </c>
      <c r="K34" s="72">
        <v>0</v>
      </c>
      <c r="L34" s="53">
        <v>10584.900000000001</v>
      </c>
      <c r="M34" s="26"/>
    </row>
    <row r="35" spans="1:13" x14ac:dyDescent="0.35">
      <c r="A35" s="6"/>
      <c r="B35" s="838"/>
      <c r="C35" s="119" t="s">
        <v>157</v>
      </c>
      <c r="D35" s="73">
        <v>0</v>
      </c>
      <c r="E35" s="74">
        <v>0</v>
      </c>
      <c r="F35" s="74">
        <v>0</v>
      </c>
      <c r="G35" s="74">
        <v>0</v>
      </c>
      <c r="H35" s="74">
        <v>0</v>
      </c>
      <c r="I35" s="74">
        <v>0</v>
      </c>
      <c r="J35" s="74">
        <v>0</v>
      </c>
      <c r="K35" s="74">
        <v>0</v>
      </c>
      <c r="L35" s="53">
        <v>0</v>
      </c>
      <c r="M35" s="26"/>
    </row>
    <row r="36" spans="1:13" x14ac:dyDescent="0.35">
      <c r="A36" s="6"/>
      <c r="B36" s="860"/>
      <c r="C36" s="119" t="s">
        <v>20</v>
      </c>
      <c r="D36" s="73">
        <v>26.9</v>
      </c>
      <c r="E36" s="74">
        <v>1499.7</v>
      </c>
      <c r="F36" s="74">
        <v>111.3</v>
      </c>
      <c r="G36" s="74">
        <v>0</v>
      </c>
      <c r="H36" s="74">
        <v>0</v>
      </c>
      <c r="I36" s="74">
        <v>0</v>
      </c>
      <c r="J36" s="74">
        <v>0</v>
      </c>
      <c r="K36" s="74">
        <v>0</v>
      </c>
      <c r="L36" s="53">
        <v>1637.9</v>
      </c>
      <c r="M36" s="26"/>
    </row>
    <row r="37" spans="1:13" x14ac:dyDescent="0.35">
      <c r="A37" s="6"/>
      <c r="B37" s="860"/>
      <c r="C37" s="119" t="s">
        <v>149</v>
      </c>
      <c r="D37" s="73">
        <v>0</v>
      </c>
      <c r="E37" s="74">
        <v>1.1000000000000001</v>
      </c>
      <c r="F37" s="74">
        <v>0</v>
      </c>
      <c r="G37" s="74">
        <v>0</v>
      </c>
      <c r="H37" s="74">
        <v>0</v>
      </c>
      <c r="I37" s="74">
        <v>0</v>
      </c>
      <c r="J37" s="74">
        <v>0</v>
      </c>
      <c r="K37" s="74">
        <v>0</v>
      </c>
      <c r="L37" s="53">
        <v>1.1000000000000001</v>
      </c>
      <c r="M37" s="26"/>
    </row>
    <row r="38" spans="1:13" x14ac:dyDescent="0.35">
      <c r="A38" s="6"/>
      <c r="B38" s="860"/>
      <c r="C38" s="32" t="s">
        <v>21</v>
      </c>
      <c r="D38" s="76">
        <v>0</v>
      </c>
      <c r="E38" s="77">
        <v>1378.3</v>
      </c>
      <c r="F38" s="77">
        <v>264.8</v>
      </c>
      <c r="G38" s="77">
        <v>0</v>
      </c>
      <c r="H38" s="77">
        <v>0</v>
      </c>
      <c r="I38" s="77">
        <v>0</v>
      </c>
      <c r="J38" s="77">
        <v>0</v>
      </c>
      <c r="K38" s="77">
        <v>0</v>
      </c>
      <c r="L38" s="215">
        <v>1643.1</v>
      </c>
      <c r="M38" s="26"/>
    </row>
    <row r="39" spans="1:13" s="10" customFormat="1" ht="15" thickBot="1" x14ac:dyDescent="0.4">
      <c r="A39" s="12"/>
      <c r="B39" s="804"/>
      <c r="C39" s="117" t="s">
        <v>72</v>
      </c>
      <c r="D39" s="181">
        <v>31.7</v>
      </c>
      <c r="E39" s="86">
        <v>8182.7000000000007</v>
      </c>
      <c r="F39" s="86">
        <v>4760.8</v>
      </c>
      <c r="G39" s="86">
        <v>802.7</v>
      </c>
      <c r="H39" s="86">
        <v>89.1</v>
      </c>
      <c r="I39" s="86">
        <v>0</v>
      </c>
      <c r="J39" s="86">
        <v>0</v>
      </c>
      <c r="K39" s="86">
        <v>0</v>
      </c>
      <c r="L39" s="216">
        <v>13867.000000000002</v>
      </c>
      <c r="M39" s="27"/>
    </row>
    <row r="40" spans="1:13" x14ac:dyDescent="0.35">
      <c r="A40" s="6"/>
      <c r="B40" s="762" t="s">
        <v>22</v>
      </c>
      <c r="C40" s="28" t="s">
        <v>23</v>
      </c>
      <c r="D40" s="73">
        <v>1661.6</v>
      </c>
      <c r="E40" s="74">
        <v>2910</v>
      </c>
      <c r="F40" s="74">
        <v>599.70000000000005</v>
      </c>
      <c r="G40" s="74">
        <v>20.100000000000001</v>
      </c>
      <c r="H40" s="74">
        <v>0</v>
      </c>
      <c r="I40" s="74">
        <v>0</v>
      </c>
      <c r="J40" s="74">
        <v>0</v>
      </c>
      <c r="K40" s="74">
        <v>0</v>
      </c>
      <c r="L40" s="53">
        <v>5191.4000000000005</v>
      </c>
      <c r="M40" s="26"/>
    </row>
    <row r="41" spans="1:13" x14ac:dyDescent="0.35">
      <c r="A41" s="6"/>
      <c r="B41" s="860"/>
      <c r="C41" s="119" t="s">
        <v>24</v>
      </c>
      <c r="D41" s="73">
        <v>880.4</v>
      </c>
      <c r="E41" s="74">
        <v>3476.4</v>
      </c>
      <c r="F41" s="74">
        <v>1140.0999999999999</v>
      </c>
      <c r="G41" s="74">
        <v>99.9</v>
      </c>
      <c r="H41" s="74">
        <v>0</v>
      </c>
      <c r="I41" s="74">
        <v>0</v>
      </c>
      <c r="J41" s="74">
        <v>0</v>
      </c>
      <c r="K41" s="74">
        <v>0</v>
      </c>
      <c r="L41" s="53">
        <v>5596.7999999999993</v>
      </c>
      <c r="M41" s="26"/>
    </row>
    <row r="42" spans="1:13" x14ac:dyDescent="0.35">
      <c r="A42" s="6"/>
      <c r="B42" s="860"/>
      <c r="C42" s="119" t="s">
        <v>25</v>
      </c>
      <c r="D42" s="73">
        <v>6089.1</v>
      </c>
      <c r="E42" s="74">
        <v>33791.300000000003</v>
      </c>
      <c r="F42" s="74">
        <v>18753.7</v>
      </c>
      <c r="G42" s="74">
        <v>4745.1000000000004</v>
      </c>
      <c r="H42" s="74">
        <v>56.4</v>
      </c>
      <c r="I42" s="74">
        <v>0</v>
      </c>
      <c r="J42" s="74">
        <v>0</v>
      </c>
      <c r="K42" s="74">
        <v>0</v>
      </c>
      <c r="L42" s="53">
        <v>63435.600000000006</v>
      </c>
      <c r="M42" s="26"/>
    </row>
    <row r="43" spans="1:13" x14ac:dyDescent="0.35">
      <c r="A43" s="6"/>
      <c r="B43" s="860"/>
      <c r="C43" s="32" t="s">
        <v>26</v>
      </c>
      <c r="D43" s="76">
        <v>16098.1</v>
      </c>
      <c r="E43" s="77">
        <v>51062.2</v>
      </c>
      <c r="F43" s="77">
        <v>28824.2</v>
      </c>
      <c r="G43" s="77">
        <v>19188.900000000001</v>
      </c>
      <c r="H43" s="77">
        <v>9558.7999999999993</v>
      </c>
      <c r="I43" s="77">
        <v>2121.1999999999998</v>
      </c>
      <c r="J43" s="77">
        <v>252.8</v>
      </c>
      <c r="K43" s="77">
        <v>0</v>
      </c>
      <c r="L43" s="215">
        <v>127106.2</v>
      </c>
      <c r="M43" s="26"/>
    </row>
    <row r="44" spans="1:13" s="10" customFormat="1" ht="15" thickBot="1" x14ac:dyDescent="0.4">
      <c r="A44" s="12"/>
      <c r="B44" s="804"/>
      <c r="C44" s="117" t="s">
        <v>72</v>
      </c>
      <c r="D44" s="181">
        <v>24729.200000000001</v>
      </c>
      <c r="E44" s="86">
        <v>91239.9</v>
      </c>
      <c r="F44" s="86">
        <v>49317.7</v>
      </c>
      <c r="G44" s="86">
        <v>24054</v>
      </c>
      <c r="H44" s="86">
        <v>9615.1999999999989</v>
      </c>
      <c r="I44" s="86">
        <v>2121.1999999999998</v>
      </c>
      <c r="J44" s="86">
        <v>252.8</v>
      </c>
      <c r="K44" s="86">
        <v>0</v>
      </c>
      <c r="L44" s="216">
        <v>201330</v>
      </c>
      <c r="M44" s="27"/>
    </row>
    <row r="45" spans="1:13" x14ac:dyDescent="0.35">
      <c r="A45" s="6"/>
      <c r="B45" s="762" t="s">
        <v>27</v>
      </c>
      <c r="C45" s="119" t="s">
        <v>28</v>
      </c>
      <c r="D45" s="73">
        <v>33131.1</v>
      </c>
      <c r="E45" s="74">
        <v>146462.6</v>
      </c>
      <c r="F45" s="74">
        <v>150077.1</v>
      </c>
      <c r="G45" s="74">
        <v>42573.1</v>
      </c>
      <c r="H45" s="74">
        <v>3497</v>
      </c>
      <c r="I45" s="74">
        <v>285.3</v>
      </c>
      <c r="J45" s="74">
        <v>0</v>
      </c>
      <c r="K45" s="74">
        <v>0</v>
      </c>
      <c r="L45" s="53">
        <v>376026.2</v>
      </c>
      <c r="M45" s="26"/>
    </row>
    <row r="46" spans="1:13" x14ac:dyDescent="0.35">
      <c r="A46" s="6"/>
      <c r="B46" s="860"/>
      <c r="C46" s="119" t="s">
        <v>79</v>
      </c>
      <c r="D46" s="73">
        <v>11216.6</v>
      </c>
      <c r="E46" s="74">
        <v>46839.9</v>
      </c>
      <c r="F46" s="74">
        <v>25014.5</v>
      </c>
      <c r="G46" s="74">
        <v>4161.2</v>
      </c>
      <c r="H46" s="77">
        <v>394.7</v>
      </c>
      <c r="I46" s="77">
        <v>0</v>
      </c>
      <c r="J46" s="77">
        <v>0</v>
      </c>
      <c r="K46" s="77">
        <v>0</v>
      </c>
      <c r="L46" s="215">
        <v>87626.9</v>
      </c>
      <c r="M46" s="26"/>
    </row>
    <row r="47" spans="1:13" s="10" customFormat="1" ht="15" thickBot="1" x14ac:dyDescent="0.4">
      <c r="A47" s="12"/>
      <c r="B47" s="804"/>
      <c r="C47" s="48" t="s">
        <v>72</v>
      </c>
      <c r="D47" s="218">
        <v>44347.7</v>
      </c>
      <c r="E47" s="82">
        <v>193302.5</v>
      </c>
      <c r="F47" s="82">
        <v>175091.6</v>
      </c>
      <c r="G47" s="82">
        <v>46734.299999999996</v>
      </c>
      <c r="H47" s="86">
        <v>3891.7</v>
      </c>
      <c r="I47" s="86">
        <v>285.3</v>
      </c>
      <c r="J47" s="86">
        <v>0</v>
      </c>
      <c r="K47" s="86">
        <v>0</v>
      </c>
      <c r="L47" s="216">
        <v>463653.1</v>
      </c>
      <c r="M47" s="27"/>
    </row>
    <row r="48" spans="1:13" x14ac:dyDescent="0.35">
      <c r="A48" s="6"/>
      <c r="B48" s="762" t="s">
        <v>29</v>
      </c>
      <c r="C48" s="32" t="s">
        <v>30</v>
      </c>
      <c r="D48" s="76">
        <v>11.4</v>
      </c>
      <c r="E48" s="77">
        <v>34</v>
      </c>
      <c r="F48" s="77">
        <v>58.3</v>
      </c>
      <c r="G48" s="77">
        <v>0</v>
      </c>
      <c r="H48" s="89">
        <v>0</v>
      </c>
      <c r="I48" s="89">
        <v>0</v>
      </c>
      <c r="J48" s="89">
        <v>0</v>
      </c>
      <c r="K48" s="89">
        <v>0</v>
      </c>
      <c r="L48" s="219">
        <v>103.69999999999999</v>
      </c>
      <c r="M48" s="26"/>
    </row>
    <row r="49" spans="1:13" s="10" customFormat="1" ht="15" thickBot="1" x14ac:dyDescent="0.4">
      <c r="A49" s="12"/>
      <c r="B49" s="804"/>
      <c r="C49" s="48" t="s">
        <v>72</v>
      </c>
      <c r="D49" s="218">
        <v>11.4</v>
      </c>
      <c r="E49" s="82">
        <v>34</v>
      </c>
      <c r="F49" s="82">
        <v>58.3</v>
      </c>
      <c r="G49" s="82">
        <v>0</v>
      </c>
      <c r="H49" s="86">
        <v>0</v>
      </c>
      <c r="I49" s="86">
        <v>0</v>
      </c>
      <c r="J49" s="86">
        <v>0</v>
      </c>
      <c r="K49" s="86">
        <v>0</v>
      </c>
      <c r="L49" s="216">
        <v>103.69999999999999</v>
      </c>
      <c r="M49" s="27"/>
    </row>
    <row r="50" spans="1:13" x14ac:dyDescent="0.35">
      <c r="A50" s="6"/>
      <c r="B50" s="762" t="s">
        <v>32</v>
      </c>
      <c r="C50" s="32" t="s">
        <v>32</v>
      </c>
      <c r="D50" s="76">
        <v>89.1</v>
      </c>
      <c r="E50" s="77">
        <v>1924.8</v>
      </c>
      <c r="F50" s="77">
        <v>7248.9</v>
      </c>
      <c r="G50" s="77">
        <v>5526.1</v>
      </c>
      <c r="H50" s="74">
        <v>3179.6</v>
      </c>
      <c r="I50" s="74">
        <v>1238.8</v>
      </c>
      <c r="J50" s="74">
        <v>0</v>
      </c>
      <c r="K50" s="74">
        <v>0</v>
      </c>
      <c r="L50" s="58">
        <v>19207.3</v>
      </c>
      <c r="M50" s="26"/>
    </row>
    <row r="51" spans="1:13" s="10" customFormat="1" ht="15" thickBot="1" x14ac:dyDescent="0.4">
      <c r="A51" s="12"/>
      <c r="B51" s="804"/>
      <c r="C51" s="117" t="s">
        <v>72</v>
      </c>
      <c r="D51" s="181">
        <v>89.1</v>
      </c>
      <c r="E51" s="86">
        <v>1924.8</v>
      </c>
      <c r="F51" s="86">
        <v>7248.9</v>
      </c>
      <c r="G51" s="86">
        <v>5526.1</v>
      </c>
      <c r="H51" s="82">
        <v>3179.6</v>
      </c>
      <c r="I51" s="82">
        <v>1238.8</v>
      </c>
      <c r="J51" s="82">
        <v>0</v>
      </c>
      <c r="K51" s="82">
        <v>0</v>
      </c>
      <c r="L51" s="59">
        <v>19207.3</v>
      </c>
      <c r="M51" s="27"/>
    </row>
    <row r="52" spans="1:13" x14ac:dyDescent="0.35">
      <c r="A52" s="6"/>
      <c r="B52" s="762" t="s">
        <v>33</v>
      </c>
      <c r="C52" s="40" t="s">
        <v>33</v>
      </c>
      <c r="D52" s="182">
        <v>5679.3</v>
      </c>
      <c r="E52" s="89">
        <v>36381</v>
      </c>
      <c r="F52" s="89">
        <v>26979.5</v>
      </c>
      <c r="G52" s="89">
        <v>12254.8</v>
      </c>
      <c r="H52" s="77">
        <v>769</v>
      </c>
      <c r="I52" s="77">
        <v>162.30000000000001</v>
      </c>
      <c r="J52" s="77">
        <v>6.3</v>
      </c>
      <c r="K52" s="77">
        <v>0</v>
      </c>
      <c r="L52" s="58">
        <v>82232.200000000012</v>
      </c>
      <c r="M52" s="26"/>
    </row>
    <row r="53" spans="1:13" s="10" customFormat="1" ht="15" thickBot="1" x14ac:dyDescent="0.4">
      <c r="A53" s="12"/>
      <c r="B53" s="804"/>
      <c r="C53" s="117" t="s">
        <v>72</v>
      </c>
      <c r="D53" s="181">
        <v>5679.3</v>
      </c>
      <c r="E53" s="86">
        <v>36381</v>
      </c>
      <c r="F53" s="86">
        <v>26979.5</v>
      </c>
      <c r="G53" s="86">
        <v>12254.8</v>
      </c>
      <c r="H53" s="82">
        <v>769</v>
      </c>
      <c r="I53" s="82">
        <v>162.30000000000001</v>
      </c>
      <c r="J53" s="82">
        <v>6.3</v>
      </c>
      <c r="K53" s="82">
        <v>0</v>
      </c>
      <c r="L53" s="54">
        <v>82232.200000000012</v>
      </c>
      <c r="M53" s="27"/>
    </row>
    <row r="54" spans="1:13" x14ac:dyDescent="0.35">
      <c r="A54" s="6"/>
      <c r="B54" s="762" t="s">
        <v>34</v>
      </c>
      <c r="C54" s="40" t="s">
        <v>34</v>
      </c>
      <c r="D54" s="182">
        <v>2320.6999999999998</v>
      </c>
      <c r="E54" s="89">
        <v>21814.9</v>
      </c>
      <c r="F54" s="89">
        <v>5895.5</v>
      </c>
      <c r="G54" s="89">
        <v>0</v>
      </c>
      <c r="H54" s="77">
        <v>0</v>
      </c>
      <c r="I54" s="77">
        <v>0</v>
      </c>
      <c r="J54" s="77">
        <v>0</v>
      </c>
      <c r="K54" s="77">
        <v>0</v>
      </c>
      <c r="L54" s="57">
        <v>30031.100000000002</v>
      </c>
      <c r="M54" s="26"/>
    </row>
    <row r="55" spans="1:13" s="10" customFormat="1" ht="15" thickBot="1" x14ac:dyDescent="0.4">
      <c r="A55" s="12"/>
      <c r="B55" s="804"/>
      <c r="C55" s="48" t="s">
        <v>72</v>
      </c>
      <c r="D55" s="218">
        <v>2320.6999999999998</v>
      </c>
      <c r="E55" s="82">
        <v>21814.9</v>
      </c>
      <c r="F55" s="82">
        <v>5895.5</v>
      </c>
      <c r="G55" s="82">
        <v>0</v>
      </c>
      <c r="H55" s="82">
        <v>0</v>
      </c>
      <c r="I55" s="82">
        <v>0</v>
      </c>
      <c r="J55" s="82">
        <v>0</v>
      </c>
      <c r="K55" s="82">
        <v>0</v>
      </c>
      <c r="L55" s="59">
        <v>30031.100000000002</v>
      </c>
      <c r="M55" s="27"/>
    </row>
    <row r="56" spans="1:13" x14ac:dyDescent="0.35">
      <c r="A56" s="6"/>
      <c r="B56" s="762" t="s">
        <v>77</v>
      </c>
      <c r="C56" s="32" t="s">
        <v>30</v>
      </c>
      <c r="D56" s="76">
        <v>0</v>
      </c>
      <c r="E56" s="77">
        <v>303.7</v>
      </c>
      <c r="F56" s="77">
        <v>166.7</v>
      </c>
      <c r="G56" s="77">
        <v>196.1</v>
      </c>
      <c r="H56" s="77">
        <v>0</v>
      </c>
      <c r="I56" s="77">
        <v>0</v>
      </c>
      <c r="J56" s="77">
        <v>0</v>
      </c>
      <c r="K56" s="77">
        <v>0</v>
      </c>
      <c r="L56" s="58">
        <v>666.5</v>
      </c>
      <c r="M56" s="26"/>
    </row>
    <row r="57" spans="1:13" s="10" customFormat="1" ht="15" thickBot="1" x14ac:dyDescent="0.4">
      <c r="A57" s="12"/>
      <c r="B57" s="804"/>
      <c r="C57" s="117" t="s">
        <v>72</v>
      </c>
      <c r="D57" s="181">
        <v>0</v>
      </c>
      <c r="E57" s="86">
        <v>303.7</v>
      </c>
      <c r="F57" s="86">
        <v>166.7</v>
      </c>
      <c r="G57" s="86">
        <v>196.1</v>
      </c>
      <c r="H57" s="86">
        <v>0</v>
      </c>
      <c r="I57" s="86">
        <v>0</v>
      </c>
      <c r="J57" s="86">
        <v>0</v>
      </c>
      <c r="K57" s="86">
        <v>0</v>
      </c>
      <c r="L57" s="59">
        <v>666.5</v>
      </c>
      <c r="M57" s="27"/>
    </row>
    <row r="58" spans="1:13" x14ac:dyDescent="0.35">
      <c r="A58" s="6"/>
      <c r="B58" s="762" t="s">
        <v>31</v>
      </c>
      <c r="C58" s="32" t="s">
        <v>31</v>
      </c>
      <c r="D58" s="76">
        <v>376.1</v>
      </c>
      <c r="E58" s="77">
        <v>7678.4</v>
      </c>
      <c r="F58" s="77">
        <v>3645.5</v>
      </c>
      <c r="G58" s="77">
        <v>87.5</v>
      </c>
      <c r="H58" s="89">
        <v>0</v>
      </c>
      <c r="I58" s="89">
        <v>0</v>
      </c>
      <c r="J58" s="89">
        <v>0</v>
      </c>
      <c r="K58" s="89">
        <v>0</v>
      </c>
      <c r="L58" s="219">
        <v>11787.5</v>
      </c>
      <c r="M58" s="26"/>
    </row>
    <row r="59" spans="1:13" s="10" customFormat="1" ht="15" thickBot="1" x14ac:dyDescent="0.4">
      <c r="A59" s="12"/>
      <c r="B59" s="804"/>
      <c r="C59" s="48" t="s">
        <v>72</v>
      </c>
      <c r="D59" s="218">
        <v>376.1</v>
      </c>
      <c r="E59" s="82">
        <v>7678.4</v>
      </c>
      <c r="F59" s="82">
        <v>3645.5</v>
      </c>
      <c r="G59" s="82">
        <v>87.5</v>
      </c>
      <c r="H59" s="86">
        <v>0</v>
      </c>
      <c r="I59" s="86">
        <v>0</v>
      </c>
      <c r="J59" s="86">
        <v>0</v>
      </c>
      <c r="K59" s="86">
        <v>0</v>
      </c>
      <c r="L59" s="217">
        <v>11787.5</v>
      </c>
      <c r="M59" s="27"/>
    </row>
    <row r="60" spans="1:13" x14ac:dyDescent="0.35">
      <c r="A60" s="6"/>
      <c r="B60" s="762" t="s">
        <v>87</v>
      </c>
      <c r="C60" s="119" t="s">
        <v>14</v>
      </c>
      <c r="D60" s="73">
        <v>4353.7</v>
      </c>
      <c r="E60" s="74">
        <v>20017.8</v>
      </c>
      <c r="F60" s="74">
        <v>17916.2</v>
      </c>
      <c r="G60" s="74">
        <v>8830.2999999999993</v>
      </c>
      <c r="H60" s="74">
        <v>1478.7</v>
      </c>
      <c r="I60" s="74">
        <v>440.1</v>
      </c>
      <c r="J60" s="74">
        <v>0</v>
      </c>
      <c r="K60" s="74">
        <v>0</v>
      </c>
      <c r="L60" s="53">
        <v>53036.799999999996</v>
      </c>
      <c r="M60" s="26"/>
    </row>
    <row r="61" spans="1:13" x14ac:dyDescent="0.35">
      <c r="A61" s="6"/>
      <c r="B61" s="860"/>
      <c r="C61" s="119" t="s">
        <v>85</v>
      </c>
      <c r="D61" s="73">
        <v>4145.2</v>
      </c>
      <c r="E61" s="74">
        <v>16546.400000000001</v>
      </c>
      <c r="F61" s="74">
        <v>4858.7</v>
      </c>
      <c r="G61" s="74">
        <v>3175.5</v>
      </c>
      <c r="H61" s="74">
        <v>1800.5</v>
      </c>
      <c r="I61" s="74">
        <v>247</v>
      </c>
      <c r="J61" s="74">
        <v>11.9</v>
      </c>
      <c r="K61" s="74">
        <v>0</v>
      </c>
      <c r="L61" s="53">
        <v>30785.200000000004</v>
      </c>
      <c r="M61" s="26"/>
    </row>
    <row r="62" spans="1:13" x14ac:dyDescent="0.35">
      <c r="A62" s="6"/>
      <c r="B62" s="860"/>
      <c r="C62" s="32" t="s">
        <v>15</v>
      </c>
      <c r="D62" s="76">
        <v>2924.5</v>
      </c>
      <c r="E62" s="77">
        <v>26576.5</v>
      </c>
      <c r="F62" s="77">
        <v>14819.2</v>
      </c>
      <c r="G62" s="77">
        <v>3221.4</v>
      </c>
      <c r="H62" s="77">
        <v>149.30000000000001</v>
      </c>
      <c r="I62" s="77">
        <v>747.6</v>
      </c>
      <c r="J62" s="77">
        <v>0</v>
      </c>
      <c r="K62" s="77">
        <v>0</v>
      </c>
      <c r="L62" s="215">
        <v>48438.5</v>
      </c>
      <c r="M62" s="26"/>
    </row>
    <row r="63" spans="1:13" s="10" customFormat="1" ht="15" thickBot="1" x14ac:dyDescent="0.4">
      <c r="A63" s="12"/>
      <c r="B63" s="804"/>
      <c r="C63" s="117" t="s">
        <v>72</v>
      </c>
      <c r="D63" s="181">
        <v>11423.4</v>
      </c>
      <c r="E63" s="86">
        <v>63140.7</v>
      </c>
      <c r="F63" s="86">
        <v>37594.100000000006</v>
      </c>
      <c r="G63" s="86">
        <v>15227.199999999999</v>
      </c>
      <c r="H63" s="86">
        <v>3428.5</v>
      </c>
      <c r="I63" s="86">
        <v>1434.7</v>
      </c>
      <c r="J63" s="86">
        <v>11.9</v>
      </c>
      <c r="K63" s="86">
        <v>0</v>
      </c>
      <c r="L63" s="216">
        <v>132260.5</v>
      </c>
      <c r="M63" s="27"/>
    </row>
    <row r="64" spans="1:13" s="10" customFormat="1" ht="15" thickBot="1" x14ac:dyDescent="0.4">
      <c r="A64" s="12"/>
      <c r="B64" s="805" t="s">
        <v>35</v>
      </c>
      <c r="C64" s="861"/>
      <c r="D64" s="220">
        <v>289699.20000000001</v>
      </c>
      <c r="E64" s="220">
        <v>1601331.0999999996</v>
      </c>
      <c r="F64" s="220">
        <v>2327190.7000000002</v>
      </c>
      <c r="G64" s="220">
        <v>1621508.1000000003</v>
      </c>
      <c r="H64" s="220">
        <v>712497.59999999986</v>
      </c>
      <c r="I64" s="220">
        <v>388758.1</v>
      </c>
      <c r="J64" s="220">
        <v>54386.900000000009</v>
      </c>
      <c r="K64" s="220">
        <v>4914.8</v>
      </c>
      <c r="L64" s="221">
        <v>7000286.4999999981</v>
      </c>
      <c r="M64" s="27"/>
    </row>
    <row r="65" spans="2:13" x14ac:dyDescent="0.35">
      <c r="B65" s="49"/>
      <c r="C65" s="49"/>
      <c r="D65" s="49"/>
      <c r="E65" s="49"/>
      <c r="F65" s="49"/>
      <c r="G65" s="49"/>
      <c r="H65" s="49"/>
      <c r="I65" s="49"/>
      <c r="J65" s="49"/>
      <c r="K65" s="49"/>
      <c r="L65" s="49"/>
    </row>
    <row r="66" spans="2:13" x14ac:dyDescent="0.35">
      <c r="B66" s="862" t="s">
        <v>86</v>
      </c>
      <c r="C66" s="862"/>
      <c r="D66" s="862"/>
      <c r="E66" s="862"/>
      <c r="F66" s="862"/>
      <c r="G66" s="862"/>
      <c r="H66" s="862"/>
      <c r="I66" s="862"/>
      <c r="J66" s="862"/>
      <c r="K66" s="862"/>
      <c r="L66" s="862"/>
      <c r="M66" s="253"/>
    </row>
    <row r="67" spans="2:13" ht="15.5" x14ac:dyDescent="0.35">
      <c r="B67" s="791" t="s">
        <v>119</v>
      </c>
      <c r="C67" s="791"/>
      <c r="D67" s="791"/>
      <c r="E67" s="791"/>
      <c r="F67" s="791"/>
      <c r="G67" s="791"/>
      <c r="H67" s="791"/>
      <c r="I67" s="791"/>
      <c r="J67" s="791"/>
      <c r="K67" s="791"/>
      <c r="L67" s="791"/>
      <c r="M67" s="254"/>
    </row>
  </sheetData>
  <customSheetViews>
    <customSheetView guid="{6654F670-CAA9-4C4A-B3D9-226402FC46BC}" showPageBreaks="1" printArea="1" view="pageLayout">
      <selection activeCell="D10" sqref="D10:L64"/>
      <pageMargins left="0.70866141732283472" right="0.70866141732283472" top="0.74803149606299213" bottom="0.74803149606299213" header="0.31496062992125984" footer="0.31496062992125984"/>
      <pageSetup paperSize="9" scale="54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howPageBreaks="1" printArea="1" view="pageLayout">
      <selection activeCell="D10" sqref="D10:L64"/>
      <pageMargins left="0.70866141732283472" right="0.70866141732283472" top="0.74803149606299213" bottom="0.74803149606299213" header="0.31496062992125984" footer="0.31496062992125984"/>
      <pageSetup paperSize="9" scale="54" orientation="portrait"/>
      <headerFooter>
        <oddHeader>&amp;L&amp;G&amp;RCAMPAÑA: 2025/2026. MES: JULIO
Fecha de emisión de datos: 25/08/2026</oddHeader>
      </headerFooter>
    </customSheetView>
  </customSheetViews>
  <mergeCells count="19">
    <mergeCell ref="B34:B39"/>
    <mergeCell ref="B5:L7"/>
    <mergeCell ref="B10:B18"/>
    <mergeCell ref="B19:B22"/>
    <mergeCell ref="B23:B24"/>
    <mergeCell ref="B28:B33"/>
    <mergeCell ref="B25:B27"/>
    <mergeCell ref="B64:C64"/>
    <mergeCell ref="B66:L66"/>
    <mergeCell ref="B67:L67"/>
    <mergeCell ref="B40:B44"/>
    <mergeCell ref="B45:B47"/>
    <mergeCell ref="B48:B49"/>
    <mergeCell ref="B50:B51"/>
    <mergeCell ref="B52:B53"/>
    <mergeCell ref="B54:B55"/>
    <mergeCell ref="B56:B57"/>
    <mergeCell ref="B58:B59"/>
    <mergeCell ref="B60:B63"/>
  </mergeCells>
  <pageMargins left="0.70866141732283472" right="0.70866141732283472" top="0.74803149606299213" bottom="0.74803149606299213" header="0.31496062992125984" footer="0.31496062992125984"/>
  <pageSetup paperSize="9" scale="54" orientation="portrait" r:id="rId1"/>
  <headerFooter>
    <oddHeader>&amp;L&amp;G&amp;RCAMPAÑA: 2025/2026. MES: JULIO
Fecha de emisión de datos: 25/08/2026</oddHeader>
  </headerFooter>
  <legacyDrawingHF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71"/>
  <sheetViews>
    <sheetView view="pageLayout" topLeftCell="A49" zoomScale="75" zoomScaleNormal="70" zoomScaleSheetLayoutView="70" zoomScalePageLayoutView="75" workbookViewId="0">
      <selection activeCell="J66" sqref="J66"/>
    </sheetView>
  </sheetViews>
  <sheetFormatPr baseColWidth="10" defaultColWidth="11.453125" defaultRowHeight="14.5" x14ac:dyDescent="0.35"/>
  <cols>
    <col min="1" max="1" width="2.1796875" customWidth="1"/>
    <col min="2" max="2" width="26.54296875" customWidth="1"/>
    <col min="3" max="3" width="22.7265625" bestFit="1" customWidth="1"/>
    <col min="4" max="4" width="18" customWidth="1"/>
    <col min="5" max="5" width="17" customWidth="1"/>
    <col min="6" max="6" width="12" customWidth="1"/>
    <col min="7" max="7" width="10.26953125" customWidth="1"/>
    <col min="8" max="8" width="9.54296875" customWidth="1"/>
    <col min="9" max="9" width="9.453125" customWidth="1"/>
    <col min="10" max="10" width="13.26953125" customWidth="1"/>
    <col min="11" max="11" width="1.7265625" customWidth="1"/>
  </cols>
  <sheetData>
    <row r="1" spans="1:10" ht="15" customHeight="1" x14ac:dyDescent="0.35">
      <c r="B1" s="871" t="s">
        <v>128</v>
      </c>
      <c r="C1" s="871"/>
      <c r="D1" s="871"/>
      <c r="E1" s="871"/>
      <c r="F1" s="871"/>
      <c r="G1" s="871"/>
      <c r="H1" s="871"/>
      <c r="I1" s="871"/>
      <c r="J1" s="871"/>
    </row>
    <row r="2" spans="1:10" ht="15" customHeight="1" x14ac:dyDescent="0.35">
      <c r="B2" s="871"/>
      <c r="C2" s="871"/>
      <c r="D2" s="871"/>
      <c r="E2" s="871"/>
      <c r="F2" s="871"/>
      <c r="G2" s="871"/>
      <c r="H2" s="871"/>
      <c r="I2" s="871"/>
      <c r="J2" s="871"/>
    </row>
    <row r="3" spans="1:10" ht="24" customHeight="1" x14ac:dyDescent="0.35">
      <c r="B3" s="871"/>
      <c r="C3" s="871"/>
      <c r="D3" s="871"/>
      <c r="E3" s="871"/>
      <c r="F3" s="871"/>
      <c r="G3" s="871"/>
      <c r="H3" s="871"/>
      <c r="I3" s="871"/>
      <c r="J3" s="871"/>
    </row>
    <row r="4" spans="1:10" ht="21.75" customHeight="1" thickBot="1" x14ac:dyDescent="0.4">
      <c r="C4" s="25"/>
      <c r="D4" s="25"/>
      <c r="E4" s="25"/>
      <c r="F4" s="25"/>
      <c r="G4" s="25"/>
      <c r="H4" s="25"/>
    </row>
    <row r="5" spans="1:10" ht="16" thickBot="1" x14ac:dyDescent="0.4">
      <c r="B5" s="872" t="s">
        <v>90</v>
      </c>
      <c r="C5" s="873"/>
      <c r="D5" s="873"/>
      <c r="E5" s="873"/>
      <c r="F5" s="873"/>
      <c r="G5" s="873"/>
      <c r="H5" s="873"/>
      <c r="I5" s="873"/>
      <c r="J5" s="874"/>
    </row>
    <row r="6" spans="1:10" ht="15" thickBot="1" x14ac:dyDescent="0.4">
      <c r="B6" s="875" t="s">
        <v>54</v>
      </c>
      <c r="C6" s="875" t="s">
        <v>4</v>
      </c>
      <c r="D6" s="875" t="s">
        <v>61</v>
      </c>
      <c r="E6" s="875"/>
      <c r="F6" s="875"/>
      <c r="G6" s="875"/>
      <c r="H6" s="875"/>
      <c r="I6" s="875"/>
      <c r="J6" s="875"/>
    </row>
    <row r="7" spans="1:10" ht="15" thickBot="1" x14ac:dyDescent="0.4">
      <c r="B7" s="876"/>
      <c r="C7" s="876"/>
      <c r="D7" s="121" t="s">
        <v>62</v>
      </c>
      <c r="E7" s="121" t="s">
        <v>63</v>
      </c>
      <c r="F7" s="121" t="s">
        <v>64</v>
      </c>
      <c r="G7" s="121" t="s">
        <v>65</v>
      </c>
      <c r="H7" s="121" t="s">
        <v>66</v>
      </c>
      <c r="I7" s="121" t="s">
        <v>67</v>
      </c>
      <c r="J7" s="121" t="s">
        <v>48</v>
      </c>
    </row>
    <row r="8" spans="1:10" x14ac:dyDescent="0.35">
      <c r="A8" s="6"/>
      <c r="B8" s="800" t="s">
        <v>74</v>
      </c>
      <c r="C8" s="70" t="s">
        <v>80</v>
      </c>
      <c r="D8" s="71">
        <v>128.30000000000001</v>
      </c>
      <c r="E8" s="72">
        <v>11.5</v>
      </c>
      <c r="F8" s="71">
        <v>121.7</v>
      </c>
      <c r="G8" s="71">
        <v>18</v>
      </c>
      <c r="H8" s="72">
        <v>0</v>
      </c>
      <c r="I8" s="71">
        <v>0</v>
      </c>
      <c r="J8" s="222">
        <v>139.80000000000001</v>
      </c>
    </row>
    <row r="9" spans="1:10" x14ac:dyDescent="0.35">
      <c r="A9" s="6"/>
      <c r="B9" s="801"/>
      <c r="C9" s="267" t="s">
        <v>81</v>
      </c>
      <c r="D9" s="73">
        <v>127.1</v>
      </c>
      <c r="E9" s="74">
        <v>43.8</v>
      </c>
      <c r="F9" s="73">
        <v>162.80000000000001</v>
      </c>
      <c r="G9" s="73">
        <v>6.8</v>
      </c>
      <c r="H9" s="74">
        <v>0.6</v>
      </c>
      <c r="I9" s="73">
        <v>0.6</v>
      </c>
      <c r="J9" s="53">
        <v>170.89999999999998</v>
      </c>
    </row>
    <row r="10" spans="1:10" x14ac:dyDescent="0.35">
      <c r="A10" s="6"/>
      <c r="B10" s="801"/>
      <c r="C10" s="267" t="s">
        <v>82</v>
      </c>
      <c r="D10" s="73">
        <v>5880.6</v>
      </c>
      <c r="E10" s="74">
        <v>7971.6</v>
      </c>
      <c r="F10" s="73">
        <v>9795.4</v>
      </c>
      <c r="G10" s="73">
        <v>3137.4</v>
      </c>
      <c r="H10" s="74">
        <v>728.2</v>
      </c>
      <c r="I10" s="73">
        <v>191.2</v>
      </c>
      <c r="J10" s="53">
        <v>13852.2</v>
      </c>
    </row>
    <row r="11" spans="1:10" x14ac:dyDescent="0.35">
      <c r="A11" s="6"/>
      <c r="B11" s="801"/>
      <c r="C11" s="267" t="s">
        <v>6</v>
      </c>
      <c r="D11" s="73">
        <v>3441.9</v>
      </c>
      <c r="E11" s="74">
        <v>1083.7</v>
      </c>
      <c r="F11" s="73">
        <v>4107.5</v>
      </c>
      <c r="G11" s="73">
        <v>336.7</v>
      </c>
      <c r="H11" s="74">
        <v>28.2</v>
      </c>
      <c r="I11" s="73">
        <v>53.3</v>
      </c>
      <c r="J11" s="53">
        <v>4525.6000000000004</v>
      </c>
    </row>
    <row r="12" spans="1:10" x14ac:dyDescent="0.35">
      <c r="A12" s="6"/>
      <c r="B12" s="801"/>
      <c r="C12" s="267" t="s">
        <v>7</v>
      </c>
      <c r="D12" s="73">
        <v>528.6</v>
      </c>
      <c r="E12" s="74">
        <v>0</v>
      </c>
      <c r="F12" s="73">
        <v>528.1</v>
      </c>
      <c r="G12" s="73">
        <v>0.5</v>
      </c>
      <c r="H12" s="74">
        <v>0</v>
      </c>
      <c r="I12" s="73">
        <v>0</v>
      </c>
      <c r="J12" s="53">
        <v>528.6</v>
      </c>
    </row>
    <row r="13" spans="1:10" x14ac:dyDescent="0.35">
      <c r="A13" s="6"/>
      <c r="B13" s="801"/>
      <c r="C13" s="267" t="s">
        <v>83</v>
      </c>
      <c r="D13" s="73">
        <v>7160.4</v>
      </c>
      <c r="E13" s="74">
        <v>6438.7</v>
      </c>
      <c r="F13" s="73">
        <v>10680.3</v>
      </c>
      <c r="G13" s="73">
        <v>2837.8</v>
      </c>
      <c r="H13" s="74">
        <v>49.6</v>
      </c>
      <c r="I13" s="73">
        <v>31.5</v>
      </c>
      <c r="J13" s="53">
        <v>13599.099999999999</v>
      </c>
    </row>
    <row r="14" spans="1:10" x14ac:dyDescent="0.35">
      <c r="A14" s="6"/>
      <c r="B14" s="801"/>
      <c r="C14" s="267" t="s">
        <v>84</v>
      </c>
      <c r="D14" s="73">
        <v>1661.7</v>
      </c>
      <c r="E14" s="74">
        <v>658.9</v>
      </c>
      <c r="F14" s="73">
        <v>910.4</v>
      </c>
      <c r="G14" s="73">
        <v>1206.5</v>
      </c>
      <c r="H14" s="74">
        <v>176</v>
      </c>
      <c r="I14" s="73">
        <v>27.6</v>
      </c>
      <c r="J14" s="53">
        <v>2320.6</v>
      </c>
    </row>
    <row r="15" spans="1:10" x14ac:dyDescent="0.35">
      <c r="A15" s="6"/>
      <c r="B15" s="801"/>
      <c r="C15" s="75" t="s">
        <v>8</v>
      </c>
      <c r="D15" s="76">
        <v>3862.8</v>
      </c>
      <c r="E15" s="77">
        <v>2361.1</v>
      </c>
      <c r="F15" s="76">
        <v>5797.1</v>
      </c>
      <c r="G15" s="76">
        <v>48.9</v>
      </c>
      <c r="H15" s="77">
        <v>313.60000000000002</v>
      </c>
      <c r="I15" s="76">
        <v>64.3</v>
      </c>
      <c r="J15" s="215">
        <v>6223.9</v>
      </c>
    </row>
    <row r="16" spans="1:10" s="10" customFormat="1" ht="15" thickBot="1" x14ac:dyDescent="0.4">
      <c r="A16" s="12"/>
      <c r="B16" s="802"/>
      <c r="C16" s="262" t="s">
        <v>72</v>
      </c>
      <c r="D16" s="181">
        <v>22791.4</v>
      </c>
      <c r="E16" s="86">
        <v>18569.3</v>
      </c>
      <c r="F16" s="181">
        <v>32103.300000000003</v>
      </c>
      <c r="G16" s="181">
        <v>7592.6</v>
      </c>
      <c r="H16" s="86">
        <v>1296.2000000000003</v>
      </c>
      <c r="I16" s="181">
        <v>368.5</v>
      </c>
      <c r="J16" s="216">
        <v>41360.699999999997</v>
      </c>
    </row>
    <row r="17" spans="1:10" x14ac:dyDescent="0.35">
      <c r="A17" s="6"/>
      <c r="B17" s="800" t="s">
        <v>75</v>
      </c>
      <c r="C17" s="267" t="s">
        <v>10</v>
      </c>
      <c r="D17" s="73">
        <v>233.5</v>
      </c>
      <c r="E17" s="74">
        <v>30.9</v>
      </c>
      <c r="F17" s="73">
        <v>230.9</v>
      </c>
      <c r="G17" s="73">
        <v>25.6</v>
      </c>
      <c r="H17" s="74">
        <v>7.9</v>
      </c>
      <c r="I17" s="73">
        <v>0</v>
      </c>
      <c r="J17" s="53">
        <v>264.39999999999998</v>
      </c>
    </row>
    <row r="18" spans="1:10" x14ac:dyDescent="0.35">
      <c r="B18" s="860"/>
      <c r="C18" s="267" t="s">
        <v>11</v>
      </c>
      <c r="D18" s="73">
        <v>163.30000000000001</v>
      </c>
      <c r="E18" s="74">
        <v>0</v>
      </c>
      <c r="F18" s="73">
        <v>147.6</v>
      </c>
      <c r="G18" s="73">
        <v>15.7</v>
      </c>
      <c r="H18" s="74">
        <v>0</v>
      </c>
      <c r="I18" s="73">
        <v>0</v>
      </c>
      <c r="J18" s="53">
        <v>163.30000000000001</v>
      </c>
    </row>
    <row r="19" spans="1:10" x14ac:dyDescent="0.35">
      <c r="B19" s="860"/>
      <c r="C19" s="75" t="s">
        <v>12</v>
      </c>
      <c r="D19" s="76">
        <v>202.3</v>
      </c>
      <c r="E19" s="77">
        <v>82.7</v>
      </c>
      <c r="F19" s="76">
        <v>274.8</v>
      </c>
      <c r="G19" s="76">
        <v>6.9</v>
      </c>
      <c r="H19" s="77">
        <v>3.3</v>
      </c>
      <c r="I19" s="76">
        <v>0</v>
      </c>
      <c r="J19" s="215">
        <v>285</v>
      </c>
    </row>
    <row r="20" spans="1:10" s="10" customFormat="1" ht="15" thickBot="1" x14ac:dyDescent="0.4">
      <c r="B20" s="804"/>
      <c r="C20" s="262" t="s">
        <v>72</v>
      </c>
      <c r="D20" s="181">
        <v>599.1</v>
      </c>
      <c r="E20" s="86">
        <v>113.6</v>
      </c>
      <c r="F20" s="181">
        <v>653.29999999999995</v>
      </c>
      <c r="G20" s="181">
        <v>48.199999999999996</v>
      </c>
      <c r="H20" s="86">
        <v>11.2</v>
      </c>
      <c r="I20" s="181">
        <v>0</v>
      </c>
      <c r="J20" s="216">
        <v>712.7</v>
      </c>
    </row>
    <row r="21" spans="1:10" x14ac:dyDescent="0.35">
      <c r="B21" s="762" t="s">
        <v>13</v>
      </c>
      <c r="C21" s="87" t="s">
        <v>13</v>
      </c>
      <c r="D21" s="182">
        <v>62.4</v>
      </c>
      <c r="E21" s="89">
        <v>177.6</v>
      </c>
      <c r="F21" s="182">
        <v>129</v>
      </c>
      <c r="G21" s="182">
        <v>54.9</v>
      </c>
      <c r="H21" s="89">
        <v>56.2</v>
      </c>
      <c r="I21" s="182">
        <v>0</v>
      </c>
      <c r="J21" s="219">
        <v>240</v>
      </c>
    </row>
    <row r="22" spans="1:10" s="10" customFormat="1" ht="15" thickBot="1" x14ac:dyDescent="0.4">
      <c r="B22" s="804"/>
      <c r="C22" s="262" t="s">
        <v>72</v>
      </c>
      <c r="D22" s="181">
        <v>62.4</v>
      </c>
      <c r="E22" s="86">
        <v>177.6</v>
      </c>
      <c r="F22" s="181">
        <v>129</v>
      </c>
      <c r="G22" s="181">
        <v>54.9</v>
      </c>
      <c r="H22" s="86">
        <v>56.2</v>
      </c>
      <c r="I22" s="181">
        <v>0</v>
      </c>
      <c r="J22" s="216">
        <v>240</v>
      </c>
    </row>
    <row r="23" spans="1:10" s="10" customFormat="1" x14ac:dyDescent="0.35">
      <c r="B23" s="762" t="s">
        <v>151</v>
      </c>
      <c r="C23" s="119" t="s">
        <v>152</v>
      </c>
      <c r="D23" s="73">
        <v>0</v>
      </c>
      <c r="E23" s="74">
        <v>0.9</v>
      </c>
      <c r="F23" s="74">
        <v>0.9</v>
      </c>
      <c r="G23" s="74">
        <v>0.1</v>
      </c>
      <c r="H23" s="74">
        <v>0</v>
      </c>
      <c r="I23" s="74">
        <v>0</v>
      </c>
      <c r="J23" s="53">
        <v>0.9</v>
      </c>
    </row>
    <row r="24" spans="1:10" s="10" customFormat="1" x14ac:dyDescent="0.35">
      <c r="B24" s="860"/>
      <c r="C24" s="32" t="s">
        <v>153</v>
      </c>
      <c r="D24" s="76">
        <v>1</v>
      </c>
      <c r="E24" s="77">
        <v>0</v>
      </c>
      <c r="F24" s="77">
        <v>0.7</v>
      </c>
      <c r="G24" s="77">
        <v>0.3</v>
      </c>
      <c r="H24" s="77">
        <v>0</v>
      </c>
      <c r="I24" s="77">
        <v>0</v>
      </c>
      <c r="J24" s="215">
        <v>1</v>
      </c>
    </row>
    <row r="25" spans="1:10" s="10" customFormat="1" ht="15" thickBot="1" x14ac:dyDescent="0.4">
      <c r="B25" s="804"/>
      <c r="C25" s="48" t="s">
        <v>72</v>
      </c>
      <c r="D25" s="218">
        <v>1</v>
      </c>
      <c r="E25" s="82">
        <v>0.9</v>
      </c>
      <c r="F25" s="218">
        <v>1.6</v>
      </c>
      <c r="G25" s="218">
        <v>0.4</v>
      </c>
      <c r="H25" s="82">
        <v>0</v>
      </c>
      <c r="I25" s="218">
        <v>0</v>
      </c>
      <c r="J25" s="217">
        <v>1.9</v>
      </c>
    </row>
    <row r="26" spans="1:10" x14ac:dyDescent="0.35">
      <c r="B26" s="762" t="s">
        <v>73</v>
      </c>
      <c r="C26" s="267" t="s">
        <v>16</v>
      </c>
      <c r="D26" s="73">
        <v>211.8</v>
      </c>
      <c r="E26" s="74">
        <v>259</v>
      </c>
      <c r="F26" s="73">
        <v>399.7</v>
      </c>
      <c r="G26" s="73">
        <v>65.8</v>
      </c>
      <c r="H26" s="74">
        <v>5.3</v>
      </c>
      <c r="I26" s="73">
        <v>0</v>
      </c>
      <c r="J26" s="222">
        <v>470.8</v>
      </c>
    </row>
    <row r="27" spans="1:10" x14ac:dyDescent="0.35">
      <c r="B27" s="860"/>
      <c r="C27" s="267" t="s">
        <v>17</v>
      </c>
      <c r="D27" s="73">
        <v>718.4</v>
      </c>
      <c r="E27" s="74">
        <v>3726.6</v>
      </c>
      <c r="F27" s="73">
        <v>3375</v>
      </c>
      <c r="G27" s="73">
        <v>1059.7</v>
      </c>
      <c r="H27" s="74">
        <v>0</v>
      </c>
      <c r="I27" s="73">
        <v>10.199999999999999</v>
      </c>
      <c r="J27" s="53">
        <v>4445</v>
      </c>
    </row>
    <row r="28" spans="1:10" x14ac:dyDescent="0.35">
      <c r="B28" s="860"/>
      <c r="C28" s="267" t="s">
        <v>18</v>
      </c>
      <c r="D28" s="73">
        <v>110.4</v>
      </c>
      <c r="E28" s="74">
        <v>0.2</v>
      </c>
      <c r="F28" s="74">
        <v>52</v>
      </c>
      <c r="G28" s="73">
        <v>58.6</v>
      </c>
      <c r="H28" s="74">
        <v>0</v>
      </c>
      <c r="I28" s="73">
        <v>0</v>
      </c>
      <c r="J28" s="53">
        <v>110.60000000000001</v>
      </c>
    </row>
    <row r="29" spans="1:10" x14ac:dyDescent="0.35">
      <c r="B29" s="860"/>
      <c r="C29" s="267" t="s">
        <v>50</v>
      </c>
      <c r="D29" s="73">
        <v>61.7</v>
      </c>
      <c r="E29" s="74">
        <v>0</v>
      </c>
      <c r="F29" s="74">
        <v>42.4</v>
      </c>
      <c r="G29" s="74">
        <v>19.3</v>
      </c>
      <c r="H29" s="74">
        <v>0</v>
      </c>
      <c r="I29" s="73">
        <v>0</v>
      </c>
      <c r="J29" s="53">
        <v>61.7</v>
      </c>
    </row>
    <row r="30" spans="1:10" x14ac:dyDescent="0.35">
      <c r="B30" s="860"/>
      <c r="C30" s="75" t="s">
        <v>19</v>
      </c>
      <c r="D30" s="76">
        <v>1392</v>
      </c>
      <c r="E30" s="77">
        <v>223.4</v>
      </c>
      <c r="F30" s="77">
        <v>1329.3</v>
      </c>
      <c r="G30" s="77">
        <v>154.80000000000001</v>
      </c>
      <c r="H30" s="77">
        <v>70.7</v>
      </c>
      <c r="I30" s="76">
        <v>60.7</v>
      </c>
      <c r="J30" s="215">
        <v>1615.4</v>
      </c>
    </row>
    <row r="31" spans="1:10" s="10" customFormat="1" ht="15" thickBot="1" x14ac:dyDescent="0.4">
      <c r="B31" s="804"/>
      <c r="C31" s="262" t="s">
        <v>72</v>
      </c>
      <c r="D31" s="181">
        <v>2494.3000000000002</v>
      </c>
      <c r="E31" s="86">
        <v>4209.2</v>
      </c>
      <c r="F31" s="86">
        <v>5198.3999999999996</v>
      </c>
      <c r="G31" s="86">
        <v>1358.1999999999998</v>
      </c>
      <c r="H31" s="86">
        <v>76</v>
      </c>
      <c r="I31" s="181">
        <v>70.900000000000006</v>
      </c>
      <c r="J31" s="216">
        <v>6703.5</v>
      </c>
    </row>
    <row r="32" spans="1:10" x14ac:dyDescent="0.35">
      <c r="B32" s="762" t="s">
        <v>76</v>
      </c>
      <c r="C32" s="267" t="s">
        <v>78</v>
      </c>
      <c r="D32" s="73">
        <v>162.19999999999999</v>
      </c>
      <c r="E32" s="74">
        <v>0</v>
      </c>
      <c r="F32" s="74">
        <v>162.19999999999999</v>
      </c>
      <c r="G32" s="74">
        <v>0</v>
      </c>
      <c r="H32" s="74">
        <v>0</v>
      </c>
      <c r="I32" s="73">
        <v>0</v>
      </c>
      <c r="J32" s="53">
        <v>162.19999999999999</v>
      </c>
    </row>
    <row r="33" spans="2:10" x14ac:dyDescent="0.35">
      <c r="B33" s="838"/>
      <c r="C33" s="267" t="s">
        <v>154</v>
      </c>
      <c r="D33" s="73">
        <v>0</v>
      </c>
      <c r="E33" s="74">
        <v>0.2</v>
      </c>
      <c r="F33" s="74">
        <v>0.2</v>
      </c>
      <c r="G33" s="74">
        <v>0</v>
      </c>
      <c r="H33" s="74">
        <v>0</v>
      </c>
      <c r="I33" s="73">
        <v>0</v>
      </c>
      <c r="J33" s="53">
        <v>0.2</v>
      </c>
    </row>
    <row r="34" spans="2:10" x14ac:dyDescent="0.35">
      <c r="B34" s="838"/>
      <c r="C34" s="267" t="s">
        <v>157</v>
      </c>
      <c r="D34" s="73">
        <v>0</v>
      </c>
      <c r="E34" s="74">
        <v>0</v>
      </c>
      <c r="F34" s="74">
        <v>0</v>
      </c>
      <c r="G34" s="74">
        <v>0</v>
      </c>
      <c r="H34" s="74">
        <v>0</v>
      </c>
      <c r="I34" s="73">
        <v>0</v>
      </c>
      <c r="J34" s="53">
        <v>0</v>
      </c>
    </row>
    <row r="35" spans="2:10" x14ac:dyDescent="0.35">
      <c r="B35" s="860"/>
      <c r="C35" s="267" t="s">
        <v>20</v>
      </c>
      <c r="D35" s="73">
        <v>1.2</v>
      </c>
      <c r="E35" s="74">
        <v>3.9</v>
      </c>
      <c r="F35" s="74">
        <v>5.0999999999999996</v>
      </c>
      <c r="G35" s="74">
        <v>0</v>
      </c>
      <c r="H35" s="74">
        <v>0</v>
      </c>
      <c r="I35" s="73">
        <v>0</v>
      </c>
      <c r="J35" s="53">
        <v>5.0999999999999996</v>
      </c>
    </row>
    <row r="36" spans="2:10" x14ac:dyDescent="0.35">
      <c r="B36" s="860"/>
      <c r="C36" s="267" t="s">
        <v>149</v>
      </c>
      <c r="D36" s="73">
        <v>0</v>
      </c>
      <c r="E36" s="74">
        <v>0</v>
      </c>
      <c r="F36" s="74">
        <v>0</v>
      </c>
      <c r="G36" s="74">
        <v>0</v>
      </c>
      <c r="H36" s="74">
        <v>0</v>
      </c>
      <c r="I36" s="73">
        <v>0</v>
      </c>
      <c r="J36" s="53">
        <v>0</v>
      </c>
    </row>
    <row r="37" spans="2:10" x14ac:dyDescent="0.35">
      <c r="B37" s="860"/>
      <c r="C37" s="32" t="s">
        <v>21</v>
      </c>
      <c r="D37" s="76">
        <v>37.299999999999997</v>
      </c>
      <c r="E37" s="77">
        <v>66.2</v>
      </c>
      <c r="F37" s="77">
        <v>100.2</v>
      </c>
      <c r="G37" s="77">
        <v>0.3</v>
      </c>
      <c r="H37" s="77">
        <v>3.1</v>
      </c>
      <c r="I37" s="76">
        <v>0</v>
      </c>
      <c r="J37" s="215">
        <v>103.5</v>
      </c>
    </row>
    <row r="38" spans="2:10" s="10" customFormat="1" ht="15" thickBot="1" x14ac:dyDescent="0.4">
      <c r="B38" s="804"/>
      <c r="C38" s="48" t="s">
        <v>72</v>
      </c>
      <c r="D38" s="181">
        <v>200.7</v>
      </c>
      <c r="E38" s="86">
        <v>70.3</v>
      </c>
      <c r="F38" s="86">
        <v>267.7</v>
      </c>
      <c r="G38" s="86">
        <v>0.3</v>
      </c>
      <c r="H38" s="86">
        <v>3.1</v>
      </c>
      <c r="I38" s="86">
        <v>0</v>
      </c>
      <c r="J38" s="216">
        <v>271</v>
      </c>
    </row>
    <row r="39" spans="2:10" x14ac:dyDescent="0.35">
      <c r="B39" s="762" t="s">
        <v>22</v>
      </c>
      <c r="C39" s="267" t="s">
        <v>23</v>
      </c>
      <c r="D39" s="73">
        <v>116.8</v>
      </c>
      <c r="E39" s="74">
        <v>253.7</v>
      </c>
      <c r="F39" s="74">
        <v>255.7</v>
      </c>
      <c r="G39" s="74">
        <v>12.1</v>
      </c>
      <c r="H39" s="74">
        <v>93.9</v>
      </c>
      <c r="I39" s="74">
        <v>8.8000000000000007</v>
      </c>
      <c r="J39" s="53">
        <v>370.5</v>
      </c>
    </row>
    <row r="40" spans="2:10" x14ac:dyDescent="0.35">
      <c r="B40" s="860"/>
      <c r="C40" s="267" t="s">
        <v>24</v>
      </c>
      <c r="D40" s="73">
        <v>102.3</v>
      </c>
      <c r="E40" s="74">
        <v>10.7</v>
      </c>
      <c r="F40" s="74">
        <v>47</v>
      </c>
      <c r="G40" s="74">
        <v>66</v>
      </c>
      <c r="H40" s="74">
        <v>0</v>
      </c>
      <c r="I40" s="74">
        <v>0</v>
      </c>
      <c r="J40" s="53">
        <v>113</v>
      </c>
    </row>
    <row r="41" spans="2:10" x14ac:dyDescent="0.35">
      <c r="B41" s="860"/>
      <c r="C41" s="119" t="s">
        <v>25</v>
      </c>
      <c r="D41" s="73">
        <v>461.6</v>
      </c>
      <c r="E41" s="74">
        <v>743.5</v>
      </c>
      <c r="F41" s="74">
        <v>1165.0999999999999</v>
      </c>
      <c r="G41" s="74">
        <v>0.8</v>
      </c>
      <c r="H41" s="74">
        <v>39.200000000000003</v>
      </c>
      <c r="I41" s="74">
        <v>0</v>
      </c>
      <c r="J41" s="53">
        <v>1205.0999999999999</v>
      </c>
    </row>
    <row r="42" spans="2:10" x14ac:dyDescent="0.35">
      <c r="B42" s="860"/>
      <c r="C42" s="32" t="s">
        <v>26</v>
      </c>
      <c r="D42" s="76">
        <v>1613.2</v>
      </c>
      <c r="E42" s="77">
        <v>1606.2</v>
      </c>
      <c r="F42" s="77">
        <v>2776.3</v>
      </c>
      <c r="G42" s="77">
        <v>386.1</v>
      </c>
      <c r="H42" s="77">
        <v>18.8</v>
      </c>
      <c r="I42" s="77">
        <v>38.299999999999997</v>
      </c>
      <c r="J42" s="215">
        <v>3219.4</v>
      </c>
    </row>
    <row r="43" spans="2:10" s="10" customFormat="1" ht="15" thickBot="1" x14ac:dyDescent="0.4">
      <c r="B43" s="804"/>
      <c r="C43" s="117" t="s">
        <v>72</v>
      </c>
      <c r="D43" s="181">
        <v>2293.9</v>
      </c>
      <c r="E43" s="86">
        <v>2614.1</v>
      </c>
      <c r="F43" s="86">
        <v>4244.1000000000004</v>
      </c>
      <c r="G43" s="86">
        <v>465</v>
      </c>
      <c r="H43" s="86">
        <v>151.90000000000003</v>
      </c>
      <c r="I43" s="86">
        <v>47.099999999999994</v>
      </c>
      <c r="J43" s="216">
        <v>4908</v>
      </c>
    </row>
    <row r="44" spans="2:10" x14ac:dyDescent="0.35">
      <c r="B44" s="762" t="s">
        <v>27</v>
      </c>
      <c r="C44" s="119" t="s">
        <v>28</v>
      </c>
      <c r="D44" s="73">
        <v>943</v>
      </c>
      <c r="E44" s="74">
        <v>55.3</v>
      </c>
      <c r="F44" s="74">
        <v>749.7</v>
      </c>
      <c r="G44" s="74">
        <v>246.7</v>
      </c>
      <c r="H44" s="74">
        <v>1.8</v>
      </c>
      <c r="I44" s="74">
        <v>0</v>
      </c>
      <c r="J44" s="53">
        <v>998.3</v>
      </c>
    </row>
    <row r="45" spans="2:10" x14ac:dyDescent="0.35">
      <c r="B45" s="860"/>
      <c r="C45" s="32" t="s">
        <v>79</v>
      </c>
      <c r="D45" s="76">
        <v>380.1</v>
      </c>
      <c r="E45" s="77">
        <v>304.89999999999998</v>
      </c>
      <c r="F45" s="77">
        <v>671.6</v>
      </c>
      <c r="G45" s="77">
        <v>12.3</v>
      </c>
      <c r="H45" s="77">
        <v>1.2</v>
      </c>
      <c r="I45" s="77">
        <v>0</v>
      </c>
      <c r="J45" s="215">
        <v>685</v>
      </c>
    </row>
    <row r="46" spans="2:10" s="10" customFormat="1" ht="15" thickBot="1" x14ac:dyDescent="0.4">
      <c r="B46" s="804"/>
      <c r="C46" s="117" t="s">
        <v>72</v>
      </c>
      <c r="D46" s="181">
        <v>1323.1</v>
      </c>
      <c r="E46" s="86">
        <v>360.2</v>
      </c>
      <c r="F46" s="86">
        <v>1421.3000000000002</v>
      </c>
      <c r="G46" s="86">
        <v>259</v>
      </c>
      <c r="H46" s="86">
        <v>3</v>
      </c>
      <c r="I46" s="86">
        <v>0</v>
      </c>
      <c r="J46" s="216">
        <v>1683.3</v>
      </c>
    </row>
    <row r="47" spans="2:10" x14ac:dyDescent="0.35">
      <c r="B47" s="762" t="s">
        <v>29</v>
      </c>
      <c r="C47" s="40" t="s">
        <v>30</v>
      </c>
      <c r="D47" s="182">
        <v>2.6</v>
      </c>
      <c r="E47" s="89">
        <v>3.1</v>
      </c>
      <c r="F47" s="89">
        <v>5.6</v>
      </c>
      <c r="G47" s="89">
        <v>0</v>
      </c>
      <c r="H47" s="89">
        <v>0</v>
      </c>
      <c r="I47" s="89">
        <v>0</v>
      </c>
      <c r="J47" s="219">
        <v>5.7</v>
      </c>
    </row>
    <row r="48" spans="2:10" s="10" customFormat="1" ht="15" thickBot="1" x14ac:dyDescent="0.4">
      <c r="B48" s="763"/>
      <c r="C48" s="117" t="s">
        <v>72</v>
      </c>
      <c r="D48" s="181">
        <v>2.6</v>
      </c>
      <c r="E48" s="86">
        <v>3.1</v>
      </c>
      <c r="F48" s="86">
        <v>5.6</v>
      </c>
      <c r="G48" s="86">
        <v>0</v>
      </c>
      <c r="H48" s="86">
        <v>0</v>
      </c>
      <c r="I48" s="86">
        <v>0</v>
      </c>
      <c r="J48" s="216">
        <v>5.7</v>
      </c>
    </row>
    <row r="49" spans="1:10" x14ac:dyDescent="0.35">
      <c r="A49" s="6"/>
      <c r="B49" s="800" t="s">
        <v>32</v>
      </c>
      <c r="C49" s="40" t="s">
        <v>32</v>
      </c>
      <c r="D49" s="182">
        <v>150.4</v>
      </c>
      <c r="E49" s="89">
        <v>129.80000000000001</v>
      </c>
      <c r="F49" s="89">
        <v>205.7</v>
      </c>
      <c r="G49" s="89">
        <v>28.7</v>
      </c>
      <c r="H49" s="89">
        <v>45.9</v>
      </c>
      <c r="I49" s="89">
        <v>0</v>
      </c>
      <c r="J49" s="219">
        <v>280.20000000000005</v>
      </c>
    </row>
    <row r="50" spans="1:10" s="10" customFormat="1" ht="15" thickBot="1" x14ac:dyDescent="0.4">
      <c r="A50" s="12"/>
      <c r="B50" s="839"/>
      <c r="C50" s="117" t="s">
        <v>72</v>
      </c>
      <c r="D50" s="181">
        <v>150.4</v>
      </c>
      <c r="E50" s="86">
        <v>129.80000000000001</v>
      </c>
      <c r="F50" s="86">
        <v>205.7</v>
      </c>
      <c r="G50" s="86">
        <v>28.7</v>
      </c>
      <c r="H50" s="86">
        <v>45.9</v>
      </c>
      <c r="I50" s="86">
        <v>0</v>
      </c>
      <c r="J50" s="216">
        <v>280.20000000000005</v>
      </c>
    </row>
    <row r="51" spans="1:10" x14ac:dyDescent="0.35">
      <c r="A51" s="6"/>
      <c r="B51" s="800" t="s">
        <v>33</v>
      </c>
      <c r="C51" s="40" t="s">
        <v>33</v>
      </c>
      <c r="D51" s="182">
        <v>351.3</v>
      </c>
      <c r="E51" s="89">
        <v>116.5</v>
      </c>
      <c r="F51" s="89">
        <v>264.10000000000002</v>
      </c>
      <c r="G51" s="89">
        <v>134.69999999999999</v>
      </c>
      <c r="H51" s="89">
        <v>68.900000000000006</v>
      </c>
      <c r="I51" s="89">
        <v>0</v>
      </c>
      <c r="J51" s="219">
        <v>467.8</v>
      </c>
    </row>
    <row r="52" spans="1:10" s="10" customFormat="1" ht="15" thickBot="1" x14ac:dyDescent="0.4">
      <c r="A52" s="12"/>
      <c r="B52" s="839"/>
      <c r="C52" s="117" t="s">
        <v>72</v>
      </c>
      <c r="D52" s="181">
        <v>351.3</v>
      </c>
      <c r="E52" s="86">
        <v>116.5</v>
      </c>
      <c r="F52" s="86">
        <v>264.10000000000002</v>
      </c>
      <c r="G52" s="86">
        <v>134.69999999999999</v>
      </c>
      <c r="H52" s="86">
        <v>68.900000000000006</v>
      </c>
      <c r="I52" s="86">
        <v>0</v>
      </c>
      <c r="J52" s="216">
        <v>467.8</v>
      </c>
    </row>
    <row r="53" spans="1:10" x14ac:dyDescent="0.35">
      <c r="A53" s="6"/>
      <c r="B53" s="800" t="s">
        <v>34</v>
      </c>
      <c r="C53" s="40" t="s">
        <v>34</v>
      </c>
      <c r="D53" s="182">
        <v>380.1</v>
      </c>
      <c r="E53" s="89">
        <v>405.6</v>
      </c>
      <c r="F53" s="89">
        <v>648.4</v>
      </c>
      <c r="G53" s="89">
        <v>30.7</v>
      </c>
      <c r="H53" s="89">
        <v>106.5</v>
      </c>
      <c r="I53" s="89">
        <v>0</v>
      </c>
      <c r="J53" s="219">
        <v>785.7</v>
      </c>
    </row>
    <row r="54" spans="1:10" s="10" customFormat="1" ht="15" thickBot="1" x14ac:dyDescent="0.4">
      <c r="A54" s="12"/>
      <c r="B54" s="839"/>
      <c r="C54" s="117" t="s">
        <v>72</v>
      </c>
      <c r="D54" s="181">
        <v>380.1</v>
      </c>
      <c r="E54" s="86">
        <v>405.6</v>
      </c>
      <c r="F54" s="86">
        <v>648.4</v>
      </c>
      <c r="G54" s="86">
        <v>30.7</v>
      </c>
      <c r="H54" s="86">
        <v>106.5</v>
      </c>
      <c r="I54" s="86">
        <v>0</v>
      </c>
      <c r="J54" s="216">
        <v>785.7</v>
      </c>
    </row>
    <row r="55" spans="1:10" x14ac:dyDescent="0.35">
      <c r="A55" s="6"/>
      <c r="B55" s="800" t="s">
        <v>77</v>
      </c>
      <c r="C55" s="40" t="s">
        <v>30</v>
      </c>
      <c r="D55" s="182">
        <v>49.3</v>
      </c>
      <c r="E55" s="89">
        <v>179</v>
      </c>
      <c r="F55" s="89">
        <v>49.3</v>
      </c>
      <c r="G55" s="89">
        <v>0</v>
      </c>
      <c r="H55" s="89">
        <v>179</v>
      </c>
      <c r="I55" s="89">
        <v>0</v>
      </c>
      <c r="J55" s="219">
        <v>228.3</v>
      </c>
    </row>
    <row r="56" spans="1:10" s="10" customFormat="1" ht="15" thickBot="1" x14ac:dyDescent="0.4">
      <c r="A56" s="12"/>
      <c r="B56" s="839"/>
      <c r="C56" s="48" t="s">
        <v>72</v>
      </c>
      <c r="D56" s="218">
        <v>49.3</v>
      </c>
      <c r="E56" s="82">
        <v>179</v>
      </c>
      <c r="F56" s="82">
        <v>49.3</v>
      </c>
      <c r="G56" s="82">
        <v>0</v>
      </c>
      <c r="H56" s="82">
        <v>179</v>
      </c>
      <c r="I56" s="82">
        <v>0</v>
      </c>
      <c r="J56" s="217">
        <v>228.3</v>
      </c>
    </row>
    <row r="57" spans="1:10" x14ac:dyDescent="0.35">
      <c r="A57" s="6"/>
      <c r="B57" s="800" t="s">
        <v>31</v>
      </c>
      <c r="C57" s="32" t="s">
        <v>31</v>
      </c>
      <c r="D57" s="76">
        <v>175</v>
      </c>
      <c r="E57" s="77">
        <v>82.6</v>
      </c>
      <c r="F57" s="77">
        <v>200.2</v>
      </c>
      <c r="G57" s="77">
        <v>54.4</v>
      </c>
      <c r="H57" s="77">
        <v>0</v>
      </c>
      <c r="I57" s="77">
        <v>3</v>
      </c>
      <c r="J57" s="58">
        <v>257.60000000000002</v>
      </c>
    </row>
    <row r="58" spans="1:10" s="10" customFormat="1" ht="15" thickBot="1" x14ac:dyDescent="0.4">
      <c r="A58" s="12"/>
      <c r="B58" s="839"/>
      <c r="C58" s="117" t="s">
        <v>72</v>
      </c>
      <c r="D58" s="181">
        <v>175</v>
      </c>
      <c r="E58" s="86">
        <v>82.6</v>
      </c>
      <c r="F58" s="86">
        <v>200.2</v>
      </c>
      <c r="G58" s="86">
        <v>54.4</v>
      </c>
      <c r="H58" s="86">
        <v>0</v>
      </c>
      <c r="I58" s="86">
        <v>3</v>
      </c>
      <c r="J58" s="216">
        <v>257.60000000000002</v>
      </c>
    </row>
    <row r="59" spans="1:10" x14ac:dyDescent="0.35">
      <c r="A59" s="6"/>
      <c r="B59" s="800" t="s">
        <v>87</v>
      </c>
      <c r="C59" s="28" t="s">
        <v>14</v>
      </c>
      <c r="D59" s="73">
        <v>404.4</v>
      </c>
      <c r="E59" s="74">
        <v>161.4</v>
      </c>
      <c r="F59" s="74">
        <v>433.5</v>
      </c>
      <c r="G59" s="74">
        <v>99.7</v>
      </c>
      <c r="H59" s="74">
        <v>32.6</v>
      </c>
      <c r="I59" s="74">
        <v>0</v>
      </c>
      <c r="J59" s="53">
        <v>565.79999999999995</v>
      </c>
    </row>
    <row r="60" spans="1:10" x14ac:dyDescent="0.35">
      <c r="A60" s="6"/>
      <c r="B60" s="807"/>
      <c r="C60" s="119" t="s">
        <v>85</v>
      </c>
      <c r="D60" s="73">
        <v>165</v>
      </c>
      <c r="E60" s="74">
        <v>12.3</v>
      </c>
      <c r="F60" s="74">
        <v>118.4</v>
      </c>
      <c r="G60" s="74">
        <v>58.9</v>
      </c>
      <c r="H60" s="74">
        <v>0</v>
      </c>
      <c r="I60" s="74">
        <v>0</v>
      </c>
      <c r="J60" s="53">
        <v>177.3</v>
      </c>
    </row>
    <row r="61" spans="1:10" x14ac:dyDescent="0.35">
      <c r="A61" s="6"/>
      <c r="B61" s="807"/>
      <c r="C61" s="32" t="s">
        <v>15</v>
      </c>
      <c r="D61" s="76">
        <v>614.5</v>
      </c>
      <c r="E61" s="77">
        <v>656.1</v>
      </c>
      <c r="F61" s="77">
        <v>945.1</v>
      </c>
      <c r="G61" s="77">
        <v>149.80000000000001</v>
      </c>
      <c r="H61" s="77">
        <v>147</v>
      </c>
      <c r="I61" s="77">
        <v>28.7</v>
      </c>
      <c r="J61" s="215">
        <v>1270.5999999999999</v>
      </c>
    </row>
    <row r="62" spans="1:10" s="10" customFormat="1" ht="15" thickBot="1" x14ac:dyDescent="0.4">
      <c r="A62" s="12"/>
      <c r="B62" s="839"/>
      <c r="C62" s="117" t="s">
        <v>72</v>
      </c>
      <c r="D62" s="181">
        <v>1183.9000000000001</v>
      </c>
      <c r="E62" s="86">
        <v>829.80000000000007</v>
      </c>
      <c r="F62" s="86">
        <v>1497</v>
      </c>
      <c r="G62" s="86">
        <v>308.39999999999998</v>
      </c>
      <c r="H62" s="86">
        <v>179.6</v>
      </c>
      <c r="I62" s="86">
        <v>28.7</v>
      </c>
      <c r="J62" s="216">
        <v>2013.6999999999998</v>
      </c>
    </row>
    <row r="63" spans="1:10" ht="15" thickBot="1" x14ac:dyDescent="0.4">
      <c r="A63" s="6"/>
      <c r="B63" s="865" t="s">
        <v>48</v>
      </c>
      <c r="C63" s="866"/>
      <c r="D63" s="223">
        <v>32058.5</v>
      </c>
      <c r="E63" s="224">
        <v>27861.599999999991</v>
      </c>
      <c r="F63" s="224">
        <v>46889</v>
      </c>
      <c r="G63" s="224">
        <v>10335.5</v>
      </c>
      <c r="H63" s="224">
        <v>2177.5000000000005</v>
      </c>
      <c r="I63" s="224">
        <v>518.20000000000005</v>
      </c>
      <c r="J63" s="223">
        <v>59920.099999999991</v>
      </c>
    </row>
    <row r="64" spans="1:10" ht="15" thickBot="1" x14ac:dyDescent="0.4">
      <c r="A64" s="6"/>
      <c r="B64" s="867" t="s">
        <v>88</v>
      </c>
      <c r="C64" s="868"/>
      <c r="D64" s="225"/>
      <c r="E64" s="225"/>
      <c r="F64" s="226">
        <v>87367.4</v>
      </c>
      <c r="G64" s="226">
        <v>39840.5</v>
      </c>
      <c r="H64" s="226">
        <v>18786.7</v>
      </c>
      <c r="I64" s="226">
        <v>18053.8</v>
      </c>
      <c r="J64" s="227">
        <v>164048.4</v>
      </c>
    </row>
    <row r="65" spans="1:10" ht="15" thickBot="1" x14ac:dyDescent="0.4">
      <c r="A65" s="6"/>
      <c r="B65" s="867" t="s">
        <v>68</v>
      </c>
      <c r="C65" s="868"/>
      <c r="D65" s="228"/>
      <c r="E65" s="229"/>
      <c r="F65" s="230">
        <v>7609.8</v>
      </c>
      <c r="G65" s="230">
        <v>3743.4</v>
      </c>
      <c r="H65" s="230">
        <v>235.3</v>
      </c>
      <c r="I65" s="230">
        <v>218.6</v>
      </c>
      <c r="J65" s="231">
        <v>11807.1</v>
      </c>
    </row>
    <row r="66" spans="1:10" ht="15" thickBot="1" x14ac:dyDescent="0.4">
      <c r="B66" s="869" t="s">
        <v>35</v>
      </c>
      <c r="C66" s="866"/>
      <c r="D66" s="51"/>
      <c r="E66" s="51"/>
      <c r="F66" s="61">
        <v>141866.19999999998</v>
      </c>
      <c r="G66" s="61">
        <v>53919.4</v>
      </c>
      <c r="H66" s="61">
        <v>21199.5</v>
      </c>
      <c r="I66" s="61">
        <v>18790.599999999999</v>
      </c>
      <c r="J66" s="221">
        <v>235775.6</v>
      </c>
    </row>
    <row r="67" spans="1:10" x14ac:dyDescent="0.35">
      <c r="B67" s="62"/>
      <c r="C67" s="62"/>
      <c r="D67" s="63"/>
      <c r="E67" s="63"/>
      <c r="F67" s="63"/>
      <c r="G67" s="63"/>
      <c r="H67" s="63"/>
      <c r="I67" s="63"/>
      <c r="J67" s="63"/>
    </row>
    <row r="68" spans="1:10" x14ac:dyDescent="0.35">
      <c r="B68" s="870" t="s">
        <v>89</v>
      </c>
      <c r="C68" s="870"/>
      <c r="D68" s="870"/>
      <c r="E68" s="870"/>
      <c r="F68" s="870"/>
      <c r="G68" s="870"/>
      <c r="H68" s="870"/>
      <c r="I68" s="870"/>
      <c r="J68" s="870"/>
    </row>
    <row r="69" spans="1:10" x14ac:dyDescent="0.35">
      <c r="B69" s="864" t="s">
        <v>86</v>
      </c>
      <c r="C69" s="864"/>
      <c r="D69" s="864"/>
      <c r="E69" s="864"/>
      <c r="F69" s="864"/>
      <c r="G69" s="864"/>
      <c r="H69" s="864"/>
      <c r="I69" s="864"/>
      <c r="J69" s="864"/>
    </row>
    <row r="70" spans="1:10" ht="15.5" x14ac:dyDescent="0.35">
      <c r="B70" s="791" t="s">
        <v>119</v>
      </c>
      <c r="C70" s="791"/>
      <c r="D70" s="791"/>
      <c r="E70" s="791"/>
      <c r="F70" s="791"/>
      <c r="G70" s="791"/>
      <c r="H70" s="791"/>
      <c r="I70" s="791"/>
      <c r="J70" s="791"/>
    </row>
    <row r="71" spans="1:10" x14ac:dyDescent="0.35">
      <c r="B71" s="1"/>
      <c r="C71" s="1"/>
      <c r="D71" s="1"/>
      <c r="E71" s="1"/>
      <c r="F71" s="1"/>
      <c r="G71" s="1"/>
      <c r="H71" s="1"/>
      <c r="I71" s="1"/>
      <c r="J71" s="1"/>
    </row>
  </sheetData>
  <customSheetViews>
    <customSheetView guid="{6654F670-CAA9-4C4A-B3D9-226402FC46BC}" scale="75" showPageBreaks="1" printArea="1" view="pageLayout">
      <selection activeCell="D8" sqref="D8:J66"/>
      <pageMargins left="0.70866141732283472" right="0.70866141732283472" top="0.74803149606299213" bottom="0.74803149606299213" header="0.31496062992125984" footer="0.31496062992125984"/>
      <pageSetup paperSize="9" scale="60" orientation="portrait"/>
      <headerFooter>
        <oddHeader>&amp;L&amp;G&amp;RCAMPAÑA: 2025/2026. MES:JULIO
Fecha de emisión de datos: 25/08/2026</oddHeader>
      </headerFooter>
    </customSheetView>
    <customSheetView guid="{89192556-592D-44A9-BA8C-EA83608B5C0F}" scale="75" showPageBreaks="1" printArea="1" view="pageLayout">
      <selection activeCell="D8" sqref="D8:J66"/>
      <pageMargins left="0.70866141732283472" right="0.70866141732283472" top="0.74803149606299213" bottom="0.74803149606299213" header="0.31496062992125984" footer="0.31496062992125984"/>
      <pageSetup paperSize="9" scale="60" orientation="portrait"/>
      <headerFooter>
        <oddHeader>&amp;L&amp;G&amp;RCAMPAÑA: 2025/2026. MES:JULIO
Fecha de emisión de datos: 25/08/2026</oddHeader>
      </headerFooter>
    </customSheetView>
  </customSheetViews>
  <mergeCells count="27">
    <mergeCell ref="B1:J3"/>
    <mergeCell ref="B5:J5"/>
    <mergeCell ref="B6:B7"/>
    <mergeCell ref="C6:C7"/>
    <mergeCell ref="D6:J6"/>
    <mergeCell ref="B44:B46"/>
    <mergeCell ref="B47:B48"/>
    <mergeCell ref="B49:B50"/>
    <mergeCell ref="B51:B52"/>
    <mergeCell ref="B8:B16"/>
    <mergeCell ref="B17:B20"/>
    <mergeCell ref="B21:B22"/>
    <mergeCell ref="B26:B31"/>
    <mergeCell ref="B32:B38"/>
    <mergeCell ref="B39:B43"/>
    <mergeCell ref="B23:B25"/>
    <mergeCell ref="B53:B54"/>
    <mergeCell ref="B55:B56"/>
    <mergeCell ref="B69:J69"/>
    <mergeCell ref="B70:J70"/>
    <mergeCell ref="B59:B62"/>
    <mergeCell ref="B63:C63"/>
    <mergeCell ref="B64:C64"/>
    <mergeCell ref="B65:C65"/>
    <mergeCell ref="B66:C66"/>
    <mergeCell ref="B68:J68"/>
    <mergeCell ref="B57:B58"/>
  </mergeCells>
  <pageMargins left="0.70866141732283472" right="0.70866141732283472" top="0.74803149606299213" bottom="0.74803149606299213" header="0.31496062992125984" footer="0.31496062992125984"/>
  <pageSetup paperSize="9" scale="60" orientation="portrait" r:id="rId1"/>
  <headerFooter>
    <oddHeader>&amp;L&amp;G&amp;RCAMPAÑA: 2025/2026. MES:JULIO
Fecha de emisión de datos: 25/08/2026</oddHeader>
  </headerFooter>
  <legacyDrawingHF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D1:R71"/>
  <sheetViews>
    <sheetView view="pageLayout" topLeftCell="B1" zoomScale="80" zoomScaleNormal="70" zoomScaleSheetLayoutView="100" zoomScalePageLayoutView="80" workbookViewId="0">
      <selection activeCell="E1" sqref="E1:R2"/>
    </sheetView>
  </sheetViews>
  <sheetFormatPr baseColWidth="10" defaultColWidth="11.453125" defaultRowHeight="14.5" x14ac:dyDescent="0.35"/>
  <cols>
    <col min="4" max="4" width="10.1796875" customWidth="1"/>
    <col min="5" max="5" width="27.1796875" customWidth="1"/>
    <col min="6" max="6" width="21.81640625" bestFit="1" customWidth="1"/>
    <col min="7" max="7" width="11.81640625" bestFit="1" customWidth="1"/>
    <col min="8" max="8" width="14.26953125" bestFit="1" customWidth="1"/>
    <col min="9" max="9" width="13.7265625" bestFit="1" customWidth="1"/>
    <col min="10" max="11" width="11.54296875" bestFit="1" customWidth="1"/>
    <col min="17" max="17" width="11.453125" style="2"/>
    <col min="18" max="18" width="15.7265625" bestFit="1" customWidth="1"/>
  </cols>
  <sheetData>
    <row r="1" spans="5:18" ht="12" customHeight="1" x14ac:dyDescent="0.35">
      <c r="E1" s="761" t="s">
        <v>142</v>
      </c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</row>
    <row r="2" spans="5:18" ht="11.25" customHeight="1" x14ac:dyDescent="0.35"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</row>
    <row r="3" spans="5:18" ht="18" customHeight="1" x14ac:dyDescent="0.35">
      <c r="E3" s="761" t="s">
        <v>143</v>
      </c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  <c r="R3" s="761"/>
    </row>
    <row r="4" spans="5:18" ht="8.25" customHeight="1" thickBot="1" x14ac:dyDescent="0.4"/>
    <row r="5" spans="5:18" ht="16" thickBot="1" x14ac:dyDescent="0.4">
      <c r="E5" s="872" t="s">
        <v>94</v>
      </c>
      <c r="F5" s="873"/>
      <c r="G5" s="873"/>
      <c r="H5" s="873"/>
      <c r="I5" s="873"/>
      <c r="J5" s="873"/>
      <c r="K5" s="873"/>
      <c r="L5" s="873"/>
      <c r="M5" s="873"/>
      <c r="N5" s="873"/>
      <c r="O5" s="873"/>
      <c r="P5" s="873"/>
      <c r="Q5" s="873"/>
      <c r="R5" s="874"/>
    </row>
    <row r="6" spans="5:18" ht="30.75" customHeight="1" thickBot="1" x14ac:dyDescent="0.4">
      <c r="E6" s="50" t="s">
        <v>54</v>
      </c>
      <c r="F6" s="268" t="s">
        <v>4</v>
      </c>
      <c r="G6" s="126" t="s">
        <v>39</v>
      </c>
      <c r="H6" s="268" t="s">
        <v>40</v>
      </c>
      <c r="I6" s="268" t="s">
        <v>41</v>
      </c>
      <c r="J6" s="268" t="s">
        <v>42</v>
      </c>
      <c r="K6" s="268" t="s">
        <v>43</v>
      </c>
      <c r="L6" s="268" t="s">
        <v>44</v>
      </c>
      <c r="M6" s="268" t="s">
        <v>45</v>
      </c>
      <c r="N6" s="268" t="s">
        <v>46</v>
      </c>
      <c r="O6" s="268" t="s">
        <v>55</v>
      </c>
      <c r="P6" s="263" t="s">
        <v>56</v>
      </c>
      <c r="Q6" s="268" t="s">
        <v>57</v>
      </c>
      <c r="R6" s="268" t="s">
        <v>58</v>
      </c>
    </row>
    <row r="7" spans="5:18" x14ac:dyDescent="0.35">
      <c r="E7" s="762" t="s">
        <v>74</v>
      </c>
      <c r="F7" s="28" t="s">
        <v>80</v>
      </c>
      <c r="G7" s="71">
        <v>112</v>
      </c>
      <c r="H7" s="46">
        <v>190</v>
      </c>
      <c r="I7" s="46">
        <v>247.7</v>
      </c>
      <c r="J7" s="46">
        <v>212.9</v>
      </c>
      <c r="K7" s="46">
        <v>210.8</v>
      </c>
      <c r="L7" s="46">
        <v>207.8</v>
      </c>
      <c r="M7" s="46">
        <v>163.69999999999999</v>
      </c>
      <c r="N7" s="46">
        <v>173.4</v>
      </c>
      <c r="O7" s="46">
        <v>137.4</v>
      </c>
      <c r="P7" s="46">
        <v>139.80000000000001</v>
      </c>
      <c r="Q7" s="129"/>
      <c r="R7" s="174"/>
    </row>
    <row r="8" spans="5:18" x14ac:dyDescent="0.35">
      <c r="E8" s="860"/>
      <c r="F8" s="119" t="s">
        <v>81</v>
      </c>
      <c r="G8" s="73">
        <v>212.3</v>
      </c>
      <c r="H8" s="37">
        <v>380.8</v>
      </c>
      <c r="I8" s="37">
        <v>501</v>
      </c>
      <c r="J8" s="37">
        <v>475.8</v>
      </c>
      <c r="K8" s="37">
        <v>435.7</v>
      </c>
      <c r="L8" s="37">
        <v>396</v>
      </c>
      <c r="M8" s="37">
        <v>412.3</v>
      </c>
      <c r="N8" s="37">
        <v>377.1</v>
      </c>
      <c r="O8" s="37">
        <v>360.9</v>
      </c>
      <c r="P8" s="37">
        <v>170.89999999999998</v>
      </c>
      <c r="Q8" s="129"/>
      <c r="R8" s="45"/>
    </row>
    <row r="9" spans="5:18" x14ac:dyDescent="0.35">
      <c r="E9" s="860"/>
      <c r="F9" s="119" t="s">
        <v>82</v>
      </c>
      <c r="G9" s="73">
        <v>8194.9</v>
      </c>
      <c r="H9" s="37">
        <v>6679.3</v>
      </c>
      <c r="I9" s="37">
        <v>7389.3</v>
      </c>
      <c r="J9" s="37">
        <v>9689.6</v>
      </c>
      <c r="K9" s="37">
        <v>12496.8</v>
      </c>
      <c r="L9" s="37">
        <v>14166.1</v>
      </c>
      <c r="M9" s="37">
        <v>13903.1</v>
      </c>
      <c r="N9" s="37">
        <v>14037.9</v>
      </c>
      <c r="O9" s="37">
        <v>14351.2</v>
      </c>
      <c r="P9" s="37">
        <v>13852.2</v>
      </c>
      <c r="Q9" s="129"/>
      <c r="R9" s="45"/>
    </row>
    <row r="10" spans="5:18" x14ac:dyDescent="0.35">
      <c r="E10" s="860"/>
      <c r="F10" s="119" t="s">
        <v>6</v>
      </c>
      <c r="G10" s="73">
        <v>1643.8</v>
      </c>
      <c r="H10" s="37">
        <v>2665.8</v>
      </c>
      <c r="I10" s="37">
        <v>4376.2</v>
      </c>
      <c r="J10" s="37">
        <v>7156.5</v>
      </c>
      <c r="K10" s="37">
        <v>7054.6</v>
      </c>
      <c r="L10" s="37">
        <v>6505</v>
      </c>
      <c r="M10" s="37">
        <v>6035</v>
      </c>
      <c r="N10" s="37">
        <v>5421.9</v>
      </c>
      <c r="O10" s="37">
        <v>5085</v>
      </c>
      <c r="P10" s="37">
        <v>4525.6000000000004</v>
      </c>
      <c r="Q10" s="129"/>
      <c r="R10" s="45"/>
    </row>
    <row r="11" spans="5:18" x14ac:dyDescent="0.35">
      <c r="E11" s="860"/>
      <c r="F11" s="119" t="s">
        <v>7</v>
      </c>
      <c r="G11" s="73">
        <v>113.6</v>
      </c>
      <c r="H11" s="37">
        <v>150.80000000000001</v>
      </c>
      <c r="I11" s="37">
        <v>181</v>
      </c>
      <c r="J11" s="37">
        <v>257.39999999999998</v>
      </c>
      <c r="K11" s="37">
        <v>254.7</v>
      </c>
      <c r="L11" s="37">
        <v>194.5</v>
      </c>
      <c r="M11" s="37">
        <v>333.8</v>
      </c>
      <c r="N11" s="37">
        <v>467.6</v>
      </c>
      <c r="O11" s="37">
        <v>515.70000000000005</v>
      </c>
      <c r="P11" s="37">
        <v>528.6</v>
      </c>
      <c r="Q11" s="129"/>
      <c r="R11" s="45"/>
    </row>
    <row r="12" spans="5:18" x14ac:dyDescent="0.35">
      <c r="E12" s="860"/>
      <c r="F12" s="119" t="s">
        <v>83</v>
      </c>
      <c r="G12" s="73">
        <v>9468.5</v>
      </c>
      <c r="H12" s="37">
        <v>9661.7999999999993</v>
      </c>
      <c r="I12" s="37">
        <v>9292.7999999999993</v>
      </c>
      <c r="J12" s="37">
        <v>11764.1</v>
      </c>
      <c r="K12" s="37">
        <v>13243.4</v>
      </c>
      <c r="L12" s="37">
        <v>13825.3</v>
      </c>
      <c r="M12" s="37">
        <v>14462.4</v>
      </c>
      <c r="N12" s="37">
        <v>14752.7</v>
      </c>
      <c r="O12" s="37">
        <v>15224</v>
      </c>
      <c r="P12" s="37">
        <v>13599.099999999999</v>
      </c>
      <c r="Q12" s="129"/>
      <c r="R12" s="45"/>
    </row>
    <row r="13" spans="5:18" x14ac:dyDescent="0.35">
      <c r="E13" s="860"/>
      <c r="F13" s="119" t="s">
        <v>84</v>
      </c>
      <c r="G13" s="73">
        <v>1179.2</v>
      </c>
      <c r="H13" s="37">
        <v>1196.0999999999999</v>
      </c>
      <c r="I13" s="37">
        <v>1323.6</v>
      </c>
      <c r="J13" s="37">
        <v>1922.5</v>
      </c>
      <c r="K13" s="37">
        <v>1643.7</v>
      </c>
      <c r="L13" s="37">
        <v>2078</v>
      </c>
      <c r="M13" s="37">
        <v>2075.6999999999998</v>
      </c>
      <c r="N13" s="37">
        <v>2469.6</v>
      </c>
      <c r="O13" s="37">
        <v>2872</v>
      </c>
      <c r="P13" s="37">
        <v>2320.6</v>
      </c>
      <c r="Q13" s="129"/>
      <c r="R13" s="45"/>
    </row>
    <row r="14" spans="5:18" x14ac:dyDescent="0.35">
      <c r="E14" s="860"/>
      <c r="F14" s="32" t="s">
        <v>8</v>
      </c>
      <c r="G14" s="76">
        <v>1670.8</v>
      </c>
      <c r="H14" s="38">
        <v>1867.2</v>
      </c>
      <c r="I14" s="38">
        <v>2193.6999999999998</v>
      </c>
      <c r="J14" s="38">
        <v>3350.5</v>
      </c>
      <c r="K14" s="38">
        <v>4463.6000000000004</v>
      </c>
      <c r="L14" s="38">
        <v>5274</v>
      </c>
      <c r="M14" s="38">
        <v>5773.2</v>
      </c>
      <c r="N14" s="38">
        <v>6021.1</v>
      </c>
      <c r="O14" s="38">
        <v>5709.3</v>
      </c>
      <c r="P14" s="38">
        <v>6223.9</v>
      </c>
      <c r="Q14" s="130"/>
      <c r="R14" s="44"/>
    </row>
    <row r="15" spans="5:18" s="10" customFormat="1" ht="15" thickBot="1" x14ac:dyDescent="0.4">
      <c r="E15" s="804"/>
      <c r="F15" s="117" t="s">
        <v>72</v>
      </c>
      <c r="G15" s="181">
        <v>22595.1</v>
      </c>
      <c r="H15" s="110">
        <v>22791.8</v>
      </c>
      <c r="I15" s="110">
        <v>25505.3</v>
      </c>
      <c r="J15" s="110">
        <v>34829.300000000003</v>
      </c>
      <c r="K15" s="110">
        <v>39803.299999999996</v>
      </c>
      <c r="L15" s="110">
        <v>42646.7</v>
      </c>
      <c r="M15" s="110">
        <v>43159.19999999999</v>
      </c>
      <c r="N15" s="110">
        <v>43721.299999999996</v>
      </c>
      <c r="O15" s="110">
        <v>44255.5</v>
      </c>
      <c r="P15" s="110">
        <v>41360.699999999997</v>
      </c>
      <c r="Q15" s="131"/>
      <c r="R15" s="118"/>
    </row>
    <row r="16" spans="5:18" x14ac:dyDescent="0.35">
      <c r="E16" s="762" t="s">
        <v>75</v>
      </c>
      <c r="F16" s="119" t="s">
        <v>10</v>
      </c>
      <c r="G16" s="73">
        <v>212.8</v>
      </c>
      <c r="H16" s="37">
        <v>357.2</v>
      </c>
      <c r="I16" s="37">
        <v>397.7</v>
      </c>
      <c r="J16" s="37">
        <v>402.9</v>
      </c>
      <c r="K16" s="37">
        <v>373.8</v>
      </c>
      <c r="L16" s="37">
        <v>335.8</v>
      </c>
      <c r="M16" s="37">
        <v>301.10000000000002</v>
      </c>
      <c r="N16" s="37">
        <v>304.7</v>
      </c>
      <c r="O16" s="37">
        <v>308.2</v>
      </c>
      <c r="P16" s="37">
        <v>264.39999999999998</v>
      </c>
      <c r="Q16" s="129"/>
      <c r="R16" s="45"/>
    </row>
    <row r="17" spans="4:18" x14ac:dyDescent="0.35">
      <c r="E17" s="860"/>
      <c r="F17" s="119" t="s">
        <v>11</v>
      </c>
      <c r="G17" s="73">
        <v>67.8</v>
      </c>
      <c r="H17" s="37">
        <v>80.2</v>
      </c>
      <c r="I17" s="37">
        <v>171.3</v>
      </c>
      <c r="J17" s="37">
        <v>195.7</v>
      </c>
      <c r="K17" s="37">
        <v>186.4</v>
      </c>
      <c r="L17" s="37">
        <v>190.8</v>
      </c>
      <c r="M17" s="37">
        <v>177.6</v>
      </c>
      <c r="N17" s="37">
        <v>179.1</v>
      </c>
      <c r="O17" s="37">
        <v>166.8</v>
      </c>
      <c r="P17" s="37">
        <v>163.30000000000001</v>
      </c>
      <c r="Q17" s="129"/>
      <c r="R17" s="45"/>
    </row>
    <row r="18" spans="4:18" x14ac:dyDescent="0.35">
      <c r="E18" s="860"/>
      <c r="F18" s="32" t="s">
        <v>12</v>
      </c>
      <c r="G18" s="76">
        <v>249.3</v>
      </c>
      <c r="H18" s="38">
        <v>464.1</v>
      </c>
      <c r="I18" s="38">
        <v>505.9</v>
      </c>
      <c r="J18" s="38">
        <v>652.6</v>
      </c>
      <c r="K18" s="38">
        <v>528.79999999999995</v>
      </c>
      <c r="L18" s="38">
        <v>431</v>
      </c>
      <c r="M18" s="38">
        <v>428</v>
      </c>
      <c r="N18" s="38">
        <v>368.6</v>
      </c>
      <c r="O18" s="38">
        <v>367</v>
      </c>
      <c r="P18" s="38">
        <v>285</v>
      </c>
      <c r="Q18" s="130"/>
      <c r="R18" s="44"/>
    </row>
    <row r="19" spans="4:18" s="10" customFormat="1" ht="15" thickBot="1" x14ac:dyDescent="0.4">
      <c r="E19" s="804"/>
      <c r="F19" s="117" t="s">
        <v>72</v>
      </c>
      <c r="G19" s="181">
        <v>529.90000000000009</v>
      </c>
      <c r="H19" s="110">
        <v>901.5</v>
      </c>
      <c r="I19" s="110">
        <v>1074.9000000000001</v>
      </c>
      <c r="J19" s="110">
        <v>1251.1999999999998</v>
      </c>
      <c r="K19" s="110">
        <v>1089</v>
      </c>
      <c r="L19" s="110">
        <v>957.6</v>
      </c>
      <c r="M19" s="110">
        <v>906.7</v>
      </c>
      <c r="N19" s="110">
        <v>852.4</v>
      </c>
      <c r="O19" s="110">
        <v>842</v>
      </c>
      <c r="P19" s="110">
        <v>712.7</v>
      </c>
      <c r="Q19" s="131"/>
      <c r="R19" s="118"/>
    </row>
    <row r="20" spans="4:18" x14ac:dyDescent="0.35">
      <c r="E20" s="762" t="s">
        <v>13</v>
      </c>
      <c r="F20" s="40" t="s">
        <v>13</v>
      </c>
      <c r="G20" s="182">
        <v>184.3</v>
      </c>
      <c r="H20" s="42">
        <v>206.6</v>
      </c>
      <c r="I20" s="42">
        <v>208.8</v>
      </c>
      <c r="J20" s="42">
        <v>232.7</v>
      </c>
      <c r="K20" s="42">
        <v>279.5</v>
      </c>
      <c r="L20" s="42">
        <v>282.60000000000002</v>
      </c>
      <c r="M20" s="42">
        <v>232</v>
      </c>
      <c r="N20" s="42">
        <v>239.2</v>
      </c>
      <c r="O20" s="42">
        <v>252.3</v>
      </c>
      <c r="P20" s="42">
        <v>240</v>
      </c>
      <c r="Q20" s="132"/>
      <c r="R20" s="47"/>
    </row>
    <row r="21" spans="4:18" s="10" customFormat="1" ht="15" thickBot="1" x14ac:dyDescent="0.4">
      <c r="E21" s="804"/>
      <c r="F21" s="117" t="s">
        <v>72</v>
      </c>
      <c r="G21" s="181">
        <v>184.3</v>
      </c>
      <c r="H21" s="110">
        <v>206.6</v>
      </c>
      <c r="I21" s="110">
        <v>208.8</v>
      </c>
      <c r="J21" s="110">
        <v>232.7</v>
      </c>
      <c r="K21" s="110">
        <v>279.5</v>
      </c>
      <c r="L21" s="110">
        <v>282.60000000000002</v>
      </c>
      <c r="M21" s="110">
        <v>232</v>
      </c>
      <c r="N21" s="110">
        <v>239.2</v>
      </c>
      <c r="O21" s="110">
        <v>252.3</v>
      </c>
      <c r="P21" s="110">
        <v>240</v>
      </c>
      <c r="Q21" s="131"/>
      <c r="R21" s="118"/>
    </row>
    <row r="22" spans="4:18" s="10" customFormat="1" x14ac:dyDescent="0.35">
      <c r="E22" s="762" t="s">
        <v>151</v>
      </c>
      <c r="F22" s="119" t="s">
        <v>152</v>
      </c>
      <c r="G22" s="73">
        <v>2.4</v>
      </c>
      <c r="H22" s="37">
        <v>2</v>
      </c>
      <c r="I22" s="37">
        <v>1.8</v>
      </c>
      <c r="J22" s="129">
        <v>1.6</v>
      </c>
      <c r="K22" s="37">
        <v>1.6</v>
      </c>
      <c r="L22" s="37">
        <v>1.5</v>
      </c>
      <c r="M22" s="37">
        <v>1.4</v>
      </c>
      <c r="N22" s="29">
        <v>1.3</v>
      </c>
      <c r="O22" s="29">
        <v>1.2</v>
      </c>
      <c r="P22" s="29">
        <v>0.9</v>
      </c>
      <c r="Q22" s="129"/>
      <c r="R22" s="45"/>
    </row>
    <row r="23" spans="4:18" s="10" customFormat="1" x14ac:dyDescent="0.35">
      <c r="E23" s="860"/>
      <c r="F23" s="32" t="s">
        <v>153</v>
      </c>
      <c r="G23" s="76">
        <v>7.9</v>
      </c>
      <c r="H23" s="38">
        <v>5.2</v>
      </c>
      <c r="I23" s="38">
        <v>3.4</v>
      </c>
      <c r="J23" s="130">
        <v>2.1</v>
      </c>
      <c r="K23" s="38">
        <v>1.8</v>
      </c>
      <c r="L23" s="38">
        <v>1.6</v>
      </c>
      <c r="M23" s="38">
        <v>1.5</v>
      </c>
      <c r="N23" s="33">
        <v>1.2</v>
      </c>
      <c r="O23" s="33">
        <v>1.2</v>
      </c>
      <c r="P23" s="33">
        <v>1</v>
      </c>
      <c r="Q23" s="130"/>
      <c r="R23" s="44"/>
    </row>
    <row r="24" spans="4:18" s="10" customFormat="1" ht="15" thickBot="1" x14ac:dyDescent="0.4">
      <c r="E24" s="804"/>
      <c r="F24" s="117" t="s">
        <v>72</v>
      </c>
      <c r="G24" s="181">
        <v>10.3</v>
      </c>
      <c r="H24" s="110">
        <v>7.2</v>
      </c>
      <c r="I24" s="110">
        <v>5.2</v>
      </c>
      <c r="J24" s="110">
        <v>3.7</v>
      </c>
      <c r="K24" s="110">
        <v>3.4000000000000004</v>
      </c>
      <c r="L24" s="110">
        <v>3.1</v>
      </c>
      <c r="M24" s="110">
        <v>2.9</v>
      </c>
      <c r="N24" s="110">
        <v>2.5</v>
      </c>
      <c r="O24" s="110">
        <v>2.4</v>
      </c>
      <c r="P24" s="110">
        <v>1.9</v>
      </c>
      <c r="Q24" s="131"/>
      <c r="R24" s="118"/>
    </row>
    <row r="25" spans="4:18" x14ac:dyDescent="0.35">
      <c r="D25" s="6"/>
      <c r="E25" s="800" t="s">
        <v>73</v>
      </c>
      <c r="F25" s="119" t="s">
        <v>16</v>
      </c>
      <c r="G25" s="73">
        <v>314</v>
      </c>
      <c r="H25" s="37">
        <v>360.8</v>
      </c>
      <c r="I25" s="37">
        <v>457.5</v>
      </c>
      <c r="J25" s="37">
        <v>755.8</v>
      </c>
      <c r="K25" s="37">
        <v>713</v>
      </c>
      <c r="L25" s="37">
        <v>603</v>
      </c>
      <c r="M25" s="37">
        <v>592.9</v>
      </c>
      <c r="N25" s="37">
        <v>604.29999999999995</v>
      </c>
      <c r="O25" s="37">
        <v>559.79999999999995</v>
      </c>
      <c r="P25" s="37">
        <v>470.8</v>
      </c>
      <c r="Q25" s="129"/>
      <c r="R25" s="45"/>
    </row>
    <row r="26" spans="4:18" x14ac:dyDescent="0.35">
      <c r="D26" s="6"/>
      <c r="E26" s="801"/>
      <c r="F26" s="119" t="s">
        <v>17</v>
      </c>
      <c r="G26" s="73">
        <v>2994.7</v>
      </c>
      <c r="H26" s="37">
        <v>2935.5</v>
      </c>
      <c r="I26" s="37">
        <v>3580.2</v>
      </c>
      <c r="J26" s="37">
        <v>5890.8</v>
      </c>
      <c r="K26" s="37">
        <v>5374.3</v>
      </c>
      <c r="L26" s="37">
        <v>5480.9</v>
      </c>
      <c r="M26" s="37">
        <v>5359.5</v>
      </c>
      <c r="N26" s="37">
        <v>5893.5</v>
      </c>
      <c r="O26" s="37">
        <v>5254.9</v>
      </c>
      <c r="P26" s="37">
        <v>4445</v>
      </c>
      <c r="Q26" s="129"/>
      <c r="R26" s="45"/>
    </row>
    <row r="27" spans="4:18" x14ac:dyDescent="0.35">
      <c r="D27" s="6"/>
      <c r="E27" s="801"/>
      <c r="F27" s="119" t="s">
        <v>18</v>
      </c>
      <c r="G27" s="73">
        <v>96.5</v>
      </c>
      <c r="H27" s="37">
        <v>106.6</v>
      </c>
      <c r="I27" s="37">
        <v>143.80000000000001</v>
      </c>
      <c r="J27" s="37">
        <v>200.8</v>
      </c>
      <c r="K27" s="37">
        <v>276.39999999999998</v>
      </c>
      <c r="L27" s="37">
        <v>298.3</v>
      </c>
      <c r="M27" s="37">
        <v>258.89999999999998</v>
      </c>
      <c r="N27" s="37">
        <v>180.8</v>
      </c>
      <c r="O27" s="37">
        <v>135.19999999999999</v>
      </c>
      <c r="P27" s="37">
        <v>110.60000000000001</v>
      </c>
      <c r="Q27" s="129"/>
      <c r="R27" s="45"/>
    </row>
    <row r="28" spans="4:18" x14ac:dyDescent="0.35">
      <c r="D28" s="6"/>
      <c r="E28" s="801"/>
      <c r="F28" s="119" t="s">
        <v>50</v>
      </c>
      <c r="G28" s="73">
        <v>32.4</v>
      </c>
      <c r="H28" s="37">
        <v>40.200000000000003</v>
      </c>
      <c r="I28" s="37">
        <v>49.5</v>
      </c>
      <c r="J28" s="37">
        <v>55.3</v>
      </c>
      <c r="K28" s="37">
        <v>82.4</v>
      </c>
      <c r="L28" s="37">
        <v>93.1</v>
      </c>
      <c r="M28" s="37">
        <v>53</v>
      </c>
      <c r="N28" s="37">
        <v>55.4</v>
      </c>
      <c r="O28" s="37">
        <v>51.9</v>
      </c>
      <c r="P28" s="37">
        <v>61.7</v>
      </c>
      <c r="Q28" s="129"/>
      <c r="R28" s="45"/>
    </row>
    <row r="29" spans="4:18" x14ac:dyDescent="0.35">
      <c r="D29" s="6"/>
      <c r="E29" s="801"/>
      <c r="F29" s="32" t="s">
        <v>19</v>
      </c>
      <c r="G29" s="76">
        <v>1289.3</v>
      </c>
      <c r="H29" s="38">
        <v>1764.3</v>
      </c>
      <c r="I29" s="38">
        <v>2427.5</v>
      </c>
      <c r="J29" s="38">
        <v>2410.4</v>
      </c>
      <c r="K29" s="38">
        <v>3071.2</v>
      </c>
      <c r="L29" s="38">
        <v>3090.8</v>
      </c>
      <c r="M29" s="38">
        <v>2561</v>
      </c>
      <c r="N29" s="38">
        <v>3283.9</v>
      </c>
      <c r="O29" s="38">
        <v>2929.3</v>
      </c>
      <c r="P29" s="38">
        <v>1615.4</v>
      </c>
      <c r="Q29" s="130"/>
      <c r="R29" s="44"/>
    </row>
    <row r="30" spans="4:18" s="10" customFormat="1" ht="15" thickBot="1" x14ac:dyDescent="0.4">
      <c r="D30" s="12"/>
      <c r="E30" s="802"/>
      <c r="F30" s="117" t="s">
        <v>72</v>
      </c>
      <c r="G30" s="181">
        <v>4726.8999999999996</v>
      </c>
      <c r="H30" s="110">
        <v>5207.3999999999996</v>
      </c>
      <c r="I30" s="110">
        <v>6658.5</v>
      </c>
      <c r="J30" s="110">
        <v>9313.1</v>
      </c>
      <c r="K30" s="110">
        <v>9517.2999999999993</v>
      </c>
      <c r="L30" s="110">
        <v>9566.1</v>
      </c>
      <c r="M30" s="110">
        <v>8825.2999999999993</v>
      </c>
      <c r="N30" s="110">
        <v>10017.9</v>
      </c>
      <c r="O30" s="110">
        <v>8931.0999999999985</v>
      </c>
      <c r="P30" s="110">
        <v>6703.5</v>
      </c>
      <c r="Q30" s="131"/>
      <c r="R30" s="118"/>
    </row>
    <row r="31" spans="4:18" x14ac:dyDescent="0.35">
      <c r="D31" s="6"/>
      <c r="E31" s="800" t="s">
        <v>76</v>
      </c>
      <c r="F31" s="119" t="s">
        <v>78</v>
      </c>
      <c r="G31" s="73">
        <v>2</v>
      </c>
      <c r="H31" s="37">
        <v>94.3</v>
      </c>
      <c r="I31" s="37">
        <v>196.3</v>
      </c>
      <c r="J31" s="37">
        <v>242.4</v>
      </c>
      <c r="K31" s="37">
        <v>187.4</v>
      </c>
      <c r="L31" s="37">
        <v>195.4</v>
      </c>
      <c r="M31" s="37">
        <v>168.8</v>
      </c>
      <c r="N31" s="37">
        <v>167</v>
      </c>
      <c r="O31" s="37">
        <v>164.4</v>
      </c>
      <c r="P31" s="37">
        <v>162.19999999999999</v>
      </c>
      <c r="Q31" s="129"/>
      <c r="R31" s="45"/>
    </row>
    <row r="32" spans="4:18" x14ac:dyDescent="0.35">
      <c r="D32" s="6"/>
      <c r="E32" s="807"/>
      <c r="F32" s="119" t="s">
        <v>154</v>
      </c>
      <c r="G32" s="73">
        <v>0.7</v>
      </c>
      <c r="H32" s="37">
        <v>0.6</v>
      </c>
      <c r="I32" s="37">
        <v>0.4</v>
      </c>
      <c r="J32" s="37">
        <v>0.4</v>
      </c>
      <c r="K32" s="37">
        <v>0.3</v>
      </c>
      <c r="L32" s="37">
        <v>0.2</v>
      </c>
      <c r="M32" s="37">
        <v>0.1</v>
      </c>
      <c r="N32" s="37">
        <v>0.2</v>
      </c>
      <c r="O32" s="37">
        <v>0.1</v>
      </c>
      <c r="P32" s="37">
        <v>0.2</v>
      </c>
      <c r="Q32" s="129"/>
      <c r="R32" s="45"/>
    </row>
    <row r="33" spans="4:18" x14ac:dyDescent="0.35">
      <c r="D33" s="6"/>
      <c r="E33" s="807"/>
      <c r="F33" s="119" t="s">
        <v>157</v>
      </c>
      <c r="G33" s="73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129"/>
      <c r="R33" s="45"/>
    </row>
    <row r="34" spans="4:18" x14ac:dyDescent="0.35">
      <c r="D34" s="6"/>
      <c r="E34" s="801"/>
      <c r="F34" s="119" t="s">
        <v>20</v>
      </c>
      <c r="G34" s="73">
        <v>0.8</v>
      </c>
      <c r="H34" s="37">
        <v>6</v>
      </c>
      <c r="I34" s="37">
        <v>56.2</v>
      </c>
      <c r="J34" s="37">
        <v>64.900000000000006</v>
      </c>
      <c r="K34" s="37">
        <v>21.2</v>
      </c>
      <c r="L34" s="37">
        <v>63.9</v>
      </c>
      <c r="M34" s="37">
        <v>21.1</v>
      </c>
      <c r="N34" s="37">
        <v>21.9</v>
      </c>
      <c r="O34" s="37">
        <v>21.7</v>
      </c>
      <c r="P34" s="37">
        <v>5.0999999999999996</v>
      </c>
      <c r="Q34" s="129"/>
      <c r="R34" s="45"/>
    </row>
    <row r="35" spans="4:18" x14ac:dyDescent="0.35">
      <c r="D35" s="6"/>
      <c r="E35" s="801"/>
      <c r="F35" s="119" t="s">
        <v>149</v>
      </c>
      <c r="G35" s="73">
        <v>0</v>
      </c>
      <c r="H35" s="37">
        <v>0.1</v>
      </c>
      <c r="I35" s="37">
        <v>0.1</v>
      </c>
      <c r="J35" s="37">
        <v>0.1</v>
      </c>
      <c r="K35" s="37">
        <v>0.2</v>
      </c>
      <c r="L35" s="37">
        <v>0.2</v>
      </c>
      <c r="M35" s="37">
        <v>0.2</v>
      </c>
      <c r="N35" s="37">
        <v>0</v>
      </c>
      <c r="O35" s="37">
        <v>0</v>
      </c>
      <c r="P35" s="37">
        <v>0</v>
      </c>
      <c r="Q35" s="129"/>
      <c r="R35" s="45"/>
    </row>
    <row r="36" spans="4:18" x14ac:dyDescent="0.35">
      <c r="D36" s="6"/>
      <c r="E36" s="801"/>
      <c r="F36" s="32" t="s">
        <v>21</v>
      </c>
      <c r="G36" s="76">
        <v>82.6</v>
      </c>
      <c r="H36" s="38">
        <v>78.5</v>
      </c>
      <c r="I36" s="38">
        <v>100.4</v>
      </c>
      <c r="J36" s="38">
        <v>99.2</v>
      </c>
      <c r="K36" s="38">
        <v>114</v>
      </c>
      <c r="L36" s="38">
        <v>128</v>
      </c>
      <c r="M36" s="38">
        <v>130.19999999999999</v>
      </c>
      <c r="N36" s="38">
        <v>114.5</v>
      </c>
      <c r="O36" s="38">
        <v>110.6</v>
      </c>
      <c r="P36" s="38">
        <v>103.5</v>
      </c>
      <c r="Q36" s="130"/>
      <c r="R36" s="44"/>
    </row>
    <row r="37" spans="4:18" s="10" customFormat="1" ht="15" thickBot="1" x14ac:dyDescent="0.4">
      <c r="D37" s="12"/>
      <c r="E37" s="802"/>
      <c r="F37" s="117" t="s">
        <v>72</v>
      </c>
      <c r="G37" s="218">
        <v>86.1</v>
      </c>
      <c r="H37" s="110">
        <v>179.5</v>
      </c>
      <c r="I37" s="110">
        <v>353.40000000000003</v>
      </c>
      <c r="J37" s="110">
        <v>407.00000000000006</v>
      </c>
      <c r="K37" s="112">
        <v>323.10000000000002</v>
      </c>
      <c r="L37" s="110">
        <v>387.7</v>
      </c>
      <c r="M37" s="112">
        <v>320.39999999999998</v>
      </c>
      <c r="N37" s="112">
        <v>303.60000000000002</v>
      </c>
      <c r="O37" s="110">
        <v>296.79999999999995</v>
      </c>
      <c r="P37" s="110">
        <v>271</v>
      </c>
      <c r="Q37" s="176"/>
      <c r="R37" s="36"/>
    </row>
    <row r="38" spans="4:18" x14ac:dyDescent="0.35">
      <c r="D38" s="6"/>
      <c r="E38" s="800" t="s">
        <v>22</v>
      </c>
      <c r="F38" s="70" t="s">
        <v>23</v>
      </c>
      <c r="G38" s="73">
        <v>318.2</v>
      </c>
      <c r="H38" s="46">
        <v>377.5</v>
      </c>
      <c r="I38" s="46">
        <v>355.2</v>
      </c>
      <c r="J38" s="127">
        <v>373.5</v>
      </c>
      <c r="K38" s="37">
        <v>320.39999999999998</v>
      </c>
      <c r="L38" s="46">
        <v>317.89999999999998</v>
      </c>
      <c r="M38" s="37">
        <v>337.1</v>
      </c>
      <c r="N38" s="29">
        <v>378.9</v>
      </c>
      <c r="O38" s="52">
        <v>446.8</v>
      </c>
      <c r="P38" s="52">
        <v>370.5</v>
      </c>
      <c r="Q38" s="128"/>
      <c r="R38" s="45"/>
    </row>
    <row r="39" spans="4:18" x14ac:dyDescent="0.35">
      <c r="D39" s="6"/>
      <c r="E39" s="801"/>
      <c r="F39" s="267" t="s">
        <v>24</v>
      </c>
      <c r="G39" s="73">
        <v>59.4</v>
      </c>
      <c r="H39" s="37">
        <v>165.8</v>
      </c>
      <c r="I39" s="37">
        <v>209.9</v>
      </c>
      <c r="J39" s="129">
        <v>180.3</v>
      </c>
      <c r="K39" s="37">
        <v>191.8</v>
      </c>
      <c r="L39" s="37">
        <v>179.3</v>
      </c>
      <c r="M39" s="37">
        <v>166.2</v>
      </c>
      <c r="N39" s="29">
        <v>141.6</v>
      </c>
      <c r="O39" s="29">
        <v>129.9</v>
      </c>
      <c r="P39" s="29">
        <v>113</v>
      </c>
      <c r="Q39" s="129"/>
      <c r="R39" s="45"/>
    </row>
    <row r="40" spans="4:18" x14ac:dyDescent="0.35">
      <c r="D40" s="6"/>
      <c r="E40" s="801"/>
      <c r="F40" s="267" t="s">
        <v>25</v>
      </c>
      <c r="G40" s="73">
        <v>780.7</v>
      </c>
      <c r="H40" s="37">
        <v>1292.4000000000001</v>
      </c>
      <c r="I40" s="37">
        <v>1505.5</v>
      </c>
      <c r="J40" s="129">
        <v>1663.6</v>
      </c>
      <c r="K40" s="37">
        <v>1658.2</v>
      </c>
      <c r="L40" s="37">
        <v>1662</v>
      </c>
      <c r="M40" s="37">
        <v>1609.5</v>
      </c>
      <c r="N40" s="29">
        <v>1555.6</v>
      </c>
      <c r="O40" s="29">
        <v>1330.3</v>
      </c>
      <c r="P40" s="29">
        <v>1205.0999999999999</v>
      </c>
      <c r="Q40" s="129"/>
      <c r="R40" s="45"/>
    </row>
    <row r="41" spans="4:18" x14ac:dyDescent="0.35">
      <c r="D41" s="6"/>
      <c r="E41" s="801"/>
      <c r="F41" s="75" t="s">
        <v>26</v>
      </c>
      <c r="G41" s="76">
        <v>1419.8</v>
      </c>
      <c r="H41" s="38">
        <v>2735.2</v>
      </c>
      <c r="I41" s="38">
        <v>4643.8</v>
      </c>
      <c r="J41" s="130">
        <v>5387.9</v>
      </c>
      <c r="K41" s="38">
        <v>5152.8</v>
      </c>
      <c r="L41" s="38">
        <v>4981.2</v>
      </c>
      <c r="M41" s="38">
        <v>4737</v>
      </c>
      <c r="N41" s="33">
        <v>4472.5</v>
      </c>
      <c r="O41" s="33">
        <v>3594.1</v>
      </c>
      <c r="P41" s="33">
        <v>3219.4</v>
      </c>
      <c r="Q41" s="130"/>
      <c r="R41" s="44"/>
    </row>
    <row r="42" spans="4:18" s="10" customFormat="1" ht="15" thickBot="1" x14ac:dyDescent="0.4">
      <c r="D42" s="12"/>
      <c r="E42" s="802"/>
      <c r="F42" s="262" t="s">
        <v>72</v>
      </c>
      <c r="G42" s="181">
        <v>2578.1</v>
      </c>
      <c r="H42" s="110">
        <v>4570.8999999999996</v>
      </c>
      <c r="I42" s="110">
        <v>6714.4</v>
      </c>
      <c r="J42" s="131">
        <v>7605.2999999999993</v>
      </c>
      <c r="K42" s="110">
        <v>7323.2000000000007</v>
      </c>
      <c r="L42" s="110">
        <v>7140.4</v>
      </c>
      <c r="M42" s="110">
        <v>6849.8</v>
      </c>
      <c r="N42" s="35">
        <v>6548.6</v>
      </c>
      <c r="O42" s="35">
        <v>5501.1</v>
      </c>
      <c r="P42" s="35">
        <v>4908</v>
      </c>
      <c r="Q42" s="131"/>
      <c r="R42" s="118"/>
    </row>
    <row r="43" spans="4:18" x14ac:dyDescent="0.35">
      <c r="D43" s="6"/>
      <c r="E43" s="800" t="s">
        <v>27</v>
      </c>
      <c r="F43" s="267" t="s">
        <v>28</v>
      </c>
      <c r="G43" s="73">
        <v>587</v>
      </c>
      <c r="H43" s="37">
        <v>561.29999999999995</v>
      </c>
      <c r="I43" s="37">
        <v>1097.5999999999999</v>
      </c>
      <c r="J43" s="129">
        <v>1641.2</v>
      </c>
      <c r="K43" s="37">
        <v>1570.7</v>
      </c>
      <c r="L43" s="37">
        <v>1323</v>
      </c>
      <c r="M43" s="37">
        <v>1144.9000000000001</v>
      </c>
      <c r="N43" s="29">
        <v>1085.5</v>
      </c>
      <c r="O43" s="29">
        <v>1045.2</v>
      </c>
      <c r="P43" s="29">
        <v>998.3</v>
      </c>
      <c r="Q43" s="129"/>
      <c r="R43" s="45"/>
    </row>
    <row r="44" spans="4:18" x14ac:dyDescent="0.35">
      <c r="D44" s="6"/>
      <c r="E44" s="801"/>
      <c r="F44" s="75" t="s">
        <v>79</v>
      </c>
      <c r="G44" s="76">
        <v>471.7</v>
      </c>
      <c r="H44" s="38">
        <v>606.29999999999995</v>
      </c>
      <c r="I44" s="38">
        <v>985.4</v>
      </c>
      <c r="J44" s="130">
        <v>986.7</v>
      </c>
      <c r="K44" s="38">
        <v>1034.8</v>
      </c>
      <c r="L44" s="38">
        <v>934.8</v>
      </c>
      <c r="M44" s="38">
        <v>966.9</v>
      </c>
      <c r="N44" s="33">
        <v>861</v>
      </c>
      <c r="O44" s="33">
        <v>842.6</v>
      </c>
      <c r="P44" s="33">
        <v>685</v>
      </c>
      <c r="Q44" s="130"/>
      <c r="R44" s="44"/>
    </row>
    <row r="45" spans="4:18" s="10" customFormat="1" ht="15" thickBot="1" x14ac:dyDescent="0.4">
      <c r="D45" s="12"/>
      <c r="E45" s="802"/>
      <c r="F45" s="262" t="s">
        <v>72</v>
      </c>
      <c r="G45" s="181">
        <v>1058.7</v>
      </c>
      <c r="H45" s="110">
        <v>1167.5999999999999</v>
      </c>
      <c r="I45" s="110">
        <v>2083</v>
      </c>
      <c r="J45" s="131">
        <v>2627.9</v>
      </c>
      <c r="K45" s="110">
        <v>2605.5</v>
      </c>
      <c r="L45" s="110">
        <v>2257.8000000000002</v>
      </c>
      <c r="M45" s="110">
        <v>2111.8000000000002</v>
      </c>
      <c r="N45" s="35">
        <v>1946.5</v>
      </c>
      <c r="O45" s="35">
        <v>1887.8000000000002</v>
      </c>
      <c r="P45" s="35">
        <v>1683.3</v>
      </c>
      <c r="Q45" s="131"/>
      <c r="R45" s="118"/>
    </row>
    <row r="46" spans="4:18" x14ac:dyDescent="0.35">
      <c r="D46" s="6"/>
      <c r="E46" s="800" t="s">
        <v>29</v>
      </c>
      <c r="F46" s="87" t="s">
        <v>30</v>
      </c>
      <c r="G46" s="73">
        <v>1.3</v>
      </c>
      <c r="H46" s="42">
        <v>5.6</v>
      </c>
      <c r="I46" s="42">
        <v>5.7</v>
      </c>
      <c r="J46" s="132">
        <v>5.5</v>
      </c>
      <c r="K46" s="42">
        <v>5.2</v>
      </c>
      <c r="L46" s="42">
        <v>5.3</v>
      </c>
      <c r="M46" s="42">
        <v>5.2</v>
      </c>
      <c r="N46" s="41">
        <v>6.1</v>
      </c>
      <c r="O46" s="41">
        <v>5.8</v>
      </c>
      <c r="P46" s="41">
        <v>5.7</v>
      </c>
      <c r="Q46" s="132"/>
      <c r="R46" s="47"/>
    </row>
    <row r="47" spans="4:18" s="10" customFormat="1" ht="15" thickBot="1" x14ac:dyDescent="0.4">
      <c r="D47" s="12"/>
      <c r="E47" s="839"/>
      <c r="F47" s="262" t="s">
        <v>72</v>
      </c>
      <c r="G47" s="232">
        <v>1.3</v>
      </c>
      <c r="H47" s="110">
        <v>5.6</v>
      </c>
      <c r="I47" s="110">
        <v>5.7</v>
      </c>
      <c r="J47" s="131">
        <v>5.5</v>
      </c>
      <c r="K47" s="110">
        <v>5.2</v>
      </c>
      <c r="L47" s="110">
        <v>5.3</v>
      </c>
      <c r="M47" s="110">
        <v>5.2</v>
      </c>
      <c r="N47" s="35">
        <v>6.1</v>
      </c>
      <c r="O47" s="35">
        <v>5.8</v>
      </c>
      <c r="P47" s="35">
        <v>5.7</v>
      </c>
      <c r="Q47" s="131"/>
      <c r="R47" s="118"/>
    </row>
    <row r="48" spans="4:18" x14ac:dyDescent="0.35">
      <c r="D48" s="6"/>
      <c r="E48" s="800" t="s">
        <v>32</v>
      </c>
      <c r="F48" s="87" t="s">
        <v>32</v>
      </c>
      <c r="G48" s="182">
        <v>197.9</v>
      </c>
      <c r="H48" s="42">
        <v>247.3</v>
      </c>
      <c r="I48" s="42">
        <v>263.8</v>
      </c>
      <c r="J48" s="132">
        <v>270.89999999999998</v>
      </c>
      <c r="K48" s="42">
        <v>316.5</v>
      </c>
      <c r="L48" s="42">
        <v>356.5</v>
      </c>
      <c r="M48" s="42">
        <v>326.10000000000002</v>
      </c>
      <c r="N48" s="41">
        <v>309.39999999999998</v>
      </c>
      <c r="O48" s="41">
        <v>338.8</v>
      </c>
      <c r="P48" s="41">
        <v>280.20000000000005</v>
      </c>
      <c r="Q48" s="132"/>
      <c r="R48" s="47"/>
    </row>
    <row r="49" spans="4:18" s="10" customFormat="1" ht="15" thickBot="1" x14ac:dyDescent="0.4">
      <c r="D49" s="12"/>
      <c r="E49" s="839"/>
      <c r="F49" s="262" t="s">
        <v>72</v>
      </c>
      <c r="G49" s="181">
        <v>197.9</v>
      </c>
      <c r="H49" s="110">
        <v>247.3</v>
      </c>
      <c r="I49" s="110">
        <v>263.8</v>
      </c>
      <c r="J49" s="131">
        <v>270.89999999999998</v>
      </c>
      <c r="K49" s="110">
        <v>316.5</v>
      </c>
      <c r="L49" s="110">
        <v>356.5</v>
      </c>
      <c r="M49" s="110">
        <v>326.10000000000002</v>
      </c>
      <c r="N49" s="35">
        <v>309.39999999999998</v>
      </c>
      <c r="O49" s="35">
        <v>338.8</v>
      </c>
      <c r="P49" s="35">
        <v>280.20000000000005</v>
      </c>
      <c r="Q49" s="131"/>
      <c r="R49" s="118"/>
    </row>
    <row r="50" spans="4:18" x14ac:dyDescent="0.35">
      <c r="D50" s="6"/>
      <c r="E50" s="800" t="s">
        <v>33</v>
      </c>
      <c r="F50" s="87" t="s">
        <v>33</v>
      </c>
      <c r="G50" s="182">
        <v>306.3</v>
      </c>
      <c r="H50" s="42">
        <v>368.4</v>
      </c>
      <c r="I50" s="42">
        <v>402.6</v>
      </c>
      <c r="J50" s="132">
        <v>510.5</v>
      </c>
      <c r="K50" s="42">
        <v>548.79999999999995</v>
      </c>
      <c r="L50" s="42">
        <v>564.29999999999995</v>
      </c>
      <c r="M50" s="42">
        <v>585.70000000000005</v>
      </c>
      <c r="N50" s="41">
        <v>537.5</v>
      </c>
      <c r="O50" s="41">
        <v>509.7</v>
      </c>
      <c r="P50" s="41">
        <v>467.8</v>
      </c>
      <c r="Q50" s="132"/>
      <c r="R50" s="47"/>
    </row>
    <row r="51" spans="4:18" s="10" customFormat="1" ht="15" thickBot="1" x14ac:dyDescent="0.4">
      <c r="D51" s="12"/>
      <c r="E51" s="839"/>
      <c r="F51" s="262" t="s">
        <v>72</v>
      </c>
      <c r="G51" s="181">
        <v>306.3</v>
      </c>
      <c r="H51" s="110">
        <v>368.4</v>
      </c>
      <c r="I51" s="110">
        <v>402.6</v>
      </c>
      <c r="J51" s="131">
        <v>510.5</v>
      </c>
      <c r="K51" s="110">
        <v>548.79999999999995</v>
      </c>
      <c r="L51" s="110">
        <v>564.29999999999995</v>
      </c>
      <c r="M51" s="110">
        <v>585.70000000000005</v>
      </c>
      <c r="N51" s="35">
        <v>537.5</v>
      </c>
      <c r="O51" s="35">
        <v>509.7</v>
      </c>
      <c r="P51" s="35">
        <v>467.8</v>
      </c>
      <c r="Q51" s="131"/>
      <c r="R51" s="118"/>
    </row>
    <row r="52" spans="4:18" x14ac:dyDescent="0.35">
      <c r="D52" s="6"/>
      <c r="E52" s="800" t="s">
        <v>34</v>
      </c>
      <c r="F52" s="87" t="s">
        <v>34</v>
      </c>
      <c r="G52" s="182">
        <v>551.70000000000005</v>
      </c>
      <c r="H52" s="42">
        <v>528.9</v>
      </c>
      <c r="I52" s="42">
        <v>570</v>
      </c>
      <c r="J52" s="132">
        <v>724.8</v>
      </c>
      <c r="K52" s="42">
        <v>678.5</v>
      </c>
      <c r="L52" s="42">
        <v>736.4</v>
      </c>
      <c r="M52" s="42">
        <v>773.5</v>
      </c>
      <c r="N52" s="41">
        <v>747.9</v>
      </c>
      <c r="O52" s="41">
        <v>737.6</v>
      </c>
      <c r="P52" s="41">
        <v>785.7</v>
      </c>
      <c r="Q52" s="132"/>
      <c r="R52" s="47"/>
    </row>
    <row r="53" spans="4:18" s="10" customFormat="1" ht="15" thickBot="1" x14ac:dyDescent="0.4">
      <c r="D53" s="12"/>
      <c r="E53" s="839"/>
      <c r="F53" s="262" t="s">
        <v>72</v>
      </c>
      <c r="G53" s="181">
        <v>551.70000000000005</v>
      </c>
      <c r="H53" s="110">
        <v>528.9</v>
      </c>
      <c r="I53" s="110">
        <v>570</v>
      </c>
      <c r="J53" s="131">
        <v>724.8</v>
      </c>
      <c r="K53" s="110">
        <v>678.5</v>
      </c>
      <c r="L53" s="110">
        <v>736.4</v>
      </c>
      <c r="M53" s="110">
        <v>773.5</v>
      </c>
      <c r="N53" s="35">
        <v>747.9</v>
      </c>
      <c r="O53" s="35">
        <v>737.6</v>
      </c>
      <c r="P53" s="35">
        <v>785.7</v>
      </c>
      <c r="Q53" s="131"/>
      <c r="R53" s="118"/>
    </row>
    <row r="54" spans="4:18" x14ac:dyDescent="0.35">
      <c r="D54" s="6"/>
      <c r="E54" s="800" t="s">
        <v>77</v>
      </c>
      <c r="F54" s="87" t="s">
        <v>30</v>
      </c>
      <c r="G54" s="182">
        <v>119.6</v>
      </c>
      <c r="H54" s="42">
        <v>180</v>
      </c>
      <c r="I54" s="42">
        <v>224.9</v>
      </c>
      <c r="J54" s="132">
        <v>337.8</v>
      </c>
      <c r="K54" s="42">
        <v>311.2</v>
      </c>
      <c r="L54" s="42">
        <v>302.60000000000002</v>
      </c>
      <c r="M54" s="42">
        <v>261.8</v>
      </c>
      <c r="N54" s="41">
        <v>292.39999999999998</v>
      </c>
      <c r="O54" s="41">
        <v>232.8</v>
      </c>
      <c r="P54" s="41">
        <v>228.3</v>
      </c>
      <c r="Q54" s="132"/>
      <c r="R54" s="47"/>
    </row>
    <row r="55" spans="4:18" s="10" customFormat="1" ht="15" thickBot="1" x14ac:dyDescent="0.4">
      <c r="D55" s="12"/>
      <c r="E55" s="839"/>
      <c r="F55" s="114" t="s">
        <v>72</v>
      </c>
      <c r="G55" s="181">
        <v>119.6</v>
      </c>
      <c r="H55" s="110">
        <v>180</v>
      </c>
      <c r="I55" s="110">
        <v>224.9</v>
      </c>
      <c r="J55" s="131">
        <v>337.8</v>
      </c>
      <c r="K55" s="110">
        <v>311.2</v>
      </c>
      <c r="L55" s="110">
        <v>302.60000000000002</v>
      </c>
      <c r="M55" s="110">
        <v>261.8</v>
      </c>
      <c r="N55" s="112">
        <v>292.39999999999998</v>
      </c>
      <c r="O55" s="35">
        <v>232.8</v>
      </c>
      <c r="P55" s="35">
        <v>228.3</v>
      </c>
      <c r="Q55" s="131"/>
      <c r="R55" s="118"/>
    </row>
    <row r="56" spans="4:18" x14ac:dyDescent="0.35">
      <c r="D56" s="6"/>
      <c r="E56" s="800" t="s">
        <v>31</v>
      </c>
      <c r="F56" s="75" t="s">
        <v>31</v>
      </c>
      <c r="G56" s="182">
        <v>185.9</v>
      </c>
      <c r="H56" s="42">
        <v>160.80000000000001</v>
      </c>
      <c r="I56" s="42">
        <v>183</v>
      </c>
      <c r="J56" s="134">
        <v>270.2</v>
      </c>
      <c r="K56" s="42">
        <v>208.3</v>
      </c>
      <c r="L56" s="42">
        <v>315.5</v>
      </c>
      <c r="M56" s="42">
        <v>248</v>
      </c>
      <c r="N56" s="42">
        <v>275.8</v>
      </c>
      <c r="O56" s="42">
        <v>227.1</v>
      </c>
      <c r="P56" s="42">
        <v>257.60000000000002</v>
      </c>
      <c r="Q56" s="132"/>
      <c r="R56" s="47"/>
    </row>
    <row r="57" spans="4:18" s="10" customFormat="1" ht="15" thickBot="1" x14ac:dyDescent="0.4">
      <c r="D57" s="12"/>
      <c r="E57" s="839"/>
      <c r="F57" s="114" t="s">
        <v>72</v>
      </c>
      <c r="G57" s="181">
        <v>185.9</v>
      </c>
      <c r="H57" s="110">
        <v>160.80000000000001</v>
      </c>
      <c r="I57" s="110">
        <v>183</v>
      </c>
      <c r="J57" s="112">
        <v>270.2</v>
      </c>
      <c r="K57" s="112">
        <v>208.3</v>
      </c>
      <c r="L57" s="112">
        <v>315.5</v>
      </c>
      <c r="M57" s="110">
        <v>248</v>
      </c>
      <c r="N57" s="110">
        <v>275.8</v>
      </c>
      <c r="O57" s="110">
        <v>227.1</v>
      </c>
      <c r="P57" s="110">
        <v>257.60000000000002</v>
      </c>
      <c r="Q57" s="131"/>
      <c r="R57" s="118"/>
    </row>
    <row r="58" spans="4:18" x14ac:dyDescent="0.35">
      <c r="D58" s="6"/>
      <c r="E58" s="800" t="s">
        <v>87</v>
      </c>
      <c r="F58" s="267" t="s">
        <v>14</v>
      </c>
      <c r="G58" s="73">
        <v>277.8</v>
      </c>
      <c r="H58" s="37">
        <v>439.9</v>
      </c>
      <c r="I58" s="37">
        <v>899.1</v>
      </c>
      <c r="J58" s="37">
        <v>945.5</v>
      </c>
      <c r="K58" s="37">
        <v>897.2</v>
      </c>
      <c r="L58" s="37">
        <v>929.8</v>
      </c>
      <c r="M58" s="37">
        <v>731</v>
      </c>
      <c r="N58" s="37">
        <v>681.2</v>
      </c>
      <c r="O58" s="37">
        <v>648.9</v>
      </c>
      <c r="P58" s="37">
        <v>565.79999999999995</v>
      </c>
      <c r="Q58" s="129"/>
      <c r="R58" s="45"/>
    </row>
    <row r="59" spans="4:18" x14ac:dyDescent="0.35">
      <c r="D59" s="6"/>
      <c r="E59" s="807"/>
      <c r="F59" s="267" t="s">
        <v>85</v>
      </c>
      <c r="G59" s="73">
        <v>162.30000000000001</v>
      </c>
      <c r="H59" s="37">
        <v>276.60000000000002</v>
      </c>
      <c r="I59" s="37">
        <v>278.3</v>
      </c>
      <c r="J59" s="37">
        <v>221.5</v>
      </c>
      <c r="K59" s="37">
        <v>198.6</v>
      </c>
      <c r="L59" s="37">
        <v>220.3</v>
      </c>
      <c r="M59" s="37">
        <v>194.5</v>
      </c>
      <c r="N59" s="37">
        <v>213.7</v>
      </c>
      <c r="O59" s="37">
        <v>203.2</v>
      </c>
      <c r="P59" s="37">
        <v>177.3</v>
      </c>
      <c r="Q59" s="129"/>
      <c r="R59" s="45"/>
    </row>
    <row r="60" spans="4:18" x14ac:dyDescent="0.35">
      <c r="D60" s="6"/>
      <c r="E60" s="807"/>
      <c r="F60" s="75" t="s">
        <v>15</v>
      </c>
      <c r="G60" s="76">
        <v>637.6</v>
      </c>
      <c r="H60" s="38">
        <v>898.2</v>
      </c>
      <c r="I60" s="38">
        <v>1241.4000000000001</v>
      </c>
      <c r="J60" s="38">
        <v>1258.7</v>
      </c>
      <c r="K60" s="38">
        <v>1587.4</v>
      </c>
      <c r="L60" s="38">
        <v>1635.2</v>
      </c>
      <c r="M60" s="38">
        <v>1515</v>
      </c>
      <c r="N60" s="38">
        <v>1516</v>
      </c>
      <c r="O60" s="38">
        <v>1351.9</v>
      </c>
      <c r="P60" s="38">
        <v>1270.5999999999999</v>
      </c>
      <c r="Q60" s="130"/>
      <c r="R60" s="44"/>
    </row>
    <row r="61" spans="4:18" s="10" customFormat="1" ht="15" thickBot="1" x14ac:dyDescent="0.4">
      <c r="D61" s="12"/>
      <c r="E61" s="839"/>
      <c r="F61" s="262" t="s">
        <v>72</v>
      </c>
      <c r="G61" s="233">
        <v>1077.7</v>
      </c>
      <c r="H61" s="110">
        <v>1614.7</v>
      </c>
      <c r="I61" s="110">
        <v>2418.8000000000002</v>
      </c>
      <c r="J61" s="110">
        <v>2425.6999999999998</v>
      </c>
      <c r="K61" s="110">
        <v>2683.2</v>
      </c>
      <c r="L61" s="110">
        <v>2785.3</v>
      </c>
      <c r="M61" s="110">
        <v>2440.5</v>
      </c>
      <c r="N61" s="110">
        <v>2410.9</v>
      </c>
      <c r="O61" s="110">
        <v>2204</v>
      </c>
      <c r="P61" s="110">
        <v>2013.6999999999998</v>
      </c>
      <c r="Q61" s="131"/>
      <c r="R61" s="118"/>
    </row>
    <row r="62" spans="4:18" ht="15" thickBot="1" x14ac:dyDescent="0.4">
      <c r="D62" s="6"/>
      <c r="E62" s="879" t="s">
        <v>48</v>
      </c>
      <c r="F62" s="880"/>
      <c r="G62" s="93">
        <v>34209.799999999996</v>
      </c>
      <c r="H62" s="125">
        <v>38138.200000000004</v>
      </c>
      <c r="I62" s="125">
        <v>46672.3</v>
      </c>
      <c r="J62" s="125">
        <v>60815.599999999991</v>
      </c>
      <c r="K62" s="125">
        <v>65696</v>
      </c>
      <c r="L62" s="125">
        <v>68307.899999999994</v>
      </c>
      <c r="M62" s="125">
        <v>67048.899999999994</v>
      </c>
      <c r="N62" s="125">
        <v>68211.999999999985</v>
      </c>
      <c r="O62" s="125">
        <v>66224.800000000017</v>
      </c>
      <c r="P62" s="125">
        <v>59920.099999999991</v>
      </c>
      <c r="Q62" s="125"/>
      <c r="R62" s="120"/>
    </row>
    <row r="63" spans="4:18" ht="15" thickBot="1" x14ac:dyDescent="0.4">
      <c r="D63" s="6"/>
      <c r="E63" s="867" t="s">
        <v>88</v>
      </c>
      <c r="F63" s="868"/>
      <c r="G63" s="230">
        <v>86987.5</v>
      </c>
      <c r="H63" s="124">
        <v>89723</v>
      </c>
      <c r="I63" s="124">
        <v>103960.8</v>
      </c>
      <c r="J63" s="124">
        <v>134433.29999999999</v>
      </c>
      <c r="K63" s="124">
        <v>146816.1</v>
      </c>
      <c r="L63" s="124">
        <v>156955.29999999999</v>
      </c>
      <c r="M63" s="124">
        <v>169204.4</v>
      </c>
      <c r="N63" s="124">
        <v>176223.3</v>
      </c>
      <c r="O63" s="124">
        <v>176039</v>
      </c>
      <c r="P63" s="124">
        <v>164048.4</v>
      </c>
      <c r="Q63" s="124"/>
      <c r="R63" s="255"/>
    </row>
    <row r="64" spans="4:18" ht="15" thickBot="1" x14ac:dyDescent="0.4">
      <c r="D64" s="6"/>
      <c r="E64" s="867" t="s">
        <v>68</v>
      </c>
      <c r="F64" s="868"/>
      <c r="G64" s="226">
        <v>7336.1</v>
      </c>
      <c r="H64" s="122">
        <v>7392.9</v>
      </c>
      <c r="I64" s="122">
        <v>14722.9</v>
      </c>
      <c r="J64" s="122">
        <v>20659.2</v>
      </c>
      <c r="K64" s="122">
        <v>23156.5</v>
      </c>
      <c r="L64" s="122">
        <v>23233.5</v>
      </c>
      <c r="M64" s="122">
        <v>22238.6</v>
      </c>
      <c r="N64" s="122">
        <v>20451.3</v>
      </c>
      <c r="O64" s="122">
        <v>16132.3</v>
      </c>
      <c r="P64" s="122">
        <v>11807.1</v>
      </c>
      <c r="Q64" s="122"/>
      <c r="R64" s="123"/>
    </row>
    <row r="65" spans="4:18" ht="15" thickBot="1" x14ac:dyDescent="0.4">
      <c r="D65" s="6"/>
      <c r="E65" s="865" t="s">
        <v>35</v>
      </c>
      <c r="F65" s="866"/>
      <c r="G65" s="61">
        <v>128533.4</v>
      </c>
      <c r="H65" s="125">
        <v>135254.1</v>
      </c>
      <c r="I65" s="125">
        <v>165356</v>
      </c>
      <c r="J65" s="125">
        <v>215908.09999999998</v>
      </c>
      <c r="K65" s="125">
        <v>235668.6</v>
      </c>
      <c r="L65" s="125">
        <v>248496.69999999998</v>
      </c>
      <c r="M65" s="125">
        <v>258491.9</v>
      </c>
      <c r="N65" s="125">
        <v>264886.59999999998</v>
      </c>
      <c r="O65" s="125">
        <v>258396.1</v>
      </c>
      <c r="P65" s="125">
        <v>235775.6</v>
      </c>
      <c r="Q65" s="125"/>
      <c r="R65" s="221"/>
    </row>
    <row r="66" spans="4:18" ht="15" thickBot="1" x14ac:dyDescent="0.4">
      <c r="D66" s="6"/>
      <c r="E66" s="877" t="s">
        <v>91</v>
      </c>
      <c r="F66" s="878"/>
      <c r="G66" s="234">
        <v>1911</v>
      </c>
      <c r="H66" s="137">
        <v>1904</v>
      </c>
      <c r="I66" s="137">
        <v>1896</v>
      </c>
      <c r="J66" s="137">
        <v>1895</v>
      </c>
      <c r="K66" s="137">
        <v>1890</v>
      </c>
      <c r="L66" s="137">
        <v>1885</v>
      </c>
      <c r="M66" s="137">
        <v>1883</v>
      </c>
      <c r="N66" s="137">
        <v>1877</v>
      </c>
      <c r="O66" s="137">
        <v>1869</v>
      </c>
      <c r="P66" s="137">
        <v>1846</v>
      </c>
      <c r="Q66" s="137"/>
      <c r="R66" s="178"/>
    </row>
    <row r="67" spans="4:18" ht="6" customHeight="1" x14ac:dyDescent="0.35"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7"/>
      <c r="R67" s="49"/>
    </row>
    <row r="68" spans="4:18" x14ac:dyDescent="0.35">
      <c r="E68" s="842" t="s">
        <v>92</v>
      </c>
      <c r="F68" s="842"/>
      <c r="G68" s="842"/>
      <c r="H68" s="842"/>
      <c r="I68" s="842"/>
      <c r="J68" s="842"/>
      <c r="K68" s="842"/>
      <c r="L68" s="842"/>
      <c r="M68" s="842"/>
      <c r="N68" s="842"/>
      <c r="O68" s="842"/>
      <c r="P68" s="842"/>
      <c r="Q68" s="842"/>
      <c r="R68" s="842"/>
    </row>
    <row r="69" spans="4:18" x14ac:dyDescent="0.35">
      <c r="E69" s="842" t="s">
        <v>145</v>
      </c>
      <c r="F69" s="842"/>
      <c r="G69" s="842"/>
      <c r="H69" s="842"/>
      <c r="I69" s="842"/>
      <c r="J69" s="842"/>
      <c r="K69" s="842"/>
      <c r="L69" s="842"/>
      <c r="M69" s="842"/>
      <c r="N69" s="842"/>
      <c r="O69" s="842"/>
      <c r="P69" s="842"/>
      <c r="Q69" s="842"/>
      <c r="R69" s="842"/>
    </row>
    <row r="70" spans="4:18" ht="12.75" customHeight="1" x14ac:dyDescent="0.35">
      <c r="E70" s="275" t="s">
        <v>86</v>
      </c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302" t="s">
        <v>119</v>
      </c>
    </row>
    <row r="71" spans="4:18" ht="15.5" x14ac:dyDescent="0.35">
      <c r="E71" s="261"/>
      <c r="F71" s="261"/>
      <c r="G71" s="261"/>
      <c r="H71" s="261"/>
      <c r="I71" s="261"/>
      <c r="J71" s="261"/>
      <c r="K71" s="261"/>
      <c r="L71" s="261"/>
      <c r="M71" s="261"/>
      <c r="N71" s="261"/>
      <c r="O71" s="261"/>
      <c r="P71" s="261"/>
      <c r="Q71" s="261"/>
      <c r="R71" s="261"/>
    </row>
  </sheetData>
  <customSheetViews>
    <customSheetView guid="{6654F670-CAA9-4C4A-B3D9-226402FC46BC}" scale="80" showPageBreaks="1" printArea="1" view="pageLayout" topLeftCell="B4">
      <selection activeCell="G7" sqref="G7"/>
      <pageMargins left="0.70866141732283472" right="0.70866141732283472" top="0.66249999999999998" bottom="0.74803149606299213" header="0.31496062992125984" footer="0.31496062992125984"/>
      <pageSetup paperSize="9" scale="48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80" showPageBreaks="1" printArea="1" view="pageLayout" topLeftCell="B4">
      <selection activeCell="G7" sqref="G7"/>
      <pageMargins left="0.70866141732283472" right="0.70866141732283472" top="0.66249999999999998" bottom="0.74803149606299213" header="0.31496062992125984" footer="0.31496062992125984"/>
      <pageSetup paperSize="9" scale="48" orientation="landscape"/>
      <headerFooter>
        <oddHeader>&amp;L&amp;G&amp;RCAMPAÑA: 2025/2026. MES: JULIO
Fecha de emisión de datos: 25/08/2026</oddHeader>
      </headerFooter>
    </customSheetView>
  </customSheetViews>
  <mergeCells count="25">
    <mergeCell ref="E46:E47"/>
    <mergeCell ref="E22:E24"/>
    <mergeCell ref="E1:R2"/>
    <mergeCell ref="E3:R3"/>
    <mergeCell ref="E5:R5"/>
    <mergeCell ref="E7:E15"/>
    <mergeCell ref="E16:E19"/>
    <mergeCell ref="E20:E21"/>
    <mergeCell ref="E25:E30"/>
    <mergeCell ref="E31:E37"/>
    <mergeCell ref="E38:E42"/>
    <mergeCell ref="E43:E45"/>
    <mergeCell ref="E66:F66"/>
    <mergeCell ref="E68:R68"/>
    <mergeCell ref="E69:R69"/>
    <mergeCell ref="E62:F62"/>
    <mergeCell ref="E48:E49"/>
    <mergeCell ref="E50:E51"/>
    <mergeCell ref="E52:E53"/>
    <mergeCell ref="E54:E55"/>
    <mergeCell ref="E56:E57"/>
    <mergeCell ref="E58:E61"/>
    <mergeCell ref="E63:F63"/>
    <mergeCell ref="E64:F64"/>
    <mergeCell ref="E65:F65"/>
  </mergeCells>
  <pageMargins left="0.70866141732283472" right="0.70866141732283472" top="0.66249999999999998" bottom="0.74803149606299213" header="0.31496062992125984" footer="0.31496062992125984"/>
  <pageSetup paperSize="9" scale="48" orientation="landscape" r:id="rId1"/>
  <headerFooter>
    <oddHeader>&amp;L&amp;G&amp;RCAMPAÑA: 2025/2026. MES: JULIO
Fecha de emisión de datos: 25/08/2026</oddHeader>
  </headerFooter>
  <legacyDrawingHF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D1:R70"/>
  <sheetViews>
    <sheetView view="pageLayout" topLeftCell="E1" zoomScale="90" zoomScaleNormal="80" zoomScaleSheetLayoutView="70" zoomScalePageLayoutView="90" workbookViewId="0">
      <selection activeCell="E1" sqref="E1:R2"/>
    </sheetView>
  </sheetViews>
  <sheetFormatPr baseColWidth="10" defaultColWidth="11.453125" defaultRowHeight="14.5" x14ac:dyDescent="0.35"/>
  <cols>
    <col min="1" max="1" width="8.453125" customWidth="1"/>
    <col min="2" max="2" width="10.54296875" customWidth="1"/>
    <col min="5" max="5" width="29" bestFit="1" customWidth="1"/>
    <col min="6" max="6" width="23.7265625" customWidth="1"/>
    <col min="7" max="7" width="11.81640625" bestFit="1" customWidth="1"/>
    <col min="8" max="8" width="14.26953125" bestFit="1" customWidth="1"/>
    <col min="9" max="9" width="13.7265625" bestFit="1" customWidth="1"/>
    <col min="17" max="17" width="11.453125" style="2"/>
    <col min="18" max="18" width="12.453125" style="2" customWidth="1"/>
    <col min="19" max="19" width="10.81640625" customWidth="1"/>
  </cols>
  <sheetData>
    <row r="1" spans="4:18" ht="15" customHeight="1" x14ac:dyDescent="0.35">
      <c r="E1" s="761" t="s">
        <v>140</v>
      </c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</row>
    <row r="2" spans="4:18" ht="8.25" customHeight="1" x14ac:dyDescent="0.35"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</row>
    <row r="3" spans="4:18" ht="22.5" customHeight="1" x14ac:dyDescent="0.35">
      <c r="E3" s="761" t="s">
        <v>141</v>
      </c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  <c r="R3" s="761"/>
    </row>
    <row r="4" spans="4:18" ht="8.25" customHeight="1" thickBot="1" x14ac:dyDescent="0.4"/>
    <row r="5" spans="4:18" ht="16" thickBot="1" x14ac:dyDescent="0.4">
      <c r="E5" s="872" t="s">
        <v>95</v>
      </c>
      <c r="F5" s="873"/>
      <c r="G5" s="873"/>
      <c r="H5" s="873"/>
      <c r="I5" s="873"/>
      <c r="J5" s="873"/>
      <c r="K5" s="873"/>
      <c r="L5" s="873"/>
      <c r="M5" s="873"/>
      <c r="N5" s="873"/>
      <c r="O5" s="873"/>
      <c r="P5" s="873"/>
      <c r="Q5" s="873"/>
      <c r="R5" s="874"/>
    </row>
    <row r="6" spans="4:18" ht="31.5" customHeight="1" thickBot="1" x14ac:dyDescent="0.4">
      <c r="E6" s="138" t="s">
        <v>54</v>
      </c>
      <c r="F6" s="51" t="s">
        <v>4</v>
      </c>
      <c r="G6" s="126" t="s">
        <v>39</v>
      </c>
      <c r="H6" s="268" t="s">
        <v>40</v>
      </c>
      <c r="I6" s="268" t="s">
        <v>41</v>
      </c>
      <c r="J6" s="268" t="s">
        <v>42</v>
      </c>
      <c r="K6" s="268" t="s">
        <v>43</v>
      </c>
      <c r="L6" s="268" t="s">
        <v>44</v>
      </c>
      <c r="M6" s="268" t="s">
        <v>45</v>
      </c>
      <c r="N6" s="268" t="s">
        <v>46</v>
      </c>
      <c r="O6" s="268" t="s">
        <v>55</v>
      </c>
      <c r="P6" s="263" t="s">
        <v>56</v>
      </c>
      <c r="Q6" s="268" t="s">
        <v>57</v>
      </c>
      <c r="R6" s="268" t="s">
        <v>58</v>
      </c>
    </row>
    <row r="7" spans="4:18" x14ac:dyDescent="0.35">
      <c r="D7" s="6"/>
      <c r="E7" s="800" t="s">
        <v>74</v>
      </c>
      <c r="F7" s="28" t="s">
        <v>80</v>
      </c>
      <c r="G7" s="52">
        <v>0</v>
      </c>
      <c r="H7" s="46">
        <v>0</v>
      </c>
      <c r="I7" s="46">
        <v>0</v>
      </c>
      <c r="J7" s="46">
        <v>0</v>
      </c>
      <c r="K7" s="46">
        <v>0</v>
      </c>
      <c r="L7" s="46">
        <v>0</v>
      </c>
      <c r="M7" s="46">
        <v>0</v>
      </c>
      <c r="N7" s="46">
        <v>0</v>
      </c>
      <c r="O7" s="46">
        <v>0</v>
      </c>
      <c r="P7" s="46">
        <v>0</v>
      </c>
      <c r="Q7" s="37"/>
      <c r="R7" s="30"/>
    </row>
    <row r="8" spans="4:18" x14ac:dyDescent="0.35">
      <c r="D8" s="6"/>
      <c r="E8" s="801"/>
      <c r="F8" s="119" t="s">
        <v>81</v>
      </c>
      <c r="G8" s="29">
        <v>1.2</v>
      </c>
      <c r="H8" s="37">
        <v>1.2</v>
      </c>
      <c r="I8" s="37">
        <v>0.5</v>
      </c>
      <c r="J8" s="37">
        <v>0.4</v>
      </c>
      <c r="K8" s="37">
        <v>0.4</v>
      </c>
      <c r="L8" s="37">
        <v>0.4</v>
      </c>
      <c r="M8" s="37">
        <v>0.4</v>
      </c>
      <c r="N8" s="37">
        <v>0.3</v>
      </c>
      <c r="O8" s="37">
        <v>0.2</v>
      </c>
      <c r="P8" s="37">
        <v>0.2</v>
      </c>
      <c r="Q8" s="37"/>
      <c r="R8" s="31"/>
    </row>
    <row r="9" spans="4:18" x14ac:dyDescent="0.35">
      <c r="D9" s="6"/>
      <c r="E9" s="801"/>
      <c r="F9" s="119" t="s">
        <v>82</v>
      </c>
      <c r="G9" s="29">
        <v>569</v>
      </c>
      <c r="H9" s="37">
        <v>382.6</v>
      </c>
      <c r="I9" s="37">
        <v>449.3</v>
      </c>
      <c r="J9" s="37">
        <v>498.4</v>
      </c>
      <c r="K9" s="37">
        <v>336.1</v>
      </c>
      <c r="L9" s="37">
        <v>430.1</v>
      </c>
      <c r="M9" s="37">
        <v>453.5</v>
      </c>
      <c r="N9" s="37">
        <v>456.3</v>
      </c>
      <c r="O9" s="37">
        <v>448.4</v>
      </c>
      <c r="P9" s="37">
        <v>485.5</v>
      </c>
      <c r="Q9" s="37"/>
      <c r="R9" s="31"/>
    </row>
    <row r="10" spans="4:18" x14ac:dyDescent="0.35">
      <c r="D10" s="6"/>
      <c r="E10" s="801"/>
      <c r="F10" s="119" t="s">
        <v>6</v>
      </c>
      <c r="G10" s="29">
        <v>68.3</v>
      </c>
      <c r="H10" s="37">
        <v>64</v>
      </c>
      <c r="I10" s="37">
        <v>46.5</v>
      </c>
      <c r="J10" s="37">
        <v>26.8</v>
      </c>
      <c r="K10" s="37">
        <v>42.3</v>
      </c>
      <c r="L10" s="37">
        <v>79.599999999999994</v>
      </c>
      <c r="M10" s="37">
        <v>77.5</v>
      </c>
      <c r="N10" s="37">
        <v>54.8</v>
      </c>
      <c r="O10" s="37">
        <v>65.900000000000006</v>
      </c>
      <c r="P10" s="37">
        <v>42.2</v>
      </c>
      <c r="Q10" s="37"/>
      <c r="R10" s="31"/>
    </row>
    <row r="11" spans="4:18" x14ac:dyDescent="0.35">
      <c r="D11" s="6"/>
      <c r="E11" s="801"/>
      <c r="F11" s="119" t="s">
        <v>7</v>
      </c>
      <c r="G11" s="29">
        <v>0</v>
      </c>
      <c r="H11" s="37">
        <v>0</v>
      </c>
      <c r="I11" s="37">
        <v>0</v>
      </c>
      <c r="J11" s="37">
        <v>0</v>
      </c>
      <c r="K11" s="37">
        <v>0</v>
      </c>
      <c r="L11" s="37">
        <v>0</v>
      </c>
      <c r="M11" s="37">
        <v>0</v>
      </c>
      <c r="N11" s="37">
        <v>0</v>
      </c>
      <c r="O11" s="37">
        <v>0</v>
      </c>
      <c r="P11" s="37">
        <v>0</v>
      </c>
      <c r="Q11" s="37"/>
      <c r="R11" s="31"/>
    </row>
    <row r="12" spans="4:18" x14ac:dyDescent="0.35">
      <c r="D12" s="6"/>
      <c r="E12" s="801"/>
      <c r="F12" s="119" t="s">
        <v>83</v>
      </c>
      <c r="G12" s="29">
        <v>377.8</v>
      </c>
      <c r="H12" s="37">
        <v>459.9</v>
      </c>
      <c r="I12" s="37">
        <v>895.8</v>
      </c>
      <c r="J12" s="37">
        <v>961.1</v>
      </c>
      <c r="K12" s="37">
        <v>1258.0999999999999</v>
      </c>
      <c r="L12" s="37">
        <v>613.29999999999995</v>
      </c>
      <c r="M12" s="37">
        <v>455.5</v>
      </c>
      <c r="N12" s="37">
        <v>822.4</v>
      </c>
      <c r="O12" s="37">
        <v>701.1</v>
      </c>
      <c r="P12" s="37">
        <v>626.5</v>
      </c>
      <c r="Q12" s="37"/>
      <c r="R12" s="31"/>
    </row>
    <row r="13" spans="4:18" x14ac:dyDescent="0.35">
      <c r="D13" s="6"/>
      <c r="E13" s="801"/>
      <c r="F13" s="119" t="s">
        <v>84</v>
      </c>
      <c r="G13" s="29">
        <v>347</v>
      </c>
      <c r="H13" s="37">
        <v>413.7</v>
      </c>
      <c r="I13" s="37">
        <v>325.60000000000002</v>
      </c>
      <c r="J13" s="37">
        <v>408</v>
      </c>
      <c r="K13" s="37">
        <v>351.9</v>
      </c>
      <c r="L13" s="37">
        <v>414</v>
      </c>
      <c r="M13" s="37">
        <v>411.6</v>
      </c>
      <c r="N13" s="37">
        <v>348.7</v>
      </c>
      <c r="O13" s="37">
        <v>356.4</v>
      </c>
      <c r="P13" s="37">
        <v>306</v>
      </c>
      <c r="Q13" s="37"/>
      <c r="R13" s="31"/>
    </row>
    <row r="14" spans="4:18" x14ac:dyDescent="0.35">
      <c r="D14" s="6"/>
      <c r="E14" s="801"/>
      <c r="F14" s="32" t="s">
        <v>8</v>
      </c>
      <c r="G14" s="33">
        <v>509.3</v>
      </c>
      <c r="H14" s="38">
        <v>237.2</v>
      </c>
      <c r="I14" s="38">
        <v>384</v>
      </c>
      <c r="J14" s="38">
        <v>357.2</v>
      </c>
      <c r="K14" s="38">
        <v>382.6</v>
      </c>
      <c r="L14" s="38">
        <v>274.2</v>
      </c>
      <c r="M14" s="38">
        <v>279.7</v>
      </c>
      <c r="N14" s="38">
        <v>360.7</v>
      </c>
      <c r="O14" s="38">
        <v>404.5</v>
      </c>
      <c r="P14" s="38">
        <v>259.39999999999998</v>
      </c>
      <c r="Q14" s="38"/>
      <c r="R14" s="34"/>
    </row>
    <row r="15" spans="4:18" s="10" customFormat="1" ht="15" thickBot="1" x14ac:dyDescent="0.4">
      <c r="D15" s="12"/>
      <c r="E15" s="802"/>
      <c r="F15" s="117" t="s">
        <v>72</v>
      </c>
      <c r="G15" s="35">
        <v>1872.6</v>
      </c>
      <c r="H15" s="110">
        <v>1558.6000000000001</v>
      </c>
      <c r="I15" s="110">
        <v>2101.6999999999998</v>
      </c>
      <c r="J15" s="110">
        <v>2251.8999999999996</v>
      </c>
      <c r="K15" s="110">
        <v>2371.3999999999996</v>
      </c>
      <c r="L15" s="110">
        <v>1811.6000000000001</v>
      </c>
      <c r="M15" s="110">
        <v>1678.2</v>
      </c>
      <c r="N15" s="110">
        <v>2043.2</v>
      </c>
      <c r="O15" s="110">
        <v>1976.5</v>
      </c>
      <c r="P15" s="110">
        <v>1719.8000000000002</v>
      </c>
      <c r="Q15" s="110"/>
      <c r="R15" s="39"/>
    </row>
    <row r="16" spans="4:18" x14ac:dyDescent="0.35">
      <c r="D16" s="6"/>
      <c r="E16" s="800" t="s">
        <v>75</v>
      </c>
      <c r="F16" s="119" t="s">
        <v>10</v>
      </c>
      <c r="G16" s="29">
        <v>0</v>
      </c>
      <c r="H16" s="37">
        <v>0</v>
      </c>
      <c r="I16" s="37">
        <v>0</v>
      </c>
      <c r="J16" s="37">
        <v>0</v>
      </c>
      <c r="K16" s="37">
        <v>0</v>
      </c>
      <c r="L16" s="37">
        <v>0</v>
      </c>
      <c r="M16" s="37">
        <v>0</v>
      </c>
      <c r="N16" s="37">
        <v>0</v>
      </c>
      <c r="O16" s="37">
        <v>0</v>
      </c>
      <c r="P16" s="37">
        <v>0</v>
      </c>
      <c r="Q16" s="37"/>
      <c r="R16" s="31"/>
    </row>
    <row r="17" spans="4:18" x14ac:dyDescent="0.35">
      <c r="E17" s="860"/>
      <c r="F17" s="119" t="s">
        <v>11</v>
      </c>
      <c r="G17" s="29">
        <v>0.6</v>
      </c>
      <c r="H17" s="37">
        <v>0.5</v>
      </c>
      <c r="I17" s="37">
        <v>0.4</v>
      </c>
      <c r="J17" s="37">
        <v>1</v>
      </c>
      <c r="K17" s="37">
        <v>0.9</v>
      </c>
      <c r="L17" s="37">
        <v>0.6</v>
      </c>
      <c r="M17" s="37">
        <v>0.5</v>
      </c>
      <c r="N17" s="37">
        <v>0.4</v>
      </c>
      <c r="O17" s="37">
        <v>0.2</v>
      </c>
      <c r="P17" s="37">
        <v>0.8</v>
      </c>
      <c r="Q17" s="37"/>
      <c r="R17" s="31"/>
    </row>
    <row r="18" spans="4:18" x14ac:dyDescent="0.35">
      <c r="E18" s="860"/>
      <c r="F18" s="32" t="s">
        <v>12</v>
      </c>
      <c r="G18" s="33">
        <v>14.4</v>
      </c>
      <c r="H18" s="38">
        <v>6.8</v>
      </c>
      <c r="I18" s="38">
        <v>22.6</v>
      </c>
      <c r="J18" s="38">
        <v>15.1</v>
      </c>
      <c r="K18" s="38">
        <v>8.5</v>
      </c>
      <c r="L18" s="38">
        <v>7.1</v>
      </c>
      <c r="M18" s="38">
        <v>13.7</v>
      </c>
      <c r="N18" s="38">
        <v>4.5</v>
      </c>
      <c r="O18" s="38">
        <v>7.1</v>
      </c>
      <c r="P18" s="38">
        <v>3.2</v>
      </c>
      <c r="Q18" s="38"/>
      <c r="R18" s="34"/>
    </row>
    <row r="19" spans="4:18" s="10" customFormat="1" ht="15" thickBot="1" x14ac:dyDescent="0.4">
      <c r="E19" s="804"/>
      <c r="F19" s="117" t="s">
        <v>72</v>
      </c>
      <c r="G19" s="35">
        <v>15</v>
      </c>
      <c r="H19" s="110">
        <v>7.3</v>
      </c>
      <c r="I19" s="110">
        <v>23</v>
      </c>
      <c r="J19" s="110">
        <v>16.100000000000001</v>
      </c>
      <c r="K19" s="110">
        <v>9.4</v>
      </c>
      <c r="L19" s="110">
        <v>7.6999999999999993</v>
      </c>
      <c r="M19" s="110">
        <v>14.2</v>
      </c>
      <c r="N19" s="110">
        <v>4.9000000000000004</v>
      </c>
      <c r="O19" s="110">
        <v>7.3</v>
      </c>
      <c r="P19" s="110">
        <v>4</v>
      </c>
      <c r="Q19" s="110"/>
      <c r="R19" s="39"/>
    </row>
    <row r="20" spans="4:18" x14ac:dyDescent="0.35">
      <c r="E20" s="762" t="s">
        <v>13</v>
      </c>
      <c r="F20" s="40" t="s">
        <v>13</v>
      </c>
      <c r="G20" s="41">
        <v>49.6</v>
      </c>
      <c r="H20" s="42">
        <v>45.2</v>
      </c>
      <c r="I20" s="42">
        <v>40</v>
      </c>
      <c r="J20" s="42">
        <v>32.1</v>
      </c>
      <c r="K20" s="42">
        <v>38.799999999999997</v>
      </c>
      <c r="L20" s="42">
        <v>46.2</v>
      </c>
      <c r="M20" s="42">
        <v>33.799999999999997</v>
      </c>
      <c r="N20" s="42">
        <v>64.400000000000006</v>
      </c>
      <c r="O20" s="42">
        <v>35.799999999999997</v>
      </c>
      <c r="P20" s="42">
        <v>58</v>
      </c>
      <c r="Q20" s="42"/>
      <c r="R20" s="43"/>
    </row>
    <row r="21" spans="4:18" s="10" customFormat="1" ht="15" thickBot="1" x14ac:dyDescent="0.4">
      <c r="E21" s="804"/>
      <c r="F21" s="117" t="s">
        <v>72</v>
      </c>
      <c r="G21" s="35">
        <v>49.6</v>
      </c>
      <c r="H21" s="110">
        <v>45.2</v>
      </c>
      <c r="I21" s="110">
        <v>40</v>
      </c>
      <c r="J21" s="110">
        <v>32.1</v>
      </c>
      <c r="K21" s="110">
        <v>38.799999999999997</v>
      </c>
      <c r="L21" s="110">
        <v>46.2</v>
      </c>
      <c r="M21" s="110">
        <v>33.799999999999997</v>
      </c>
      <c r="N21" s="110">
        <v>64.400000000000006</v>
      </c>
      <c r="O21" s="110">
        <v>35.799999999999997</v>
      </c>
      <c r="P21" s="110">
        <v>58</v>
      </c>
      <c r="Q21" s="110"/>
      <c r="R21" s="39"/>
    </row>
    <row r="22" spans="4:18" s="10" customFormat="1" x14ac:dyDescent="0.35">
      <c r="E22" s="762" t="s">
        <v>151</v>
      </c>
      <c r="F22" s="267" t="s">
        <v>152</v>
      </c>
      <c r="G22" s="29">
        <v>0</v>
      </c>
      <c r="H22" s="37">
        <v>0</v>
      </c>
      <c r="I22" s="37">
        <v>0</v>
      </c>
      <c r="J22" s="37">
        <v>0</v>
      </c>
      <c r="K22" s="37">
        <v>0</v>
      </c>
      <c r="L22" s="37">
        <v>0</v>
      </c>
      <c r="M22" s="37">
        <v>0</v>
      </c>
      <c r="N22" s="37">
        <v>0</v>
      </c>
      <c r="O22" s="37">
        <v>0</v>
      </c>
      <c r="P22" s="37">
        <v>0</v>
      </c>
      <c r="Q22" s="37"/>
      <c r="R22" s="31"/>
    </row>
    <row r="23" spans="4:18" s="10" customFormat="1" x14ac:dyDescent="0.35">
      <c r="E23" s="860"/>
      <c r="F23" s="75" t="s">
        <v>153</v>
      </c>
      <c r="G23" s="29">
        <v>0</v>
      </c>
      <c r="H23" s="37">
        <v>0</v>
      </c>
      <c r="I23" s="37">
        <v>0</v>
      </c>
      <c r="J23" s="37">
        <v>0</v>
      </c>
      <c r="K23" s="37">
        <v>0</v>
      </c>
      <c r="L23" s="37">
        <v>0</v>
      </c>
      <c r="M23" s="37">
        <v>0</v>
      </c>
      <c r="N23" s="37">
        <v>0</v>
      </c>
      <c r="O23" s="37">
        <v>0</v>
      </c>
      <c r="P23" s="37">
        <v>0</v>
      </c>
      <c r="Q23" s="37"/>
      <c r="R23" s="31"/>
    </row>
    <row r="24" spans="4:18" s="10" customFormat="1" ht="15" thickBot="1" x14ac:dyDescent="0.4">
      <c r="E24" s="804"/>
      <c r="F24" s="48" t="s">
        <v>72</v>
      </c>
      <c r="G24" s="113">
        <v>0</v>
      </c>
      <c r="H24" s="112">
        <v>0</v>
      </c>
      <c r="I24" s="112">
        <v>0</v>
      </c>
      <c r="J24" s="112">
        <v>0</v>
      </c>
      <c r="K24" s="112">
        <v>0</v>
      </c>
      <c r="L24" s="112">
        <v>0</v>
      </c>
      <c r="M24" s="112">
        <v>0</v>
      </c>
      <c r="N24" s="112">
        <v>0</v>
      </c>
      <c r="O24" s="112">
        <v>0</v>
      </c>
      <c r="P24" s="112">
        <v>0</v>
      </c>
      <c r="Q24" s="112"/>
      <c r="R24" s="278"/>
    </row>
    <row r="25" spans="4:18" x14ac:dyDescent="0.35">
      <c r="D25" s="6"/>
      <c r="E25" s="800" t="s">
        <v>73</v>
      </c>
      <c r="F25" s="119" t="s">
        <v>16</v>
      </c>
      <c r="G25" s="29">
        <v>17.100000000000001</v>
      </c>
      <c r="H25" s="37">
        <v>14.6</v>
      </c>
      <c r="I25" s="37">
        <v>11</v>
      </c>
      <c r="J25" s="37">
        <v>8.4</v>
      </c>
      <c r="K25" s="37">
        <v>29.9</v>
      </c>
      <c r="L25" s="37">
        <v>27.8</v>
      </c>
      <c r="M25" s="37">
        <v>23.8</v>
      </c>
      <c r="N25" s="37">
        <v>20.7</v>
      </c>
      <c r="O25" s="37">
        <v>17</v>
      </c>
      <c r="P25" s="37">
        <v>14.4</v>
      </c>
      <c r="Q25" s="37"/>
      <c r="R25" s="31"/>
    </row>
    <row r="26" spans="4:18" x14ac:dyDescent="0.35">
      <c r="D26" s="6"/>
      <c r="E26" s="801"/>
      <c r="F26" s="119" t="s">
        <v>17</v>
      </c>
      <c r="G26" s="29">
        <v>434.6</v>
      </c>
      <c r="H26" s="37">
        <v>452.2</v>
      </c>
      <c r="I26" s="37">
        <v>469.7</v>
      </c>
      <c r="J26" s="37">
        <v>424.3</v>
      </c>
      <c r="K26" s="37">
        <v>370.7</v>
      </c>
      <c r="L26" s="37">
        <v>251</v>
      </c>
      <c r="M26" s="37">
        <v>221.6</v>
      </c>
      <c r="N26" s="37">
        <v>257</v>
      </c>
      <c r="O26" s="37">
        <v>244.9</v>
      </c>
      <c r="P26" s="37">
        <v>276.5</v>
      </c>
      <c r="Q26" s="37"/>
      <c r="R26" s="31"/>
    </row>
    <row r="27" spans="4:18" x14ac:dyDescent="0.35">
      <c r="D27" s="6"/>
      <c r="E27" s="801"/>
      <c r="F27" s="119" t="s">
        <v>18</v>
      </c>
      <c r="G27" s="29">
        <v>0</v>
      </c>
      <c r="H27" s="37">
        <v>0</v>
      </c>
      <c r="I27" s="37">
        <v>0</v>
      </c>
      <c r="J27" s="37">
        <v>0</v>
      </c>
      <c r="K27" s="37">
        <v>0</v>
      </c>
      <c r="L27" s="37">
        <v>0</v>
      </c>
      <c r="M27" s="37">
        <v>0</v>
      </c>
      <c r="N27" s="37">
        <v>0</v>
      </c>
      <c r="O27" s="37">
        <v>0</v>
      </c>
      <c r="P27" s="37">
        <v>0</v>
      </c>
      <c r="Q27" s="37"/>
      <c r="R27" s="31"/>
    </row>
    <row r="28" spans="4:18" x14ac:dyDescent="0.35">
      <c r="D28" s="6"/>
      <c r="E28" s="801"/>
      <c r="F28" s="119" t="s">
        <v>50</v>
      </c>
      <c r="G28" s="29">
        <v>0</v>
      </c>
      <c r="H28" s="37">
        <v>0</v>
      </c>
      <c r="I28" s="37">
        <v>0</v>
      </c>
      <c r="J28" s="37">
        <v>0</v>
      </c>
      <c r="K28" s="37">
        <v>0</v>
      </c>
      <c r="L28" s="37">
        <v>0</v>
      </c>
      <c r="M28" s="37">
        <v>0</v>
      </c>
      <c r="N28" s="37">
        <v>0</v>
      </c>
      <c r="O28" s="37">
        <v>0</v>
      </c>
      <c r="P28" s="37">
        <v>0</v>
      </c>
      <c r="Q28" s="37"/>
      <c r="R28" s="31"/>
    </row>
    <row r="29" spans="4:18" x14ac:dyDescent="0.35">
      <c r="D29" s="6"/>
      <c r="E29" s="801"/>
      <c r="F29" s="32" t="s">
        <v>19</v>
      </c>
      <c r="G29" s="33">
        <v>262.89999999999998</v>
      </c>
      <c r="H29" s="38">
        <v>193.9</v>
      </c>
      <c r="I29" s="38">
        <v>225.8</v>
      </c>
      <c r="J29" s="38">
        <v>212.6</v>
      </c>
      <c r="K29" s="38">
        <v>224.4</v>
      </c>
      <c r="L29" s="38">
        <v>221.3</v>
      </c>
      <c r="M29" s="38">
        <v>187.5</v>
      </c>
      <c r="N29" s="38">
        <v>233.7</v>
      </c>
      <c r="O29" s="38">
        <v>182</v>
      </c>
      <c r="P29" s="38">
        <v>183.5</v>
      </c>
      <c r="Q29" s="38"/>
      <c r="R29" s="34"/>
    </row>
    <row r="30" spans="4:18" s="10" customFormat="1" ht="15" thickBot="1" x14ac:dyDescent="0.4">
      <c r="D30" s="12"/>
      <c r="E30" s="802"/>
      <c r="F30" s="117" t="s">
        <v>72</v>
      </c>
      <c r="G30" s="133">
        <v>714.6</v>
      </c>
      <c r="H30" s="110">
        <v>660.7</v>
      </c>
      <c r="I30" s="110">
        <v>706.5</v>
      </c>
      <c r="J30" s="110">
        <v>645.29999999999995</v>
      </c>
      <c r="K30" s="110">
        <v>625</v>
      </c>
      <c r="L30" s="110">
        <v>500.1</v>
      </c>
      <c r="M30" s="110">
        <v>432.9</v>
      </c>
      <c r="N30" s="110">
        <v>511.4</v>
      </c>
      <c r="O30" s="110">
        <v>443.9</v>
      </c>
      <c r="P30" s="110">
        <v>474.4</v>
      </c>
      <c r="Q30" s="110"/>
      <c r="R30" s="39"/>
    </row>
    <row r="31" spans="4:18" x14ac:dyDescent="0.35">
      <c r="D31" s="6"/>
      <c r="E31" s="800" t="s">
        <v>76</v>
      </c>
      <c r="F31" s="70" t="s">
        <v>78</v>
      </c>
      <c r="G31" s="29">
        <v>0</v>
      </c>
      <c r="H31" s="37">
        <v>0</v>
      </c>
      <c r="I31" s="37">
        <v>0</v>
      </c>
      <c r="J31" s="37">
        <v>0</v>
      </c>
      <c r="K31" s="37">
        <v>0</v>
      </c>
      <c r="L31" s="37">
        <v>0</v>
      </c>
      <c r="M31" s="37">
        <v>0</v>
      </c>
      <c r="N31" s="37">
        <v>0</v>
      </c>
      <c r="O31" s="37">
        <v>0</v>
      </c>
      <c r="P31" s="37">
        <v>0</v>
      </c>
      <c r="Q31" s="37"/>
      <c r="R31" s="31"/>
    </row>
    <row r="32" spans="4:18" x14ac:dyDescent="0.35">
      <c r="D32" s="6"/>
      <c r="E32" s="807"/>
      <c r="F32" s="267" t="s">
        <v>154</v>
      </c>
      <c r="G32" s="29">
        <v>0</v>
      </c>
      <c r="H32" s="37">
        <v>0</v>
      </c>
      <c r="I32" s="37">
        <v>0</v>
      </c>
      <c r="J32" s="37">
        <v>0</v>
      </c>
      <c r="K32" s="37">
        <v>0</v>
      </c>
      <c r="L32" s="37">
        <v>0</v>
      </c>
      <c r="M32" s="37">
        <v>0</v>
      </c>
      <c r="N32" s="37">
        <v>0</v>
      </c>
      <c r="O32" s="37">
        <v>0</v>
      </c>
      <c r="P32" s="37">
        <v>0</v>
      </c>
      <c r="Q32" s="37"/>
      <c r="R32" s="31"/>
    </row>
    <row r="33" spans="4:18" x14ac:dyDescent="0.35">
      <c r="D33" s="6"/>
      <c r="E33" s="807"/>
      <c r="F33" s="267" t="s">
        <v>157</v>
      </c>
      <c r="G33" s="29">
        <v>0</v>
      </c>
      <c r="H33" s="37">
        <v>0</v>
      </c>
      <c r="I33" s="37">
        <v>0</v>
      </c>
      <c r="J33" s="37">
        <v>0</v>
      </c>
      <c r="K33" s="37">
        <v>0</v>
      </c>
      <c r="L33" s="37">
        <v>0</v>
      </c>
      <c r="M33" s="37">
        <v>0</v>
      </c>
      <c r="N33" s="37">
        <v>0</v>
      </c>
      <c r="O33" s="37">
        <v>0</v>
      </c>
      <c r="P33" s="37">
        <v>0</v>
      </c>
      <c r="Q33" s="37"/>
      <c r="R33" s="31"/>
    </row>
    <row r="34" spans="4:18" x14ac:dyDescent="0.35">
      <c r="D34" s="6"/>
      <c r="E34" s="801"/>
      <c r="F34" s="267" t="s">
        <v>20</v>
      </c>
      <c r="G34" s="29">
        <v>0</v>
      </c>
      <c r="H34" s="37">
        <v>0</v>
      </c>
      <c r="I34" s="37">
        <v>0</v>
      </c>
      <c r="J34" s="37">
        <v>0</v>
      </c>
      <c r="K34" s="37">
        <v>0</v>
      </c>
      <c r="L34" s="37">
        <v>0</v>
      </c>
      <c r="M34" s="37">
        <v>0</v>
      </c>
      <c r="N34" s="37">
        <v>0</v>
      </c>
      <c r="O34" s="37">
        <v>0</v>
      </c>
      <c r="P34" s="37">
        <v>0</v>
      </c>
      <c r="Q34" s="37"/>
      <c r="R34" s="31"/>
    </row>
    <row r="35" spans="4:18" x14ac:dyDescent="0.35">
      <c r="D35" s="6"/>
      <c r="E35" s="801"/>
      <c r="F35" s="267" t="s">
        <v>149</v>
      </c>
      <c r="G35" s="29">
        <v>0</v>
      </c>
      <c r="H35" s="37">
        <v>0</v>
      </c>
      <c r="I35" s="37">
        <v>0</v>
      </c>
      <c r="J35" s="37">
        <v>0</v>
      </c>
      <c r="K35" s="37">
        <v>0</v>
      </c>
      <c r="L35" s="37">
        <v>0</v>
      </c>
      <c r="M35" s="37">
        <v>0</v>
      </c>
      <c r="N35" s="37">
        <v>0</v>
      </c>
      <c r="O35" s="37">
        <v>0</v>
      </c>
      <c r="P35" s="37">
        <v>0</v>
      </c>
      <c r="Q35" s="37"/>
      <c r="R35" s="31"/>
    </row>
    <row r="36" spans="4:18" x14ac:dyDescent="0.35">
      <c r="D36" s="6"/>
      <c r="E36" s="801"/>
      <c r="F36" s="75" t="s">
        <v>21</v>
      </c>
      <c r="G36" s="33">
        <v>16.2</v>
      </c>
      <c r="H36" s="38">
        <v>7.6</v>
      </c>
      <c r="I36" s="38">
        <v>28</v>
      </c>
      <c r="J36" s="38">
        <v>22.6</v>
      </c>
      <c r="K36" s="38">
        <v>6.7</v>
      </c>
      <c r="L36" s="38">
        <v>2.7</v>
      </c>
      <c r="M36" s="38">
        <v>21.4</v>
      </c>
      <c r="N36" s="38">
        <v>15.3</v>
      </c>
      <c r="O36" s="38">
        <v>8.6</v>
      </c>
      <c r="P36" s="38">
        <v>17.5</v>
      </c>
      <c r="Q36" s="38"/>
      <c r="R36" s="34"/>
    </row>
    <row r="37" spans="4:18" s="10" customFormat="1" ht="15" thickBot="1" x14ac:dyDescent="0.4">
      <c r="D37" s="12"/>
      <c r="E37" s="802"/>
      <c r="F37" s="262" t="s">
        <v>72</v>
      </c>
      <c r="G37" s="113">
        <v>16.2</v>
      </c>
      <c r="H37" s="110">
        <v>7.6</v>
      </c>
      <c r="I37" s="110">
        <v>28</v>
      </c>
      <c r="J37" s="110">
        <v>22.6</v>
      </c>
      <c r="K37" s="112">
        <v>6.7</v>
      </c>
      <c r="L37" s="110">
        <v>2.7</v>
      </c>
      <c r="M37" s="112">
        <v>21.4</v>
      </c>
      <c r="N37" s="112">
        <v>15.3</v>
      </c>
      <c r="O37" s="110">
        <v>8.6</v>
      </c>
      <c r="P37" s="110">
        <v>17.5</v>
      </c>
      <c r="Q37" s="112"/>
      <c r="R37" s="39"/>
    </row>
    <row r="38" spans="4:18" x14ac:dyDescent="0.35">
      <c r="D38" s="6"/>
      <c r="E38" s="800" t="s">
        <v>22</v>
      </c>
      <c r="F38" s="267" t="s">
        <v>23</v>
      </c>
      <c r="G38" s="29">
        <v>221.9</v>
      </c>
      <c r="H38" s="46">
        <v>193.4</v>
      </c>
      <c r="I38" s="46">
        <v>172.6</v>
      </c>
      <c r="J38" s="127">
        <v>207.6</v>
      </c>
      <c r="K38" s="37">
        <v>222</v>
      </c>
      <c r="L38" s="46">
        <v>230.3</v>
      </c>
      <c r="M38" s="37">
        <v>188.9</v>
      </c>
      <c r="N38" s="29">
        <v>225.9</v>
      </c>
      <c r="O38" s="52">
        <v>213.1</v>
      </c>
      <c r="P38" s="52">
        <v>197.6</v>
      </c>
      <c r="Q38" s="128"/>
      <c r="R38" s="174"/>
    </row>
    <row r="39" spans="4:18" x14ac:dyDescent="0.35">
      <c r="D39" s="6"/>
      <c r="E39" s="801"/>
      <c r="F39" s="267" t="s">
        <v>24</v>
      </c>
      <c r="G39" s="29">
        <v>0</v>
      </c>
      <c r="H39" s="37">
        <v>0</v>
      </c>
      <c r="I39" s="37">
        <v>0</v>
      </c>
      <c r="J39" s="129">
        <v>0</v>
      </c>
      <c r="K39" s="37">
        <v>0</v>
      </c>
      <c r="L39" s="37">
        <v>0</v>
      </c>
      <c r="M39" s="37">
        <v>0</v>
      </c>
      <c r="N39" s="29">
        <v>0</v>
      </c>
      <c r="O39" s="29">
        <v>0</v>
      </c>
      <c r="P39" s="29">
        <v>0</v>
      </c>
      <c r="Q39" s="37"/>
      <c r="R39" s="31"/>
    </row>
    <row r="40" spans="4:18" x14ac:dyDescent="0.35">
      <c r="D40" s="6"/>
      <c r="E40" s="801"/>
      <c r="F40" s="267" t="s">
        <v>25</v>
      </c>
      <c r="G40" s="29">
        <v>35.200000000000003</v>
      </c>
      <c r="H40" s="37">
        <v>31</v>
      </c>
      <c r="I40" s="37">
        <v>29.4</v>
      </c>
      <c r="J40" s="129">
        <v>28.5</v>
      </c>
      <c r="K40" s="37">
        <v>28.4</v>
      </c>
      <c r="L40" s="37">
        <v>26.1</v>
      </c>
      <c r="M40" s="37">
        <v>18.3</v>
      </c>
      <c r="N40" s="29">
        <v>36.9</v>
      </c>
      <c r="O40" s="29">
        <v>30.7</v>
      </c>
      <c r="P40" s="29">
        <v>33.5</v>
      </c>
      <c r="Q40" s="37"/>
      <c r="R40" s="31"/>
    </row>
    <row r="41" spans="4:18" x14ac:dyDescent="0.35">
      <c r="D41" s="6"/>
      <c r="E41" s="801"/>
      <c r="F41" s="75" t="s">
        <v>26</v>
      </c>
      <c r="G41" s="33">
        <v>118</v>
      </c>
      <c r="H41" s="38">
        <v>116</v>
      </c>
      <c r="I41" s="38">
        <v>162.19999999999999</v>
      </c>
      <c r="J41" s="130">
        <v>155.6</v>
      </c>
      <c r="K41" s="38">
        <v>149</v>
      </c>
      <c r="L41" s="38">
        <v>155.1</v>
      </c>
      <c r="M41" s="38">
        <v>153.9</v>
      </c>
      <c r="N41" s="33">
        <v>144</v>
      </c>
      <c r="O41" s="33">
        <v>141.30000000000001</v>
      </c>
      <c r="P41" s="33">
        <v>138.1</v>
      </c>
      <c r="Q41" s="38"/>
      <c r="R41" s="34"/>
    </row>
    <row r="42" spans="4:18" s="10" customFormat="1" ht="15" thickBot="1" x14ac:dyDescent="0.4">
      <c r="D42" s="12"/>
      <c r="E42" s="802"/>
      <c r="F42" s="262" t="s">
        <v>72</v>
      </c>
      <c r="G42" s="35">
        <v>375.1</v>
      </c>
      <c r="H42" s="110">
        <v>340.4</v>
      </c>
      <c r="I42" s="110">
        <v>364.2</v>
      </c>
      <c r="J42" s="131">
        <v>391.7</v>
      </c>
      <c r="K42" s="110">
        <v>399.4</v>
      </c>
      <c r="L42" s="110">
        <v>411.5</v>
      </c>
      <c r="M42" s="110">
        <v>361.1</v>
      </c>
      <c r="N42" s="35">
        <v>406.8</v>
      </c>
      <c r="O42" s="35">
        <v>385.1</v>
      </c>
      <c r="P42" s="35">
        <v>369.2</v>
      </c>
      <c r="Q42" s="110"/>
      <c r="R42" s="39"/>
    </row>
    <row r="43" spans="4:18" x14ac:dyDescent="0.35">
      <c r="D43" s="6"/>
      <c r="E43" s="800" t="s">
        <v>27</v>
      </c>
      <c r="F43" s="267" t="s">
        <v>28</v>
      </c>
      <c r="G43" s="29">
        <v>136.30000000000001</v>
      </c>
      <c r="H43" s="37">
        <v>260.5</v>
      </c>
      <c r="I43" s="37">
        <v>90.7</v>
      </c>
      <c r="J43" s="129">
        <v>199.4</v>
      </c>
      <c r="K43" s="37">
        <v>92</v>
      </c>
      <c r="L43" s="37">
        <v>15.4</v>
      </c>
      <c r="M43" s="37">
        <v>12.5</v>
      </c>
      <c r="N43" s="29">
        <v>158.5</v>
      </c>
      <c r="O43" s="29">
        <v>156.80000000000001</v>
      </c>
      <c r="P43" s="29">
        <v>109.2</v>
      </c>
      <c r="Q43" s="37"/>
      <c r="R43" s="31"/>
    </row>
    <row r="44" spans="4:18" x14ac:dyDescent="0.35">
      <c r="D44" s="6"/>
      <c r="E44" s="801"/>
      <c r="F44" s="75" t="s">
        <v>79</v>
      </c>
      <c r="G44" s="33">
        <v>9.3000000000000007</v>
      </c>
      <c r="H44" s="38">
        <v>28.8</v>
      </c>
      <c r="I44" s="38">
        <v>25.2</v>
      </c>
      <c r="J44" s="130">
        <v>21.4</v>
      </c>
      <c r="K44" s="38">
        <v>17.899999999999999</v>
      </c>
      <c r="L44" s="38">
        <v>9.8000000000000007</v>
      </c>
      <c r="M44" s="38">
        <v>7.6</v>
      </c>
      <c r="N44" s="33">
        <v>5.0999999999999996</v>
      </c>
      <c r="O44" s="33">
        <v>22</v>
      </c>
      <c r="P44" s="33">
        <v>23.4</v>
      </c>
      <c r="Q44" s="38"/>
      <c r="R44" s="34"/>
    </row>
    <row r="45" spans="4:18" s="10" customFormat="1" ht="15" thickBot="1" x14ac:dyDescent="0.4">
      <c r="D45" s="12"/>
      <c r="E45" s="802"/>
      <c r="F45" s="262" t="s">
        <v>72</v>
      </c>
      <c r="G45" s="35">
        <v>145.60000000000002</v>
      </c>
      <c r="H45" s="110">
        <v>289.3</v>
      </c>
      <c r="I45" s="110">
        <v>115.9</v>
      </c>
      <c r="J45" s="131">
        <v>220.8</v>
      </c>
      <c r="K45" s="110">
        <v>109.9</v>
      </c>
      <c r="L45" s="110">
        <v>25.200000000000003</v>
      </c>
      <c r="M45" s="110">
        <v>20.100000000000001</v>
      </c>
      <c r="N45" s="35">
        <v>163.6</v>
      </c>
      <c r="O45" s="35">
        <v>178.8</v>
      </c>
      <c r="P45" s="35">
        <v>132.6</v>
      </c>
      <c r="Q45" s="110"/>
      <c r="R45" s="39"/>
    </row>
    <row r="46" spans="4:18" x14ac:dyDescent="0.35">
      <c r="D46" s="6"/>
      <c r="E46" s="800" t="s">
        <v>29</v>
      </c>
      <c r="F46" s="87" t="s">
        <v>30</v>
      </c>
      <c r="G46" s="139">
        <v>0</v>
      </c>
      <c r="H46" s="42">
        <v>0</v>
      </c>
      <c r="I46" s="42">
        <v>0</v>
      </c>
      <c r="J46" s="132">
        <v>0</v>
      </c>
      <c r="K46" s="42">
        <v>0</v>
      </c>
      <c r="L46" s="42">
        <v>0</v>
      </c>
      <c r="M46" s="42">
        <v>0</v>
      </c>
      <c r="N46" s="42">
        <v>0</v>
      </c>
      <c r="O46" s="41">
        <v>0</v>
      </c>
      <c r="P46" s="41">
        <v>0</v>
      </c>
      <c r="Q46" s="42"/>
      <c r="R46" s="43"/>
    </row>
    <row r="47" spans="4:18" s="10" customFormat="1" ht="15" thickBot="1" x14ac:dyDescent="0.4">
      <c r="D47" s="12"/>
      <c r="E47" s="839"/>
      <c r="F47" s="262" t="s">
        <v>72</v>
      </c>
      <c r="G47" s="35">
        <v>0</v>
      </c>
      <c r="H47" s="110">
        <v>0</v>
      </c>
      <c r="I47" s="110">
        <v>0</v>
      </c>
      <c r="J47" s="131">
        <v>0</v>
      </c>
      <c r="K47" s="110">
        <v>0</v>
      </c>
      <c r="L47" s="110">
        <v>0</v>
      </c>
      <c r="M47" s="110">
        <v>0</v>
      </c>
      <c r="N47" s="35">
        <v>0</v>
      </c>
      <c r="O47" s="35">
        <v>0</v>
      </c>
      <c r="P47" s="35">
        <v>0</v>
      </c>
      <c r="Q47" s="110"/>
      <c r="R47" s="39"/>
    </row>
    <row r="48" spans="4:18" x14ac:dyDescent="0.35">
      <c r="D48" s="6"/>
      <c r="E48" s="800" t="s">
        <v>32</v>
      </c>
      <c r="F48" s="87" t="s">
        <v>32</v>
      </c>
      <c r="G48" s="41">
        <v>49.2</v>
      </c>
      <c r="H48" s="42">
        <v>51.9</v>
      </c>
      <c r="I48" s="42">
        <v>18.399999999999999</v>
      </c>
      <c r="J48" s="132">
        <v>55.9</v>
      </c>
      <c r="K48" s="42">
        <v>48.6</v>
      </c>
      <c r="L48" s="42">
        <v>35.9</v>
      </c>
      <c r="M48" s="42">
        <v>24.9</v>
      </c>
      <c r="N48" s="41">
        <v>35.700000000000003</v>
      </c>
      <c r="O48" s="41">
        <v>39.9</v>
      </c>
      <c r="P48" s="41">
        <v>37.4</v>
      </c>
      <c r="Q48" s="42"/>
      <c r="R48" s="43"/>
    </row>
    <row r="49" spans="4:18" s="10" customFormat="1" ht="15" thickBot="1" x14ac:dyDescent="0.4">
      <c r="D49" s="12"/>
      <c r="E49" s="839"/>
      <c r="F49" s="262" t="s">
        <v>72</v>
      </c>
      <c r="G49" s="35">
        <v>49.2</v>
      </c>
      <c r="H49" s="110">
        <v>51.9</v>
      </c>
      <c r="I49" s="110">
        <v>18.399999999999999</v>
      </c>
      <c r="J49" s="131">
        <v>55.9</v>
      </c>
      <c r="K49" s="110">
        <v>48.6</v>
      </c>
      <c r="L49" s="110">
        <v>35.9</v>
      </c>
      <c r="M49" s="110">
        <v>24.9</v>
      </c>
      <c r="N49" s="35">
        <v>35.700000000000003</v>
      </c>
      <c r="O49" s="35">
        <v>39.9</v>
      </c>
      <c r="P49" s="35">
        <v>37.4</v>
      </c>
      <c r="Q49" s="110"/>
      <c r="R49" s="39"/>
    </row>
    <row r="50" spans="4:18" x14ac:dyDescent="0.35">
      <c r="D50" s="6"/>
      <c r="E50" s="800" t="s">
        <v>33</v>
      </c>
      <c r="F50" s="87" t="s">
        <v>33</v>
      </c>
      <c r="G50" s="41">
        <v>48.6</v>
      </c>
      <c r="H50" s="42">
        <v>50.2</v>
      </c>
      <c r="I50" s="42">
        <v>46.5</v>
      </c>
      <c r="J50" s="132">
        <v>31.4</v>
      </c>
      <c r="K50" s="42">
        <v>65.3</v>
      </c>
      <c r="L50" s="42">
        <v>47.4</v>
      </c>
      <c r="M50" s="42">
        <v>63</v>
      </c>
      <c r="N50" s="41">
        <v>47.8</v>
      </c>
      <c r="O50" s="41">
        <v>35.9</v>
      </c>
      <c r="P50" s="41">
        <v>31.2</v>
      </c>
      <c r="Q50" s="42"/>
      <c r="R50" s="43"/>
    </row>
    <row r="51" spans="4:18" s="10" customFormat="1" ht="15" thickBot="1" x14ac:dyDescent="0.4">
      <c r="D51" s="12"/>
      <c r="E51" s="839"/>
      <c r="F51" s="262" t="s">
        <v>72</v>
      </c>
      <c r="G51" s="35">
        <v>48.6</v>
      </c>
      <c r="H51" s="110">
        <v>50.2</v>
      </c>
      <c r="I51" s="110">
        <v>46.5</v>
      </c>
      <c r="J51" s="131">
        <v>31.4</v>
      </c>
      <c r="K51" s="110">
        <v>65.3</v>
      </c>
      <c r="L51" s="110">
        <v>47.4</v>
      </c>
      <c r="M51" s="110">
        <v>63</v>
      </c>
      <c r="N51" s="35">
        <v>47.8</v>
      </c>
      <c r="O51" s="35">
        <v>35.9</v>
      </c>
      <c r="P51" s="35">
        <v>31.2</v>
      </c>
      <c r="Q51" s="110"/>
      <c r="R51" s="39"/>
    </row>
    <row r="52" spans="4:18" x14ac:dyDescent="0.35">
      <c r="D52" s="6"/>
      <c r="E52" s="800" t="s">
        <v>34</v>
      </c>
      <c r="F52" s="40" t="s">
        <v>34</v>
      </c>
      <c r="G52" s="41">
        <v>93.1</v>
      </c>
      <c r="H52" s="42">
        <v>41.1</v>
      </c>
      <c r="I52" s="42">
        <v>44.1</v>
      </c>
      <c r="J52" s="132">
        <v>34.299999999999997</v>
      </c>
      <c r="K52" s="42">
        <v>28.4</v>
      </c>
      <c r="L52" s="42">
        <v>27.9</v>
      </c>
      <c r="M52" s="42">
        <v>59</v>
      </c>
      <c r="N52" s="41">
        <v>84.3</v>
      </c>
      <c r="O52" s="41">
        <v>48</v>
      </c>
      <c r="P52" s="41">
        <v>89.6</v>
      </c>
      <c r="Q52" s="42"/>
      <c r="R52" s="43"/>
    </row>
    <row r="53" spans="4:18" s="10" customFormat="1" ht="15" thickBot="1" x14ac:dyDescent="0.4">
      <c r="D53" s="12"/>
      <c r="E53" s="839"/>
      <c r="F53" s="117" t="s">
        <v>72</v>
      </c>
      <c r="G53" s="35">
        <v>93.1</v>
      </c>
      <c r="H53" s="110">
        <v>41.1</v>
      </c>
      <c r="I53" s="110">
        <v>44.1</v>
      </c>
      <c r="J53" s="131">
        <v>34.299999999999997</v>
      </c>
      <c r="K53" s="110">
        <v>28.4</v>
      </c>
      <c r="L53" s="110">
        <v>27.9</v>
      </c>
      <c r="M53" s="110">
        <v>59</v>
      </c>
      <c r="N53" s="35">
        <v>84.3</v>
      </c>
      <c r="O53" s="35">
        <v>48</v>
      </c>
      <c r="P53" s="35">
        <v>89.6</v>
      </c>
      <c r="Q53" s="110"/>
      <c r="R53" s="39"/>
    </row>
    <row r="54" spans="4:18" x14ac:dyDescent="0.35">
      <c r="D54" s="6"/>
      <c r="E54" s="800" t="s">
        <v>77</v>
      </c>
      <c r="F54" s="40" t="s">
        <v>30</v>
      </c>
      <c r="G54" s="41">
        <v>0</v>
      </c>
      <c r="H54" s="42">
        <v>0</v>
      </c>
      <c r="I54" s="42">
        <v>0</v>
      </c>
      <c r="J54" s="132">
        <v>0</v>
      </c>
      <c r="K54" s="42">
        <v>0</v>
      </c>
      <c r="L54" s="42">
        <v>0</v>
      </c>
      <c r="M54" s="42">
        <v>0</v>
      </c>
      <c r="N54" s="41">
        <v>0</v>
      </c>
      <c r="O54" s="41">
        <v>0</v>
      </c>
      <c r="P54" s="41">
        <v>0</v>
      </c>
      <c r="Q54" s="42"/>
      <c r="R54" s="43"/>
    </row>
    <row r="55" spans="4:18" s="10" customFormat="1" ht="15" thickBot="1" x14ac:dyDescent="0.4">
      <c r="D55" s="12"/>
      <c r="E55" s="839"/>
      <c r="F55" s="48" t="s">
        <v>72</v>
      </c>
      <c r="G55" s="35">
        <v>0</v>
      </c>
      <c r="H55" s="110">
        <v>0</v>
      </c>
      <c r="I55" s="110">
        <v>0</v>
      </c>
      <c r="J55" s="131">
        <v>0</v>
      </c>
      <c r="K55" s="110">
        <v>0</v>
      </c>
      <c r="L55" s="110">
        <v>0</v>
      </c>
      <c r="M55" s="110">
        <v>0</v>
      </c>
      <c r="N55" s="112">
        <v>0</v>
      </c>
      <c r="O55" s="35">
        <v>0</v>
      </c>
      <c r="P55" s="35">
        <v>0</v>
      </c>
      <c r="Q55" s="110"/>
      <c r="R55" s="39"/>
    </row>
    <row r="56" spans="4:18" x14ac:dyDescent="0.35">
      <c r="D56" s="6"/>
      <c r="E56" s="800" t="s">
        <v>31</v>
      </c>
      <c r="F56" s="32" t="s">
        <v>31</v>
      </c>
      <c r="G56" s="41">
        <v>15.3</v>
      </c>
      <c r="H56" s="42">
        <v>14.6</v>
      </c>
      <c r="I56" s="42">
        <v>14.3</v>
      </c>
      <c r="J56" s="134">
        <v>14.3</v>
      </c>
      <c r="K56" s="42">
        <v>14.3</v>
      </c>
      <c r="L56" s="42">
        <v>13.5</v>
      </c>
      <c r="M56" s="42">
        <v>12.8</v>
      </c>
      <c r="N56" s="42">
        <v>26.7</v>
      </c>
      <c r="O56" s="42">
        <v>26.7</v>
      </c>
      <c r="P56" s="42">
        <v>26.7</v>
      </c>
      <c r="Q56" s="42"/>
      <c r="R56" s="43"/>
    </row>
    <row r="57" spans="4:18" s="10" customFormat="1" ht="15" thickBot="1" x14ac:dyDescent="0.4">
      <c r="D57" s="12"/>
      <c r="E57" s="839"/>
      <c r="F57" s="117" t="s">
        <v>72</v>
      </c>
      <c r="G57" s="35">
        <v>15.3</v>
      </c>
      <c r="H57" s="110">
        <v>14.6</v>
      </c>
      <c r="I57" s="110">
        <v>14.3</v>
      </c>
      <c r="J57" s="112">
        <v>14.3</v>
      </c>
      <c r="K57" s="112">
        <v>14.3</v>
      </c>
      <c r="L57" s="112">
        <v>13.5</v>
      </c>
      <c r="M57" s="110">
        <v>12.8</v>
      </c>
      <c r="N57" s="110">
        <v>26.7</v>
      </c>
      <c r="O57" s="110">
        <v>26.7</v>
      </c>
      <c r="P57" s="110">
        <v>26.7</v>
      </c>
      <c r="Q57" s="110"/>
      <c r="R57" s="39"/>
    </row>
    <row r="58" spans="4:18" x14ac:dyDescent="0.35">
      <c r="D58" s="6"/>
      <c r="E58" s="800" t="s">
        <v>87</v>
      </c>
      <c r="F58" s="119" t="s">
        <v>14</v>
      </c>
      <c r="G58" s="29">
        <v>45.7</v>
      </c>
      <c r="H58" s="37">
        <v>48</v>
      </c>
      <c r="I58" s="37">
        <v>43.1</v>
      </c>
      <c r="J58" s="37">
        <v>34.700000000000003</v>
      </c>
      <c r="K58" s="37">
        <v>22.9</v>
      </c>
      <c r="L58" s="37">
        <v>66.400000000000006</v>
      </c>
      <c r="M58" s="37">
        <v>36.6</v>
      </c>
      <c r="N58" s="37">
        <v>49.5</v>
      </c>
      <c r="O58" s="37">
        <v>56.1</v>
      </c>
      <c r="P58" s="37">
        <v>47.5</v>
      </c>
      <c r="Q58" s="37"/>
      <c r="R58" s="31"/>
    </row>
    <row r="59" spans="4:18" x14ac:dyDescent="0.35">
      <c r="D59" s="6"/>
      <c r="E59" s="807"/>
      <c r="F59" s="119" t="s">
        <v>85</v>
      </c>
      <c r="G59" s="29">
        <v>0</v>
      </c>
      <c r="H59" s="37">
        <v>0</v>
      </c>
      <c r="I59" s="37">
        <v>0</v>
      </c>
      <c r="J59" s="37">
        <v>0</v>
      </c>
      <c r="K59" s="37">
        <v>0</v>
      </c>
      <c r="L59" s="37">
        <v>0</v>
      </c>
      <c r="M59" s="37">
        <v>0</v>
      </c>
      <c r="N59" s="37">
        <v>0</v>
      </c>
      <c r="O59" s="37">
        <v>0</v>
      </c>
      <c r="P59" s="37">
        <v>0</v>
      </c>
      <c r="Q59" s="37"/>
      <c r="R59" s="31"/>
    </row>
    <row r="60" spans="4:18" x14ac:dyDescent="0.35">
      <c r="D60" s="6"/>
      <c r="E60" s="807"/>
      <c r="F60" s="32" t="s">
        <v>15</v>
      </c>
      <c r="G60" s="33">
        <v>238.9</v>
      </c>
      <c r="H60" s="38">
        <v>281.2</v>
      </c>
      <c r="I60" s="38">
        <v>248.9</v>
      </c>
      <c r="J60" s="38">
        <v>286.5</v>
      </c>
      <c r="K60" s="38">
        <v>311.7</v>
      </c>
      <c r="L60" s="38">
        <v>249.3</v>
      </c>
      <c r="M60" s="38">
        <v>258.8</v>
      </c>
      <c r="N60" s="38">
        <v>360.5</v>
      </c>
      <c r="O60" s="38">
        <v>391.8</v>
      </c>
      <c r="P60" s="38">
        <v>314</v>
      </c>
      <c r="Q60" s="38"/>
      <c r="R60" s="34"/>
    </row>
    <row r="61" spans="4:18" s="10" customFormat="1" ht="15" thickBot="1" x14ac:dyDescent="0.4">
      <c r="D61" s="12"/>
      <c r="E61" s="839"/>
      <c r="F61" s="117" t="s">
        <v>72</v>
      </c>
      <c r="G61" s="135">
        <v>284.60000000000002</v>
      </c>
      <c r="H61" s="110">
        <v>329.2</v>
      </c>
      <c r="I61" s="110">
        <v>292</v>
      </c>
      <c r="J61" s="110">
        <v>321.2</v>
      </c>
      <c r="K61" s="110">
        <v>334.59999999999997</v>
      </c>
      <c r="L61" s="110">
        <v>315.70000000000005</v>
      </c>
      <c r="M61" s="110">
        <v>295.40000000000003</v>
      </c>
      <c r="N61" s="110">
        <v>410</v>
      </c>
      <c r="O61" s="110">
        <v>447.90000000000003</v>
      </c>
      <c r="P61" s="110">
        <v>361.5</v>
      </c>
      <c r="Q61" s="110"/>
      <c r="R61" s="177"/>
    </row>
    <row r="62" spans="4:18" ht="15" thickBot="1" x14ac:dyDescent="0.4">
      <c r="D62" s="6"/>
      <c r="E62" s="879" t="s">
        <v>48</v>
      </c>
      <c r="F62" s="880"/>
      <c r="G62" s="136">
        <v>3679.4999999999991</v>
      </c>
      <c r="H62" s="125">
        <v>3396.1</v>
      </c>
      <c r="I62" s="125">
        <v>3794.6</v>
      </c>
      <c r="J62" s="125">
        <v>4037.6</v>
      </c>
      <c r="K62" s="125">
        <v>4051.8</v>
      </c>
      <c r="L62" s="125">
        <v>3245.4000000000005</v>
      </c>
      <c r="M62" s="125">
        <v>3016.8</v>
      </c>
      <c r="N62" s="125">
        <v>3814.1000000000004</v>
      </c>
      <c r="O62" s="125">
        <v>3634.4</v>
      </c>
      <c r="P62" s="125">
        <v>3321.8999999999996</v>
      </c>
      <c r="Q62" s="125"/>
      <c r="R62" s="120"/>
    </row>
    <row r="63" spans="4:18" ht="15" thickBot="1" x14ac:dyDescent="0.4">
      <c r="D63" s="6"/>
      <c r="E63" s="881" t="s">
        <v>88</v>
      </c>
      <c r="F63" s="882"/>
      <c r="G63" s="124">
        <v>26328.1</v>
      </c>
      <c r="H63" s="124">
        <v>27807.599999999999</v>
      </c>
      <c r="I63" s="124">
        <v>31297.4</v>
      </c>
      <c r="J63" s="124">
        <v>35749.199999999997</v>
      </c>
      <c r="K63" s="124">
        <v>38872.1</v>
      </c>
      <c r="L63" s="124">
        <v>41499</v>
      </c>
      <c r="M63" s="124">
        <v>40923.5</v>
      </c>
      <c r="N63" s="124">
        <v>41329.4</v>
      </c>
      <c r="O63" s="124">
        <v>41116.699999999997</v>
      </c>
      <c r="P63" s="124">
        <v>44827.7</v>
      </c>
      <c r="Q63" s="124"/>
      <c r="R63" s="123"/>
    </row>
    <row r="64" spans="4:18" ht="15" thickBot="1" x14ac:dyDescent="0.4">
      <c r="D64" s="6"/>
      <c r="E64" s="881" t="s">
        <v>68</v>
      </c>
      <c r="F64" s="882"/>
      <c r="G64" s="122">
        <v>3108</v>
      </c>
      <c r="H64" s="122">
        <v>3554.3</v>
      </c>
      <c r="I64" s="122">
        <v>4342.3999999999996</v>
      </c>
      <c r="J64" s="122">
        <v>4204.8999999999996</v>
      </c>
      <c r="K64" s="122">
        <v>4254.5</v>
      </c>
      <c r="L64" s="122">
        <v>4980.8</v>
      </c>
      <c r="M64" s="122">
        <v>5391.7</v>
      </c>
      <c r="N64" s="122">
        <v>5185.5</v>
      </c>
      <c r="O64" s="122">
        <v>3927.6</v>
      </c>
      <c r="P64" s="122">
        <v>3183.7</v>
      </c>
      <c r="Q64" s="122"/>
      <c r="R64" s="123"/>
    </row>
    <row r="65" spans="4:18" ht="15" thickBot="1" x14ac:dyDescent="0.4">
      <c r="D65" s="6"/>
      <c r="E65" s="879" t="s">
        <v>35</v>
      </c>
      <c r="F65" s="880"/>
      <c r="G65" s="125">
        <v>33115.599999999999</v>
      </c>
      <c r="H65" s="125">
        <v>34758</v>
      </c>
      <c r="I65" s="125">
        <v>39434.400000000001</v>
      </c>
      <c r="J65" s="125">
        <v>43991.7</v>
      </c>
      <c r="K65" s="125">
        <v>47178.400000000001</v>
      </c>
      <c r="L65" s="125">
        <v>49725.200000000004</v>
      </c>
      <c r="M65" s="125">
        <v>49332</v>
      </c>
      <c r="N65" s="125">
        <v>50329</v>
      </c>
      <c r="O65" s="125">
        <v>48678.7</v>
      </c>
      <c r="P65" s="125">
        <v>51333.299999999996</v>
      </c>
      <c r="Q65" s="125"/>
      <c r="R65" s="120"/>
    </row>
    <row r="66" spans="4:18" ht="15" thickBot="1" x14ac:dyDescent="0.4">
      <c r="E66" s="883" t="s">
        <v>91</v>
      </c>
      <c r="F66" s="884"/>
      <c r="G66" s="137">
        <v>1922</v>
      </c>
      <c r="H66" s="137">
        <v>1915</v>
      </c>
      <c r="I66" s="137">
        <v>1907</v>
      </c>
      <c r="J66" s="137">
        <v>1906</v>
      </c>
      <c r="K66" s="137">
        <v>1901</v>
      </c>
      <c r="L66" s="137">
        <v>1896</v>
      </c>
      <c r="M66" s="137">
        <v>1894</v>
      </c>
      <c r="N66" s="137">
        <v>1888</v>
      </c>
      <c r="O66" s="137">
        <v>1880</v>
      </c>
      <c r="P66" s="137">
        <v>1857</v>
      </c>
      <c r="Q66" s="137"/>
      <c r="R66" s="178"/>
    </row>
    <row r="67" spans="4:18" ht="5.25" customHeight="1" x14ac:dyDescent="0.35">
      <c r="E67" s="49"/>
      <c r="F67" s="49"/>
      <c r="G67" s="49"/>
      <c r="H67" s="49"/>
      <c r="I67" s="49"/>
      <c r="J67" s="49"/>
      <c r="K67" s="49"/>
      <c r="L67" s="49"/>
      <c r="M67" s="49"/>
      <c r="N67" s="49"/>
      <c r="O67" s="49"/>
      <c r="P67" s="49"/>
      <c r="Q67" s="7"/>
      <c r="R67" s="7"/>
    </row>
    <row r="68" spans="4:18" x14ac:dyDescent="0.35">
      <c r="E68" s="842" t="s">
        <v>92</v>
      </c>
      <c r="F68" s="842"/>
      <c r="G68" s="842"/>
      <c r="H68" s="842"/>
      <c r="I68" s="842"/>
      <c r="J68" s="842"/>
      <c r="K68" s="842"/>
      <c r="L68" s="842"/>
      <c r="M68" s="842"/>
      <c r="N68" s="842"/>
      <c r="O68" s="842"/>
      <c r="P68" s="842"/>
      <c r="Q68" s="842"/>
      <c r="R68" s="842"/>
    </row>
    <row r="69" spans="4:18" ht="12.75" customHeight="1" x14ac:dyDescent="0.35">
      <c r="E69" s="842" t="s">
        <v>93</v>
      </c>
      <c r="F69" s="842"/>
      <c r="G69" s="842"/>
      <c r="H69" s="842"/>
      <c r="I69" s="842"/>
      <c r="J69" s="842"/>
      <c r="K69" s="842"/>
      <c r="L69" s="842"/>
      <c r="M69" s="842"/>
      <c r="N69" s="842"/>
      <c r="O69" s="842"/>
      <c r="P69" s="842"/>
      <c r="Q69" s="842"/>
      <c r="R69" s="842"/>
    </row>
    <row r="70" spans="4:18" ht="13.5" customHeight="1" x14ac:dyDescent="0.35">
      <c r="E70" s="275" t="s">
        <v>86</v>
      </c>
      <c r="F70" s="275"/>
      <c r="G70" s="275"/>
      <c r="H70" s="275"/>
      <c r="I70" s="275"/>
      <c r="J70" s="275"/>
      <c r="K70" s="275"/>
      <c r="L70" s="275"/>
      <c r="M70" s="275"/>
      <c r="N70" s="275"/>
      <c r="O70" s="275"/>
      <c r="P70" s="275"/>
      <c r="Q70" s="275"/>
      <c r="R70" s="261" t="s">
        <v>119</v>
      </c>
    </row>
  </sheetData>
  <customSheetViews>
    <customSheetView guid="{6654F670-CAA9-4C4A-B3D9-226402FC46BC}" scale="90" showPageBreaks="1" printArea="1" view="pageLayout" topLeftCell="E1">
      <selection activeCell="G7" sqref="G7:R66"/>
      <pageMargins left="0.70866141732283472" right="0.70866141732283472" top="0.65" bottom="0.72222222222222221" header="0.31496062992125984" footer="0.31496062992125984"/>
      <pageSetup paperSize="9" scale="48" orientation="landscape"/>
      <headerFooter>
        <oddHeader>&amp;L&amp;G&amp;RCAMPAÑA: 2025/2026. MES: JULIO
     Fecha de emisión de datos: 25/08/2026</oddHeader>
      </headerFooter>
    </customSheetView>
    <customSheetView guid="{89192556-592D-44A9-BA8C-EA83608B5C0F}" scale="90" showPageBreaks="1" printArea="1" view="pageLayout" topLeftCell="E1">
      <selection activeCell="G7" sqref="G7:R66"/>
      <pageMargins left="0.70866141732283472" right="0.70866141732283472" top="0.65" bottom="0.72222222222222221" header="0.31496062992125984" footer="0.31496062992125984"/>
      <pageSetup paperSize="9" scale="48" orientation="landscape"/>
      <headerFooter>
        <oddHeader>&amp;L&amp;G&amp;RCAMPAÑA: 2025/2026. MES: JULIO
     Fecha de emisión de datos: 25/08/2026</oddHeader>
      </headerFooter>
    </customSheetView>
  </customSheetViews>
  <mergeCells count="25">
    <mergeCell ref="E20:E21"/>
    <mergeCell ref="E1:R2"/>
    <mergeCell ref="E3:R3"/>
    <mergeCell ref="E5:R5"/>
    <mergeCell ref="E7:E15"/>
    <mergeCell ref="E16:E19"/>
    <mergeCell ref="E58:E61"/>
    <mergeCell ref="E22:E24"/>
    <mergeCell ref="E25:E30"/>
    <mergeCell ref="E31:E37"/>
    <mergeCell ref="E38:E42"/>
    <mergeCell ref="E43:E45"/>
    <mergeCell ref="E46:E47"/>
    <mergeCell ref="E48:E49"/>
    <mergeCell ref="E50:E51"/>
    <mergeCell ref="E52:E53"/>
    <mergeCell ref="E54:E55"/>
    <mergeCell ref="E56:E57"/>
    <mergeCell ref="E69:R69"/>
    <mergeCell ref="E62:F62"/>
    <mergeCell ref="E63:F63"/>
    <mergeCell ref="E64:F64"/>
    <mergeCell ref="E65:F65"/>
    <mergeCell ref="E66:F66"/>
    <mergeCell ref="E68:R68"/>
  </mergeCells>
  <pageMargins left="0.70866141732283472" right="0.70866141732283472" top="0.65" bottom="0.72222222222222221" header="0.31496062992125984" footer="0.31496062992125984"/>
  <pageSetup paperSize="9" scale="48" orientation="landscape" r:id="rId1"/>
  <headerFooter>
    <oddHeader>&amp;L&amp;G&amp;RCAMPAÑA: 2025/2026. MES: JULIO
     Fecha de emisión de datos: 25/08/2026</oddHeader>
  </headerFooter>
  <legacyDrawingHF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1:H68"/>
  <sheetViews>
    <sheetView view="pageLayout" zoomScaleNormal="100" zoomScaleSheetLayoutView="85" workbookViewId="0">
      <selection activeCell="B1" sqref="B1:H1"/>
    </sheetView>
  </sheetViews>
  <sheetFormatPr baseColWidth="10" defaultColWidth="11.453125" defaultRowHeight="14.5" x14ac:dyDescent="0.35"/>
  <cols>
    <col min="1" max="1" width="8.1796875" customWidth="1"/>
    <col min="2" max="2" width="4.81640625" customWidth="1"/>
    <col min="3" max="3" width="24.81640625" customWidth="1"/>
    <col min="4" max="4" width="23.54296875" bestFit="1" customWidth="1"/>
    <col min="5" max="5" width="17.1796875" bestFit="1" customWidth="1"/>
    <col min="6" max="6" width="15.81640625" bestFit="1" customWidth="1"/>
    <col min="7" max="7" width="10.54296875" customWidth="1"/>
    <col min="8" max="8" width="6.1796875" customWidth="1"/>
    <col min="9" max="9" width="4.26953125" customWidth="1"/>
  </cols>
  <sheetData>
    <row r="1" spans="2:8" ht="20.25" customHeight="1" x14ac:dyDescent="0.35">
      <c r="B1" s="761" t="s">
        <v>138</v>
      </c>
      <c r="C1" s="761"/>
      <c r="D1" s="761"/>
      <c r="E1" s="761"/>
      <c r="F1" s="761"/>
      <c r="G1" s="761"/>
      <c r="H1" s="761"/>
    </row>
    <row r="2" spans="2:8" ht="9" customHeight="1" x14ac:dyDescent="0.35">
      <c r="B2" s="761" t="s">
        <v>139</v>
      </c>
      <c r="C2" s="761"/>
      <c r="D2" s="761"/>
      <c r="E2" s="761"/>
      <c r="F2" s="761"/>
      <c r="G2" s="761"/>
      <c r="H2" s="761"/>
    </row>
    <row r="3" spans="2:8" ht="10.5" customHeight="1" x14ac:dyDescent="0.35">
      <c r="B3" s="761"/>
      <c r="C3" s="761"/>
      <c r="D3" s="761"/>
      <c r="E3" s="761"/>
      <c r="F3" s="761"/>
      <c r="G3" s="761"/>
      <c r="H3" s="761"/>
    </row>
    <row r="4" spans="2:8" ht="7.5" customHeight="1" thickBot="1" x14ac:dyDescent="0.4"/>
    <row r="5" spans="2:8" ht="15" thickBot="1" x14ac:dyDescent="0.4">
      <c r="B5" s="6"/>
      <c r="C5" s="900" t="s">
        <v>54</v>
      </c>
      <c r="D5" s="902" t="s">
        <v>4</v>
      </c>
      <c r="E5" s="904" t="s">
        <v>61</v>
      </c>
      <c r="F5" s="905"/>
      <c r="G5" s="906"/>
    </row>
    <row r="6" spans="2:8" ht="15" thickBot="1" x14ac:dyDescent="0.4">
      <c r="B6" s="6"/>
      <c r="C6" s="901"/>
      <c r="D6" s="903"/>
      <c r="E6" s="140" t="s">
        <v>62</v>
      </c>
      <c r="F6" s="141" t="s">
        <v>63</v>
      </c>
      <c r="G6" s="142" t="s">
        <v>48</v>
      </c>
    </row>
    <row r="7" spans="2:8" x14ac:dyDescent="0.35">
      <c r="B7" s="6"/>
      <c r="C7" s="885" t="s">
        <v>74</v>
      </c>
      <c r="D7" s="97" t="s">
        <v>80</v>
      </c>
      <c r="E7" s="143">
        <v>26</v>
      </c>
      <c r="F7" s="144">
        <v>2</v>
      </c>
      <c r="G7" s="145">
        <v>28</v>
      </c>
    </row>
    <row r="8" spans="2:8" x14ac:dyDescent="0.35">
      <c r="B8" s="6"/>
      <c r="C8" s="895"/>
      <c r="D8" s="98" t="s">
        <v>81</v>
      </c>
      <c r="E8" s="146">
        <v>18</v>
      </c>
      <c r="F8" s="147">
        <v>5</v>
      </c>
      <c r="G8" s="148">
        <v>23</v>
      </c>
    </row>
    <row r="9" spans="2:8" x14ac:dyDescent="0.35">
      <c r="B9" s="6"/>
      <c r="C9" s="895"/>
      <c r="D9" s="98" t="s">
        <v>82</v>
      </c>
      <c r="E9" s="146">
        <v>128</v>
      </c>
      <c r="F9" s="147">
        <v>23</v>
      </c>
      <c r="G9" s="148">
        <v>151</v>
      </c>
    </row>
    <row r="10" spans="2:8" x14ac:dyDescent="0.35">
      <c r="B10" s="6"/>
      <c r="C10" s="895"/>
      <c r="D10" s="98" t="s">
        <v>6</v>
      </c>
      <c r="E10" s="146">
        <v>76</v>
      </c>
      <c r="F10" s="147">
        <v>5</v>
      </c>
      <c r="G10" s="148">
        <v>81</v>
      </c>
    </row>
    <row r="11" spans="2:8" x14ac:dyDescent="0.35">
      <c r="B11" s="6"/>
      <c r="C11" s="895"/>
      <c r="D11" s="98" t="s">
        <v>7</v>
      </c>
      <c r="E11" s="146">
        <v>19</v>
      </c>
      <c r="F11" s="147">
        <v>1</v>
      </c>
      <c r="G11" s="148">
        <v>20</v>
      </c>
    </row>
    <row r="12" spans="2:8" x14ac:dyDescent="0.35">
      <c r="B12" s="6"/>
      <c r="C12" s="895"/>
      <c r="D12" s="98" t="s">
        <v>83</v>
      </c>
      <c r="E12" s="146">
        <v>218</v>
      </c>
      <c r="F12" s="147">
        <v>36</v>
      </c>
      <c r="G12" s="148">
        <v>254</v>
      </c>
    </row>
    <row r="13" spans="2:8" x14ac:dyDescent="0.35">
      <c r="B13" s="6"/>
      <c r="C13" s="895"/>
      <c r="D13" s="98" t="s">
        <v>84</v>
      </c>
      <c r="E13" s="146">
        <v>59</v>
      </c>
      <c r="F13" s="147">
        <v>17</v>
      </c>
      <c r="G13" s="148">
        <v>76</v>
      </c>
    </row>
    <row r="14" spans="2:8" x14ac:dyDescent="0.35">
      <c r="B14" s="6"/>
      <c r="C14" s="895"/>
      <c r="D14" s="99" t="s">
        <v>8</v>
      </c>
      <c r="E14" s="149">
        <v>56</v>
      </c>
      <c r="F14" s="150">
        <v>21</v>
      </c>
      <c r="G14" s="151">
        <v>77</v>
      </c>
    </row>
    <row r="15" spans="2:8" ht="15" thickBot="1" x14ac:dyDescent="0.4">
      <c r="B15" s="6"/>
      <c r="C15" s="896"/>
      <c r="D15" s="100" t="s">
        <v>72</v>
      </c>
      <c r="E15" s="101">
        <v>600</v>
      </c>
      <c r="F15" s="152">
        <v>110</v>
      </c>
      <c r="G15" s="153">
        <v>710</v>
      </c>
    </row>
    <row r="16" spans="2:8" x14ac:dyDescent="0.35">
      <c r="C16" s="897" t="s">
        <v>75</v>
      </c>
      <c r="D16" s="98" t="s">
        <v>10</v>
      </c>
      <c r="E16" s="146">
        <v>27</v>
      </c>
      <c r="F16" s="147">
        <v>2</v>
      </c>
      <c r="G16" s="148">
        <v>29</v>
      </c>
    </row>
    <row r="17" spans="2:7" x14ac:dyDescent="0.35">
      <c r="C17" s="898"/>
      <c r="D17" s="98" t="s">
        <v>11</v>
      </c>
      <c r="E17" s="146">
        <v>26</v>
      </c>
      <c r="F17" s="258" t="s">
        <v>146</v>
      </c>
      <c r="G17" s="148">
        <v>26</v>
      </c>
    </row>
    <row r="18" spans="2:7" x14ac:dyDescent="0.35">
      <c r="C18" s="898"/>
      <c r="D18" s="99" t="s">
        <v>12</v>
      </c>
      <c r="E18" s="149">
        <v>39</v>
      </c>
      <c r="F18" s="150">
        <v>6</v>
      </c>
      <c r="G18" s="151">
        <v>45</v>
      </c>
    </row>
    <row r="19" spans="2:7" ht="15" thickBot="1" x14ac:dyDescent="0.4">
      <c r="C19" s="899"/>
      <c r="D19" s="100" t="s">
        <v>72</v>
      </c>
      <c r="E19" s="101">
        <v>92</v>
      </c>
      <c r="F19" s="152">
        <v>8</v>
      </c>
      <c r="G19" s="153">
        <v>100</v>
      </c>
    </row>
    <row r="20" spans="2:7" x14ac:dyDescent="0.35">
      <c r="C20" s="897" t="s">
        <v>13</v>
      </c>
      <c r="D20" s="102" t="s">
        <v>13</v>
      </c>
      <c r="E20" s="154">
        <v>24</v>
      </c>
      <c r="F20" s="155">
        <v>11</v>
      </c>
      <c r="G20" s="148">
        <v>35</v>
      </c>
    </row>
    <row r="21" spans="2:7" ht="15" thickBot="1" x14ac:dyDescent="0.4">
      <c r="C21" s="899"/>
      <c r="D21" s="100" t="s">
        <v>72</v>
      </c>
      <c r="E21" s="101">
        <v>24</v>
      </c>
      <c r="F21" s="152">
        <v>11</v>
      </c>
      <c r="G21" s="156">
        <v>35</v>
      </c>
    </row>
    <row r="22" spans="2:7" x14ac:dyDescent="0.35">
      <c r="C22" s="897" t="s">
        <v>151</v>
      </c>
      <c r="D22" s="97" t="s">
        <v>152</v>
      </c>
      <c r="E22" s="146">
        <v>7</v>
      </c>
      <c r="F22" s="147">
        <v>5</v>
      </c>
      <c r="G22" s="148">
        <v>12</v>
      </c>
    </row>
    <row r="23" spans="2:7" x14ac:dyDescent="0.35">
      <c r="C23" s="898"/>
      <c r="D23" s="99" t="s">
        <v>153</v>
      </c>
      <c r="E23" s="146">
        <v>4</v>
      </c>
      <c r="F23" s="258" t="s">
        <v>146</v>
      </c>
      <c r="G23" s="148">
        <v>4</v>
      </c>
    </row>
    <row r="24" spans="2:7" ht="15" thickBot="1" x14ac:dyDescent="0.4">
      <c r="C24" s="899"/>
      <c r="D24" s="103" t="s">
        <v>72</v>
      </c>
      <c r="E24" s="157">
        <v>11</v>
      </c>
      <c r="F24" s="158">
        <v>5</v>
      </c>
      <c r="G24" s="288">
        <v>16</v>
      </c>
    </row>
    <row r="25" spans="2:7" x14ac:dyDescent="0.35">
      <c r="B25" s="6"/>
      <c r="C25" s="885" t="s">
        <v>73</v>
      </c>
      <c r="D25" s="97" t="s">
        <v>16</v>
      </c>
      <c r="E25" s="146">
        <v>36</v>
      </c>
      <c r="F25" s="147">
        <v>6</v>
      </c>
      <c r="G25" s="148">
        <v>42</v>
      </c>
    </row>
    <row r="26" spans="2:7" x14ac:dyDescent="0.35">
      <c r="B26" s="6"/>
      <c r="C26" s="895"/>
      <c r="D26" s="98" t="s">
        <v>17</v>
      </c>
      <c r="E26" s="146">
        <v>69</v>
      </c>
      <c r="F26" s="147">
        <v>10</v>
      </c>
      <c r="G26" s="148">
        <v>79</v>
      </c>
    </row>
    <row r="27" spans="2:7" x14ac:dyDescent="0.35">
      <c r="B27" s="6"/>
      <c r="C27" s="895"/>
      <c r="D27" s="98" t="s">
        <v>18</v>
      </c>
      <c r="E27" s="146">
        <v>24</v>
      </c>
      <c r="F27" s="147">
        <v>2</v>
      </c>
      <c r="G27" s="148">
        <v>26</v>
      </c>
    </row>
    <row r="28" spans="2:7" x14ac:dyDescent="0.35">
      <c r="B28" s="6"/>
      <c r="C28" s="895"/>
      <c r="D28" s="98" t="s">
        <v>50</v>
      </c>
      <c r="E28" s="146">
        <v>7</v>
      </c>
      <c r="F28" s="258" t="s">
        <v>146</v>
      </c>
      <c r="G28" s="148">
        <v>7</v>
      </c>
    </row>
    <row r="29" spans="2:7" x14ac:dyDescent="0.35">
      <c r="B29" s="6"/>
      <c r="C29" s="895"/>
      <c r="D29" s="99" t="s">
        <v>19</v>
      </c>
      <c r="E29" s="149">
        <v>99</v>
      </c>
      <c r="F29" s="150">
        <v>7</v>
      </c>
      <c r="G29" s="151">
        <v>106</v>
      </c>
    </row>
    <row r="30" spans="2:7" ht="15" thickBot="1" x14ac:dyDescent="0.4">
      <c r="B30" s="6"/>
      <c r="C30" s="896"/>
      <c r="D30" s="100" t="s">
        <v>72</v>
      </c>
      <c r="E30" s="101">
        <v>235</v>
      </c>
      <c r="F30" s="152">
        <v>25</v>
      </c>
      <c r="G30" s="153">
        <v>260</v>
      </c>
    </row>
    <row r="31" spans="2:7" x14ac:dyDescent="0.35">
      <c r="B31" s="6"/>
      <c r="C31" s="885" t="s">
        <v>76</v>
      </c>
      <c r="D31" s="98" t="s">
        <v>78</v>
      </c>
      <c r="E31" s="146">
        <v>9</v>
      </c>
      <c r="F31" s="258" t="s">
        <v>146</v>
      </c>
      <c r="G31" s="148">
        <v>9</v>
      </c>
    </row>
    <row r="32" spans="2:7" x14ac:dyDescent="0.35">
      <c r="B32" s="6"/>
      <c r="C32" s="887"/>
      <c r="D32" s="98" t="s">
        <v>154</v>
      </c>
      <c r="E32" s="297" t="s">
        <v>146</v>
      </c>
      <c r="F32" s="147">
        <v>1</v>
      </c>
      <c r="G32" s="148">
        <v>1</v>
      </c>
    </row>
    <row r="33" spans="2:8" x14ac:dyDescent="0.35">
      <c r="B33" s="6"/>
      <c r="C33" s="887"/>
      <c r="D33" s="98" t="s">
        <v>157</v>
      </c>
      <c r="E33" s="297" t="s">
        <v>146</v>
      </c>
      <c r="F33" s="258" t="s">
        <v>146</v>
      </c>
      <c r="G33" s="303" t="s">
        <v>146</v>
      </c>
    </row>
    <row r="34" spans="2:8" x14ac:dyDescent="0.35">
      <c r="B34" s="6"/>
      <c r="C34" s="895"/>
      <c r="D34" s="98" t="s">
        <v>20</v>
      </c>
      <c r="E34" s="146">
        <v>4</v>
      </c>
      <c r="F34" s="147">
        <v>2</v>
      </c>
      <c r="G34" s="148">
        <v>6</v>
      </c>
    </row>
    <row r="35" spans="2:8" x14ac:dyDescent="0.35">
      <c r="B35" s="6"/>
      <c r="C35" s="895"/>
      <c r="D35" s="98" t="s">
        <v>149</v>
      </c>
      <c r="E35" s="146">
        <v>1</v>
      </c>
      <c r="F35" s="258" t="s">
        <v>146</v>
      </c>
      <c r="G35" s="148">
        <v>1</v>
      </c>
    </row>
    <row r="36" spans="2:8" x14ac:dyDescent="0.35">
      <c r="B36" s="6"/>
      <c r="C36" s="895"/>
      <c r="D36" s="99" t="s">
        <v>21</v>
      </c>
      <c r="E36" s="149">
        <v>4</v>
      </c>
      <c r="F36" s="150">
        <v>5</v>
      </c>
      <c r="G36" s="151">
        <v>9</v>
      </c>
    </row>
    <row r="37" spans="2:8" ht="15" thickBot="1" x14ac:dyDescent="0.4">
      <c r="B37" s="6"/>
      <c r="C37" s="896"/>
      <c r="D37" s="100" t="s">
        <v>72</v>
      </c>
      <c r="E37" s="101">
        <v>18</v>
      </c>
      <c r="F37" s="152">
        <v>8</v>
      </c>
      <c r="G37" s="153">
        <v>26</v>
      </c>
    </row>
    <row r="38" spans="2:8" x14ac:dyDescent="0.35">
      <c r="B38" s="6"/>
      <c r="C38" s="885" t="s">
        <v>22</v>
      </c>
      <c r="D38" s="98" t="s">
        <v>23</v>
      </c>
      <c r="E38" s="146">
        <v>9</v>
      </c>
      <c r="F38" s="147">
        <v>5</v>
      </c>
      <c r="G38" s="148">
        <v>14</v>
      </c>
    </row>
    <row r="39" spans="2:8" x14ac:dyDescent="0.35">
      <c r="B39" s="6"/>
      <c r="C39" s="895"/>
      <c r="D39" s="98" t="s">
        <v>24</v>
      </c>
      <c r="E39" s="146">
        <v>12</v>
      </c>
      <c r="F39" s="147">
        <v>2</v>
      </c>
      <c r="G39" s="148">
        <v>14</v>
      </c>
    </row>
    <row r="40" spans="2:8" x14ac:dyDescent="0.35">
      <c r="B40" s="6"/>
      <c r="C40" s="895"/>
      <c r="D40" s="98" t="s">
        <v>25</v>
      </c>
      <c r="E40" s="146">
        <v>54</v>
      </c>
      <c r="F40" s="147">
        <v>7</v>
      </c>
      <c r="G40" s="148">
        <v>61</v>
      </c>
    </row>
    <row r="41" spans="2:8" x14ac:dyDescent="0.35">
      <c r="B41" s="6"/>
      <c r="C41" s="895"/>
      <c r="D41" s="99" t="s">
        <v>26</v>
      </c>
      <c r="E41" s="149">
        <v>77</v>
      </c>
      <c r="F41" s="150">
        <v>14</v>
      </c>
      <c r="G41" s="151">
        <v>91</v>
      </c>
    </row>
    <row r="42" spans="2:8" ht="15" thickBot="1" x14ac:dyDescent="0.4">
      <c r="B42" s="6"/>
      <c r="C42" s="896"/>
      <c r="D42" s="100" t="s">
        <v>72</v>
      </c>
      <c r="E42" s="157">
        <v>152</v>
      </c>
      <c r="F42" s="158">
        <v>28</v>
      </c>
      <c r="G42" s="153">
        <v>180</v>
      </c>
    </row>
    <row r="43" spans="2:8" x14ac:dyDescent="0.35">
      <c r="B43" s="6"/>
      <c r="C43" s="885" t="s">
        <v>27</v>
      </c>
      <c r="D43" s="97" t="s">
        <v>28</v>
      </c>
      <c r="E43" s="143">
        <v>77</v>
      </c>
      <c r="F43" s="147">
        <v>6</v>
      </c>
      <c r="G43" s="148">
        <v>83</v>
      </c>
    </row>
    <row r="44" spans="2:8" x14ac:dyDescent="0.35">
      <c r="B44" s="6"/>
      <c r="C44" s="895"/>
      <c r="D44" s="99" t="s">
        <v>79</v>
      </c>
      <c r="E44" s="149">
        <v>45</v>
      </c>
      <c r="F44" s="150">
        <v>2</v>
      </c>
      <c r="G44" s="151">
        <v>47</v>
      </c>
    </row>
    <row r="45" spans="2:8" ht="15" thickBot="1" x14ac:dyDescent="0.4">
      <c r="B45" s="6"/>
      <c r="C45" s="896"/>
      <c r="D45" s="100" t="s">
        <v>72</v>
      </c>
      <c r="E45" s="157">
        <v>122</v>
      </c>
      <c r="F45" s="158">
        <v>8</v>
      </c>
      <c r="G45" s="153">
        <v>130</v>
      </c>
    </row>
    <row r="46" spans="2:8" x14ac:dyDescent="0.35">
      <c r="B46" s="6"/>
      <c r="C46" s="885" t="s">
        <v>29</v>
      </c>
      <c r="D46" s="102" t="s">
        <v>30</v>
      </c>
      <c r="E46" s="159">
        <v>4</v>
      </c>
      <c r="F46" s="301">
        <v>4</v>
      </c>
      <c r="G46" s="160">
        <v>8</v>
      </c>
      <c r="H46" s="4"/>
    </row>
    <row r="47" spans="2:8" ht="15" thickBot="1" x14ac:dyDescent="0.4">
      <c r="B47" s="6"/>
      <c r="C47" s="886"/>
      <c r="D47" s="100" t="s">
        <v>72</v>
      </c>
      <c r="E47" s="101">
        <v>4</v>
      </c>
      <c r="F47" s="152">
        <v>4</v>
      </c>
      <c r="G47" s="153">
        <v>8</v>
      </c>
    </row>
    <row r="48" spans="2:8" x14ac:dyDescent="0.35">
      <c r="B48" s="6"/>
      <c r="C48" s="885" t="s">
        <v>32</v>
      </c>
      <c r="D48" s="102" t="s">
        <v>32</v>
      </c>
      <c r="E48" s="161">
        <v>20</v>
      </c>
      <c r="F48" s="155">
        <v>3</v>
      </c>
      <c r="G48" s="162">
        <v>23</v>
      </c>
    </row>
    <row r="49" spans="2:7" ht="15" thickBot="1" x14ac:dyDescent="0.4">
      <c r="B49" s="6"/>
      <c r="C49" s="886"/>
      <c r="D49" s="100" t="s">
        <v>72</v>
      </c>
      <c r="E49" s="101">
        <v>20</v>
      </c>
      <c r="F49" s="152">
        <v>3</v>
      </c>
      <c r="G49" s="153">
        <v>23</v>
      </c>
    </row>
    <row r="50" spans="2:7" x14ac:dyDescent="0.35">
      <c r="B50" s="6"/>
      <c r="C50" s="885" t="s">
        <v>33</v>
      </c>
      <c r="D50" s="102" t="s">
        <v>33</v>
      </c>
      <c r="E50" s="161">
        <v>42</v>
      </c>
      <c r="F50" s="155">
        <v>4</v>
      </c>
      <c r="G50" s="162">
        <v>46</v>
      </c>
    </row>
    <row r="51" spans="2:7" ht="15" thickBot="1" x14ac:dyDescent="0.4">
      <c r="B51" s="6"/>
      <c r="C51" s="886"/>
      <c r="D51" s="100" t="s">
        <v>72</v>
      </c>
      <c r="E51" s="101">
        <v>42</v>
      </c>
      <c r="F51" s="152">
        <v>4</v>
      </c>
      <c r="G51" s="153">
        <v>46</v>
      </c>
    </row>
    <row r="52" spans="2:7" x14ac:dyDescent="0.35">
      <c r="B52" s="6"/>
      <c r="C52" s="885" t="s">
        <v>34</v>
      </c>
      <c r="D52" s="102" t="s">
        <v>34</v>
      </c>
      <c r="E52" s="161">
        <v>18</v>
      </c>
      <c r="F52" s="155">
        <v>2</v>
      </c>
      <c r="G52" s="162">
        <v>20</v>
      </c>
    </row>
    <row r="53" spans="2:7" ht="15" thickBot="1" x14ac:dyDescent="0.4">
      <c r="B53" s="6"/>
      <c r="C53" s="886"/>
      <c r="D53" s="100" t="s">
        <v>72</v>
      </c>
      <c r="E53" s="101">
        <v>18</v>
      </c>
      <c r="F53" s="152">
        <v>2</v>
      </c>
      <c r="G53" s="153">
        <v>20</v>
      </c>
    </row>
    <row r="54" spans="2:7" x14ac:dyDescent="0.35">
      <c r="B54" s="6"/>
      <c r="C54" s="885" t="s">
        <v>77</v>
      </c>
      <c r="D54" s="102" t="s">
        <v>30</v>
      </c>
      <c r="E54" s="161">
        <v>5</v>
      </c>
      <c r="F54" s="155">
        <v>1</v>
      </c>
      <c r="G54" s="162">
        <v>6</v>
      </c>
    </row>
    <row r="55" spans="2:7" ht="15" thickBot="1" x14ac:dyDescent="0.4">
      <c r="B55" s="6"/>
      <c r="C55" s="886"/>
      <c r="D55" s="103" t="s">
        <v>72</v>
      </c>
      <c r="E55" s="101">
        <v>5</v>
      </c>
      <c r="F55" s="152">
        <v>1</v>
      </c>
      <c r="G55" s="153">
        <v>6</v>
      </c>
    </row>
    <row r="56" spans="2:7" x14ac:dyDescent="0.35">
      <c r="B56" s="6"/>
      <c r="C56" s="885" t="s">
        <v>31</v>
      </c>
      <c r="D56" s="99" t="s">
        <v>31</v>
      </c>
      <c r="E56" s="161">
        <v>20</v>
      </c>
      <c r="F56" s="155">
        <v>3</v>
      </c>
      <c r="G56" s="162">
        <v>23</v>
      </c>
    </row>
    <row r="57" spans="2:7" ht="15" thickBot="1" x14ac:dyDescent="0.4">
      <c r="B57" s="6"/>
      <c r="C57" s="886"/>
      <c r="D57" s="100" t="s">
        <v>72</v>
      </c>
      <c r="E57" s="101">
        <v>20</v>
      </c>
      <c r="F57" s="152">
        <v>3</v>
      </c>
      <c r="G57" s="153">
        <v>23</v>
      </c>
    </row>
    <row r="58" spans="2:7" x14ac:dyDescent="0.35">
      <c r="B58" s="6"/>
      <c r="C58" s="885" t="s">
        <v>87</v>
      </c>
      <c r="D58" s="97" t="s">
        <v>14</v>
      </c>
      <c r="E58" s="146">
        <v>39</v>
      </c>
      <c r="F58" s="147">
        <v>5</v>
      </c>
      <c r="G58" s="148">
        <v>44</v>
      </c>
    </row>
    <row r="59" spans="2:7" x14ac:dyDescent="0.35">
      <c r="B59" s="6"/>
      <c r="C59" s="887"/>
      <c r="D59" s="98" t="s">
        <v>85</v>
      </c>
      <c r="E59" s="146">
        <v>39</v>
      </c>
      <c r="F59" s="147">
        <v>1</v>
      </c>
      <c r="G59" s="148">
        <v>40</v>
      </c>
    </row>
    <row r="60" spans="2:7" x14ac:dyDescent="0.35">
      <c r="B60" s="6"/>
      <c r="C60" s="887"/>
      <c r="D60" s="99" t="s">
        <v>15</v>
      </c>
      <c r="E60" s="149">
        <v>44</v>
      </c>
      <c r="F60" s="150">
        <v>11</v>
      </c>
      <c r="G60" s="151">
        <v>55</v>
      </c>
    </row>
    <row r="61" spans="2:7" ht="15" thickBot="1" x14ac:dyDescent="0.4">
      <c r="B61" s="6"/>
      <c r="C61" s="886"/>
      <c r="D61" s="100" t="s">
        <v>72</v>
      </c>
      <c r="E61" s="163">
        <v>122</v>
      </c>
      <c r="F61" s="158">
        <v>17</v>
      </c>
      <c r="G61" s="153">
        <v>139</v>
      </c>
    </row>
    <row r="62" spans="2:7" ht="15" thickBot="1" x14ac:dyDescent="0.4">
      <c r="B62" s="6"/>
      <c r="C62" s="888" t="s">
        <v>48</v>
      </c>
      <c r="D62" s="889"/>
      <c r="E62" s="164">
        <v>1485</v>
      </c>
      <c r="F62" s="164">
        <v>237</v>
      </c>
      <c r="G62" s="165">
        <v>1722</v>
      </c>
    </row>
    <row r="63" spans="2:7" ht="15" thickBot="1" x14ac:dyDescent="0.4">
      <c r="C63" s="890" t="s">
        <v>88</v>
      </c>
      <c r="D63" s="891"/>
      <c r="E63" s="259"/>
      <c r="F63" s="259"/>
      <c r="G63" s="166">
        <v>52</v>
      </c>
    </row>
    <row r="64" spans="2:7" ht="15" thickBot="1" x14ac:dyDescent="0.4">
      <c r="C64" s="890" t="s">
        <v>68</v>
      </c>
      <c r="D64" s="891"/>
      <c r="E64" s="259"/>
      <c r="F64" s="259"/>
      <c r="G64" s="166">
        <v>72</v>
      </c>
    </row>
    <row r="65" spans="3:7" ht="15" thickBot="1" x14ac:dyDescent="0.4">
      <c r="C65" s="892" t="s">
        <v>35</v>
      </c>
      <c r="D65" s="889"/>
      <c r="E65" s="304"/>
      <c r="F65" s="304"/>
      <c r="G65" s="165">
        <v>1846</v>
      </c>
    </row>
    <row r="66" spans="3:7" ht="5.25" customHeight="1" x14ac:dyDescent="0.35">
      <c r="C66" s="109"/>
      <c r="D66" s="109"/>
      <c r="E66" s="109"/>
      <c r="F66" s="109"/>
      <c r="G66" s="109"/>
    </row>
    <row r="67" spans="3:7" ht="24" customHeight="1" x14ac:dyDescent="0.35">
      <c r="C67" s="893" t="s">
        <v>96</v>
      </c>
      <c r="D67" s="894"/>
      <c r="E67" s="894"/>
      <c r="F67" s="894"/>
      <c r="G67" s="894"/>
    </row>
    <row r="68" spans="3:7" ht="11.25" customHeight="1" x14ac:dyDescent="0.35">
      <c r="C68" s="791" t="s">
        <v>119</v>
      </c>
      <c r="D68" s="791"/>
      <c r="E68" s="791"/>
      <c r="F68" s="791"/>
      <c r="G68" s="791"/>
    </row>
  </sheetData>
  <customSheetViews>
    <customSheetView guid="{6654F670-CAA9-4C4A-B3D9-226402FC46BC}" showPageBreaks="1" printArea="1" view="pageLayout">
      <selection activeCell="E7" sqref="E7:G65"/>
      <pageMargins left="0.70866141732283472" right="0.70866141732283472" top="0.85562499999999997" bottom="0.6166666666666667" header="0.31496062992125984" footer="0.31496062992125984"/>
      <pageSetup paperSize="9" scale="74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howPageBreaks="1" printArea="1" view="pageLayout">
      <selection activeCell="E7" sqref="E7:G65"/>
      <pageMargins left="0.70866141732283472" right="0.70866141732283472" top="0.85562499999999997" bottom="0.6166666666666667" header="0.31496062992125984" footer="0.31496062992125984"/>
      <pageSetup paperSize="9" scale="74" orientation="portrait"/>
      <headerFooter>
        <oddHeader>&amp;L&amp;G&amp;RCAMPAÑA: 2025/2026. MES: JULIO
Fecha de emisión de datos: 25/08/2026</oddHeader>
      </headerFooter>
    </customSheetView>
  </customSheetViews>
  <mergeCells count="26">
    <mergeCell ref="B1:H1"/>
    <mergeCell ref="B2:H3"/>
    <mergeCell ref="C5:C6"/>
    <mergeCell ref="D5:D6"/>
    <mergeCell ref="E5:G5"/>
    <mergeCell ref="C43:C45"/>
    <mergeCell ref="C46:C47"/>
    <mergeCell ref="C48:C49"/>
    <mergeCell ref="C50:C51"/>
    <mergeCell ref="C7:C15"/>
    <mergeCell ref="C16:C19"/>
    <mergeCell ref="C20:C21"/>
    <mergeCell ref="C25:C30"/>
    <mergeCell ref="C31:C37"/>
    <mergeCell ref="C38:C42"/>
    <mergeCell ref="C22:C24"/>
    <mergeCell ref="C52:C53"/>
    <mergeCell ref="C54:C55"/>
    <mergeCell ref="C68:G68"/>
    <mergeCell ref="C58:C61"/>
    <mergeCell ref="C62:D62"/>
    <mergeCell ref="C63:D63"/>
    <mergeCell ref="C64:D64"/>
    <mergeCell ref="C65:D65"/>
    <mergeCell ref="C67:G67"/>
    <mergeCell ref="C56:C57"/>
  </mergeCells>
  <pageMargins left="0.70866141732283472" right="0.70866141732283472" top="0.85562499999999997" bottom="0.6166666666666667" header="0.31496062992125984" footer="0.31496062992125984"/>
  <pageSetup paperSize="9" scale="74" orientation="portrait" r:id="rId1"/>
  <headerFooter>
    <oddHeader>&amp;L&amp;G&amp;RCAMPAÑA: 2025/2026. MES: JULIO
Fecha de emisión de datos: 25/08/2026</oddHeader>
  </headerFooter>
  <legacyDrawingHF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:N51"/>
  <sheetViews>
    <sheetView view="pageLayout" zoomScale="106" zoomScaleNormal="80" zoomScaleSheetLayoutView="100" zoomScalePageLayoutView="106" workbookViewId="0">
      <selection activeCell="B3" sqref="B3:N5"/>
    </sheetView>
  </sheetViews>
  <sheetFormatPr baseColWidth="10" defaultColWidth="11.453125" defaultRowHeight="14.5" x14ac:dyDescent="0.35"/>
  <cols>
    <col min="1" max="1" width="7.453125" customWidth="1"/>
    <col min="2" max="2" width="26" customWidth="1"/>
    <col min="3" max="3" width="17.453125" bestFit="1" customWidth="1"/>
    <col min="4" max="4" width="7.81640625" customWidth="1"/>
    <col min="5" max="5" width="10.54296875" customWidth="1"/>
    <col min="6" max="6" width="13" customWidth="1"/>
    <col min="7" max="7" width="11.26953125" customWidth="1"/>
    <col min="8" max="8" width="12.81640625" customWidth="1"/>
    <col min="9" max="9" width="12.54296875" customWidth="1"/>
    <col min="10" max="10" width="12" bestFit="1" customWidth="1"/>
    <col min="11" max="11" width="9.1796875" customWidth="1"/>
    <col min="12" max="12" width="11.7265625" customWidth="1"/>
    <col min="13" max="13" width="10.54296875" customWidth="1"/>
    <col min="14" max="14" width="12.1796875" customWidth="1"/>
    <col min="15" max="15" width="1.1796875" customWidth="1"/>
  </cols>
  <sheetData>
    <row r="3" spans="1:14" ht="15" customHeight="1" x14ac:dyDescent="0.35">
      <c r="B3" s="761" t="s">
        <v>123</v>
      </c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</row>
    <row r="4" spans="1:14" ht="15" customHeight="1" x14ac:dyDescent="0.35"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</row>
    <row r="5" spans="1:14" ht="24" customHeight="1" x14ac:dyDescent="0.35"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  <c r="N5" s="761"/>
    </row>
    <row r="6" spans="1:14" ht="24" customHeight="1" x14ac:dyDescent="0.35"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</row>
    <row r="7" spans="1:14" ht="15" thickBot="1" x14ac:dyDescent="0.4"/>
    <row r="8" spans="1:14" ht="15" thickBot="1" x14ac:dyDescent="0.4">
      <c r="B8" s="65"/>
      <c r="C8" s="65"/>
      <c r="D8" s="269"/>
      <c r="E8" s="875" t="s">
        <v>59</v>
      </c>
      <c r="F8" s="875"/>
      <c r="G8" s="875" t="s">
        <v>109</v>
      </c>
      <c r="H8" s="875"/>
      <c r="I8" s="875" t="s">
        <v>110</v>
      </c>
      <c r="J8" s="875"/>
      <c r="K8" s="875" t="s">
        <v>111</v>
      </c>
      <c r="L8" s="875"/>
      <c r="M8" s="875" t="s">
        <v>3</v>
      </c>
      <c r="N8" s="875"/>
    </row>
    <row r="9" spans="1:14" ht="15" thickBot="1" x14ac:dyDescent="0.4">
      <c r="A9" s="6"/>
      <c r="B9" s="268" t="s">
        <v>54</v>
      </c>
      <c r="C9" s="268" t="s">
        <v>105</v>
      </c>
      <c r="D9" s="268" t="s">
        <v>100</v>
      </c>
      <c r="E9" s="66" t="s">
        <v>106</v>
      </c>
      <c r="F9" s="66" t="s">
        <v>107</v>
      </c>
      <c r="G9" s="66" t="s">
        <v>106</v>
      </c>
      <c r="H9" s="66" t="s">
        <v>107</v>
      </c>
      <c r="I9" s="66" t="s">
        <v>106</v>
      </c>
      <c r="J9" s="66" t="s">
        <v>107</v>
      </c>
      <c r="K9" s="66" t="s">
        <v>106</v>
      </c>
      <c r="L9" s="66" t="s">
        <v>107</v>
      </c>
      <c r="M9" s="66" t="s">
        <v>106</v>
      </c>
      <c r="N9" s="66" t="s">
        <v>107</v>
      </c>
    </row>
    <row r="10" spans="1:14" ht="15" thickBot="1" x14ac:dyDescent="0.4">
      <c r="A10" s="6"/>
      <c r="B10" s="167" t="s">
        <v>74</v>
      </c>
      <c r="C10" s="168">
        <v>44</v>
      </c>
      <c r="D10" s="168">
        <v>42</v>
      </c>
      <c r="E10" s="169">
        <v>296.24</v>
      </c>
      <c r="F10" s="169">
        <v>9811.02</v>
      </c>
      <c r="G10" s="169">
        <v>13248.02</v>
      </c>
      <c r="H10" s="169">
        <v>69228.740000000005</v>
      </c>
      <c r="I10" s="169">
        <v>12022.09</v>
      </c>
      <c r="J10" s="169">
        <v>62878.720000000001</v>
      </c>
      <c r="K10" s="169">
        <v>2.74</v>
      </c>
      <c r="L10" s="169">
        <v>-1762.48</v>
      </c>
      <c r="M10" s="169">
        <v>1524.91</v>
      </c>
      <c r="N10" s="169">
        <v>14398.56</v>
      </c>
    </row>
    <row r="11" spans="1:14" ht="15" thickBot="1" x14ac:dyDescent="0.4">
      <c r="A11" s="6"/>
      <c r="B11" s="167" t="s">
        <v>108</v>
      </c>
      <c r="C11" s="168">
        <v>24</v>
      </c>
      <c r="D11" s="168">
        <v>23</v>
      </c>
      <c r="E11" s="169">
        <v>481.43</v>
      </c>
      <c r="F11" s="169">
        <v>5815.04</v>
      </c>
      <c r="G11" s="169">
        <v>14632.72</v>
      </c>
      <c r="H11" s="169">
        <v>18977.57</v>
      </c>
      <c r="I11" s="169">
        <v>12538.49</v>
      </c>
      <c r="J11" s="169">
        <v>17545.759999999998</v>
      </c>
      <c r="K11" s="169">
        <v>-114.26</v>
      </c>
      <c r="L11" s="169">
        <v>58.88</v>
      </c>
      <c r="M11" s="169">
        <v>2461.4</v>
      </c>
      <c r="N11" s="169">
        <v>7305.73</v>
      </c>
    </row>
    <row r="12" spans="1:14" s="10" customFormat="1" ht="15" thickBot="1" x14ac:dyDescent="0.4">
      <c r="A12" s="12"/>
      <c r="B12" s="268" t="s">
        <v>35</v>
      </c>
      <c r="C12" s="268">
        <v>68</v>
      </c>
      <c r="D12" s="268">
        <v>65</v>
      </c>
      <c r="E12" s="170">
        <v>777.67</v>
      </c>
      <c r="F12" s="170">
        <v>15626.06</v>
      </c>
      <c r="G12" s="170">
        <v>27880.74</v>
      </c>
      <c r="H12" s="170">
        <v>88206.31</v>
      </c>
      <c r="I12" s="170">
        <v>24560.58</v>
      </c>
      <c r="J12" s="170">
        <v>80424.479999999996</v>
      </c>
      <c r="K12" s="170">
        <v>-111.52</v>
      </c>
      <c r="L12" s="170">
        <v>-1703.6</v>
      </c>
      <c r="M12" s="170">
        <v>3986.31</v>
      </c>
      <c r="N12" s="170">
        <v>21704.29</v>
      </c>
    </row>
    <row r="13" spans="1:14" x14ac:dyDescent="0.35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49"/>
      <c r="N13" s="49"/>
    </row>
    <row r="14" spans="1:14" x14ac:dyDescent="0.35">
      <c r="B14" s="7"/>
      <c r="C14" s="7"/>
      <c r="D14" s="7"/>
      <c r="E14" s="7"/>
      <c r="F14" s="7"/>
      <c r="G14" s="7"/>
      <c r="H14" s="238"/>
      <c r="I14" s="238"/>
      <c r="J14" s="7"/>
      <c r="K14" s="7"/>
      <c r="L14" s="7"/>
      <c r="M14" s="49"/>
      <c r="N14" s="252"/>
    </row>
    <row r="15" spans="1:14" ht="15.5" x14ac:dyDescent="0.35">
      <c r="B15" s="780" t="s">
        <v>112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</row>
    <row r="16" spans="1:14" x14ac:dyDescent="0.35">
      <c r="B16" s="49"/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</row>
    <row r="17" spans="2:14" x14ac:dyDescent="0.35">
      <c r="C17" s="49"/>
      <c r="D17" s="49"/>
      <c r="E17" s="49"/>
      <c r="F17" s="49"/>
      <c r="G17" s="49"/>
      <c r="H17" s="49"/>
      <c r="I17" s="49"/>
      <c r="J17" s="49"/>
      <c r="K17" s="49"/>
      <c r="L17" s="49"/>
      <c r="M17" s="49"/>
      <c r="N17" s="49"/>
    </row>
    <row r="18" spans="2:14" x14ac:dyDescent="0.35">
      <c r="B18" s="49"/>
      <c r="C18" s="49"/>
      <c r="D18" s="49"/>
      <c r="E18" s="49"/>
      <c r="F18" s="49"/>
      <c r="G18" s="49"/>
      <c r="H18" s="49"/>
      <c r="I18" s="49"/>
      <c r="J18" s="49"/>
      <c r="K18" s="49"/>
      <c r="L18" s="49"/>
      <c r="M18" s="49"/>
      <c r="N18" s="49"/>
    </row>
    <row r="19" spans="2:14" x14ac:dyDescent="0.35">
      <c r="B19" s="49"/>
      <c r="C19" s="49"/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/>
    </row>
    <row r="20" spans="2:14" x14ac:dyDescent="0.35">
      <c r="B20" s="49"/>
      <c r="C20" s="49"/>
      <c r="D20" s="49"/>
      <c r="E20" s="49"/>
      <c r="F20" s="49"/>
      <c r="G20" s="49"/>
      <c r="H20" s="49"/>
      <c r="I20" s="49"/>
      <c r="J20" s="49"/>
      <c r="K20" s="49"/>
      <c r="L20" s="49"/>
      <c r="M20" s="49"/>
      <c r="N20" s="49"/>
    </row>
    <row r="21" spans="2:14" x14ac:dyDescent="0.35">
      <c r="B21" s="49"/>
      <c r="C21" s="49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</row>
    <row r="22" spans="2:14" x14ac:dyDescent="0.35">
      <c r="B22" s="49"/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</row>
    <row r="23" spans="2:14" x14ac:dyDescent="0.35"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49"/>
    </row>
    <row r="24" spans="2:14" x14ac:dyDescent="0.35">
      <c r="B24" s="49"/>
      <c r="C24" s="49"/>
      <c r="D24" s="49"/>
      <c r="E24" s="49"/>
      <c r="F24" s="49"/>
      <c r="G24" s="49"/>
      <c r="H24" s="49"/>
      <c r="I24" s="49"/>
      <c r="J24" s="49"/>
      <c r="K24" s="49"/>
      <c r="L24" s="49"/>
      <c r="M24" s="49"/>
      <c r="N24" s="49"/>
    </row>
    <row r="25" spans="2:14" x14ac:dyDescent="0.35">
      <c r="B25" s="49"/>
      <c r="C25" s="49"/>
      <c r="D25" s="49"/>
      <c r="E25" s="49"/>
      <c r="F25" s="49"/>
      <c r="G25" s="49"/>
      <c r="H25" s="49"/>
      <c r="I25" s="49"/>
      <c r="J25" s="49"/>
      <c r="K25" s="49"/>
      <c r="L25" s="49"/>
      <c r="M25" s="49"/>
      <c r="N25" s="49"/>
    </row>
    <row r="26" spans="2:14" x14ac:dyDescent="0.35">
      <c r="B26" s="49"/>
      <c r="C26" s="49"/>
      <c r="D26" s="49"/>
      <c r="E26" s="49"/>
      <c r="F26" s="49"/>
      <c r="G26" s="49"/>
      <c r="H26" s="49"/>
      <c r="I26" s="49"/>
      <c r="J26" s="49"/>
      <c r="K26" s="49"/>
      <c r="L26" s="49"/>
      <c r="M26" s="49"/>
      <c r="N26" s="49"/>
    </row>
    <row r="27" spans="2:14" x14ac:dyDescent="0.35">
      <c r="B27" s="49"/>
      <c r="C27" s="49"/>
      <c r="D27" s="49"/>
      <c r="E27" s="49"/>
      <c r="F27" s="49"/>
      <c r="G27" s="49"/>
      <c r="H27" s="49"/>
      <c r="I27" s="49"/>
      <c r="J27" s="49"/>
      <c r="K27" s="49"/>
      <c r="L27" s="49"/>
      <c r="M27" s="49"/>
      <c r="N27" s="49"/>
    </row>
    <row r="28" spans="2:14" x14ac:dyDescent="0.35">
      <c r="B28" s="49"/>
      <c r="C28" s="49"/>
      <c r="D28" s="49"/>
      <c r="E28" s="49"/>
      <c r="F28" s="49"/>
      <c r="G28" s="49"/>
      <c r="H28" s="49"/>
      <c r="I28" s="49"/>
      <c r="J28" s="49"/>
      <c r="K28" s="49"/>
      <c r="L28" s="49"/>
      <c r="M28" s="49"/>
      <c r="N28" s="49"/>
    </row>
    <row r="29" spans="2:14" x14ac:dyDescent="0.35">
      <c r="B29" s="49"/>
      <c r="C29" s="49"/>
      <c r="D29" s="49"/>
      <c r="E29" s="49"/>
      <c r="F29" s="49"/>
      <c r="G29" s="49"/>
      <c r="H29" s="49"/>
      <c r="I29" s="49"/>
      <c r="J29" s="49"/>
      <c r="K29" s="49"/>
      <c r="L29" s="49"/>
      <c r="M29" s="49"/>
      <c r="N29" s="49"/>
    </row>
    <row r="30" spans="2:14" x14ac:dyDescent="0.35">
      <c r="B30" s="49"/>
      <c r="C30" s="49"/>
      <c r="D30" s="49"/>
      <c r="E30" s="49"/>
      <c r="F30" s="49"/>
      <c r="G30" s="49"/>
      <c r="H30" s="49"/>
      <c r="I30" s="49"/>
      <c r="J30" s="49"/>
      <c r="K30" s="49"/>
      <c r="L30" s="49"/>
      <c r="M30" s="49"/>
      <c r="N30" s="49"/>
    </row>
    <row r="31" spans="2:14" x14ac:dyDescent="0.35">
      <c r="B31" s="49"/>
      <c r="C31" s="49"/>
      <c r="D31" s="49"/>
      <c r="E31" s="49"/>
      <c r="F31" s="49"/>
      <c r="G31" s="49"/>
      <c r="H31" s="49"/>
      <c r="I31" s="49"/>
      <c r="J31" s="49"/>
      <c r="K31" s="49"/>
      <c r="L31" s="49"/>
      <c r="M31" s="49"/>
      <c r="N31" s="49"/>
    </row>
    <row r="32" spans="2:14" x14ac:dyDescent="0.35"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</row>
    <row r="33" spans="2:14" x14ac:dyDescent="0.35"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</row>
    <row r="34" spans="2:14" x14ac:dyDescent="0.35">
      <c r="B34" s="49"/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</row>
    <row r="35" spans="2:14" x14ac:dyDescent="0.35">
      <c r="B35" s="49"/>
      <c r="C35" s="49"/>
      <c r="D35" s="49"/>
      <c r="E35" s="49"/>
      <c r="F35" s="49"/>
      <c r="G35" s="49"/>
      <c r="H35" s="49"/>
      <c r="I35" s="49"/>
      <c r="J35" s="49"/>
      <c r="K35" s="49"/>
      <c r="L35" s="49"/>
      <c r="M35" s="49"/>
      <c r="N35" s="49"/>
    </row>
    <row r="36" spans="2:14" x14ac:dyDescent="0.35">
      <c r="B36" s="49"/>
      <c r="C36" s="49"/>
      <c r="D36" s="49"/>
      <c r="E36" s="49"/>
      <c r="F36" s="49"/>
      <c r="G36" s="49"/>
      <c r="H36" s="49"/>
      <c r="I36" s="49"/>
      <c r="J36" s="49"/>
      <c r="K36" s="49"/>
      <c r="L36" s="49"/>
      <c r="M36" s="49"/>
      <c r="N36" s="49"/>
    </row>
    <row r="37" spans="2:14" ht="35.25" customHeight="1" x14ac:dyDescent="0.35">
      <c r="B37" s="49"/>
      <c r="C37" s="49"/>
      <c r="D37" s="49"/>
      <c r="E37" s="49"/>
      <c r="F37" s="49"/>
      <c r="G37" s="49"/>
      <c r="H37" s="49"/>
      <c r="I37" s="49"/>
      <c r="J37" s="49"/>
      <c r="K37" s="49"/>
      <c r="L37" s="49"/>
      <c r="M37" s="49"/>
      <c r="N37" s="49"/>
    </row>
    <row r="38" spans="2:14" ht="30.75" customHeight="1" x14ac:dyDescent="0.35">
      <c r="B38" s="49"/>
      <c r="C38" s="49"/>
      <c r="D38" s="49"/>
      <c r="E38" s="49"/>
      <c r="F38" s="49"/>
      <c r="G38" s="49"/>
      <c r="H38" s="49"/>
      <c r="I38" s="49"/>
      <c r="J38" s="49"/>
      <c r="K38" s="49"/>
      <c r="L38" s="49"/>
      <c r="M38" s="49"/>
      <c r="N38" s="49"/>
    </row>
    <row r="39" spans="2:14" ht="15.5" x14ac:dyDescent="0.35">
      <c r="B39" s="907" t="s">
        <v>113</v>
      </c>
      <c r="C39" s="907"/>
      <c r="D39" s="907"/>
      <c r="E39" s="907"/>
      <c r="F39" s="907"/>
      <c r="G39" s="907"/>
      <c r="H39" s="907"/>
      <c r="I39" s="907"/>
      <c r="J39" s="907"/>
      <c r="K39" s="907"/>
      <c r="L39" s="907"/>
      <c r="M39" s="907"/>
      <c r="N39" s="907"/>
    </row>
    <row r="40" spans="2:14" ht="15.5" x14ac:dyDescent="0.35">
      <c r="B40" s="907" t="s">
        <v>114</v>
      </c>
      <c r="C40" s="907"/>
      <c r="D40" s="907"/>
      <c r="E40" s="907"/>
      <c r="F40" s="907"/>
      <c r="G40" s="907"/>
      <c r="H40" s="907"/>
      <c r="I40" s="907"/>
      <c r="J40" s="907"/>
      <c r="K40" s="907"/>
      <c r="L40" s="907"/>
      <c r="M40" s="907"/>
      <c r="N40" s="907"/>
    </row>
    <row r="41" spans="2:14" ht="15.5" x14ac:dyDescent="0.35">
      <c r="B41" s="791" t="s">
        <v>119</v>
      </c>
      <c r="C41" s="791"/>
      <c r="D41" s="791"/>
      <c r="E41" s="791"/>
      <c r="F41" s="791"/>
      <c r="G41" s="791"/>
      <c r="H41" s="791"/>
      <c r="I41" s="791"/>
      <c r="J41" s="791"/>
      <c r="K41" s="791"/>
      <c r="L41" s="791"/>
      <c r="M41" s="791"/>
      <c r="N41" s="791"/>
    </row>
    <row r="44" spans="2:14" ht="12" customHeight="1" x14ac:dyDescent="0.35"/>
    <row r="50" spans="6:11" x14ac:dyDescent="0.35">
      <c r="K50" s="14"/>
    </row>
    <row r="51" spans="6:11" x14ac:dyDescent="0.35">
      <c r="F51" s="9"/>
    </row>
  </sheetData>
  <customSheetViews>
    <customSheetView guid="{6654F670-CAA9-4C4A-B3D9-226402FC46BC}" scale="41" showPageBreaks="1" printArea="1" view="pageLayout">
      <selection activeCell="N43" sqref="N43"/>
      <pageMargins left="0.64097222222222228" right="0.70866141732283472" top="0.74803149606299213" bottom="0.74803149606299213" header="0.31496062992125984" footer="0.31496062992125984"/>
      <pageSetup paperSize="9" scale="71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41" showPageBreaks="1" printArea="1" view="pageLayout">
      <selection activeCell="N43" sqref="N43"/>
      <pageMargins left="0.64097222222222228" right="0.70866141732283472" top="0.74803149606299213" bottom="0.74803149606299213" header="0.31496062992125984" footer="0.31496062992125984"/>
      <pageSetup paperSize="9" scale="71" orientation="landscape"/>
      <headerFooter>
        <oddHeader>&amp;L&amp;G&amp;RCAMPAÑA: 2025/2026. MES: JULIO
Fecha de emisión de datos: 25/08/2026</oddHeader>
      </headerFooter>
    </customSheetView>
  </customSheetViews>
  <mergeCells count="10">
    <mergeCell ref="B15:N15"/>
    <mergeCell ref="B39:N39"/>
    <mergeCell ref="B40:N40"/>
    <mergeCell ref="B41:N41"/>
    <mergeCell ref="B3:N5"/>
    <mergeCell ref="E8:F8"/>
    <mergeCell ref="G8:H8"/>
    <mergeCell ref="I8:J8"/>
    <mergeCell ref="K8:L8"/>
    <mergeCell ref="M8:N8"/>
  </mergeCells>
  <pageMargins left="0.64097222222222228" right="0.70866141732283472" top="0.74803149606299213" bottom="0.74803149606299213" header="0.31496062992125984" footer="0.31496062992125984"/>
  <pageSetup paperSize="9" scale="71" orientation="landscape" r:id="rId1"/>
  <headerFooter>
    <oddHeader>&amp;L&amp;G&amp;RCAMPAÑA: 2025/2026. MES: JULIO
Fecha de emisión de datos: 25/08/2026</oddHeader>
  </headerFooter>
  <drawing r:id="rId2"/>
  <legacyDrawingHF r:id="rId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B1:N46"/>
  <sheetViews>
    <sheetView view="pageLayout" zoomScale="96" zoomScaleNormal="80" zoomScalePageLayoutView="96" workbookViewId="0">
      <selection activeCell="B3" sqref="B3:N5"/>
    </sheetView>
  </sheetViews>
  <sheetFormatPr baseColWidth="10" defaultColWidth="11.453125" defaultRowHeight="14.5" x14ac:dyDescent="0.35"/>
  <cols>
    <col min="1" max="1" width="5.1796875" customWidth="1"/>
    <col min="2" max="2" width="24.81640625" customWidth="1"/>
    <col min="3" max="3" width="13.54296875" customWidth="1"/>
    <col min="4" max="4" width="10.453125" customWidth="1"/>
    <col min="5" max="5" width="13.26953125" bestFit="1" customWidth="1"/>
    <col min="6" max="6" width="12.7265625" customWidth="1"/>
    <col min="7" max="7" width="13.7265625" bestFit="1" customWidth="1"/>
    <col min="8" max="8" width="12.7265625" customWidth="1"/>
    <col min="9" max="9" width="13.54296875" bestFit="1" customWidth="1"/>
    <col min="10" max="10" width="12.7265625" customWidth="1"/>
    <col min="11" max="11" width="13.54296875" customWidth="1"/>
    <col min="12" max="12" width="12.54296875" customWidth="1"/>
    <col min="13" max="13" width="13.26953125" bestFit="1" customWidth="1"/>
    <col min="14" max="14" width="9.81640625" customWidth="1"/>
    <col min="15" max="15" width="5.26953125" customWidth="1"/>
  </cols>
  <sheetData>
    <row r="1" spans="2:14" ht="9" customHeight="1" x14ac:dyDescent="0.35"/>
    <row r="3" spans="2:14" ht="15" customHeight="1" x14ac:dyDescent="0.35">
      <c r="B3" s="761" t="s">
        <v>124</v>
      </c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</row>
    <row r="4" spans="2:14" ht="15" customHeight="1" x14ac:dyDescent="0.35"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</row>
    <row r="5" spans="2:14" ht="24.75" customHeight="1" x14ac:dyDescent="0.35"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  <c r="N5" s="761"/>
    </row>
    <row r="6" spans="2:14" ht="24.75" customHeight="1" x14ac:dyDescent="0.35">
      <c r="B6" s="260"/>
      <c r="C6" s="260"/>
      <c r="D6" s="260"/>
      <c r="E6" s="260"/>
      <c r="F6" s="260"/>
      <c r="G6" s="260"/>
      <c r="H6" s="260"/>
      <c r="I6" s="260"/>
      <c r="J6" s="260"/>
      <c r="K6" s="260"/>
      <c r="L6" s="260"/>
      <c r="M6" s="260"/>
      <c r="N6" s="260"/>
    </row>
    <row r="7" spans="2:14" ht="15.75" customHeight="1" thickBot="1" x14ac:dyDescent="0.4">
      <c r="B7" s="2"/>
      <c r="C7" s="2"/>
      <c r="D7" s="2"/>
      <c r="E7" s="8"/>
      <c r="F7" s="8"/>
    </row>
    <row r="8" spans="2:14" ht="15" thickBot="1" x14ac:dyDescent="0.4">
      <c r="B8" s="65"/>
      <c r="C8" s="65"/>
      <c r="D8" s="269"/>
      <c r="E8" s="875" t="s">
        <v>59</v>
      </c>
      <c r="F8" s="875"/>
      <c r="G8" s="875" t="s">
        <v>116</v>
      </c>
      <c r="H8" s="875"/>
      <c r="I8" s="875" t="s">
        <v>117</v>
      </c>
      <c r="J8" s="875"/>
      <c r="K8" s="875" t="s">
        <v>111</v>
      </c>
      <c r="L8" s="875"/>
      <c r="M8" s="875" t="s">
        <v>3</v>
      </c>
      <c r="N8" s="875"/>
    </row>
    <row r="9" spans="2:14" ht="23.5" thickBot="1" x14ac:dyDescent="0.4">
      <c r="B9" s="268" t="s">
        <v>54</v>
      </c>
      <c r="C9" s="268" t="s">
        <v>105</v>
      </c>
      <c r="D9" s="268" t="s">
        <v>100</v>
      </c>
      <c r="E9" s="298" t="s">
        <v>156</v>
      </c>
      <c r="F9" s="66" t="s">
        <v>118</v>
      </c>
      <c r="G9" s="298" t="s">
        <v>156</v>
      </c>
      <c r="H9" s="66" t="s">
        <v>118</v>
      </c>
      <c r="I9" s="298" t="s">
        <v>156</v>
      </c>
      <c r="J9" s="66" t="s">
        <v>118</v>
      </c>
      <c r="K9" s="298" t="s">
        <v>156</v>
      </c>
      <c r="L9" s="66" t="s">
        <v>118</v>
      </c>
      <c r="M9" s="298" t="s">
        <v>156</v>
      </c>
      <c r="N9" s="66" t="s">
        <v>118</v>
      </c>
    </row>
    <row r="10" spans="2:14" ht="15" thickBot="1" x14ac:dyDescent="0.4">
      <c r="B10" s="167" t="s">
        <v>74</v>
      </c>
      <c r="C10" s="305">
        <v>44</v>
      </c>
      <c r="D10" s="305">
        <v>42</v>
      </c>
      <c r="E10" s="306">
        <v>1590814</v>
      </c>
      <c r="F10" s="306">
        <v>24491.17</v>
      </c>
      <c r="G10" s="306">
        <v>4646858.2699999996</v>
      </c>
      <c r="H10" s="306">
        <v>883006.3</v>
      </c>
      <c r="I10" s="306">
        <v>3502136.67</v>
      </c>
      <c r="J10" s="306">
        <v>927668.33</v>
      </c>
      <c r="K10" s="306">
        <v>-208.41</v>
      </c>
      <c r="L10" s="306">
        <v>46159.67</v>
      </c>
      <c r="M10" s="306">
        <v>2735327.19</v>
      </c>
      <c r="N10" s="306">
        <v>25988.81</v>
      </c>
    </row>
    <row r="11" spans="2:14" ht="15" thickBot="1" x14ac:dyDescent="0.4">
      <c r="B11" s="167" t="s">
        <v>108</v>
      </c>
      <c r="C11" s="305">
        <v>24</v>
      </c>
      <c r="D11" s="305">
        <v>23</v>
      </c>
      <c r="E11" s="306">
        <v>249879.21</v>
      </c>
      <c r="F11" s="306">
        <v>14558.17</v>
      </c>
      <c r="G11" s="306">
        <v>1343842.29</v>
      </c>
      <c r="H11" s="306">
        <v>313636.12</v>
      </c>
      <c r="I11" s="306">
        <v>1292426.9099999999</v>
      </c>
      <c r="J11" s="306">
        <v>319640.82</v>
      </c>
      <c r="K11" s="306">
        <v>-57.32</v>
      </c>
      <c r="L11" s="306">
        <v>1715.52</v>
      </c>
      <c r="M11" s="306">
        <v>301237.27</v>
      </c>
      <c r="N11" s="306">
        <v>10268.99</v>
      </c>
    </row>
    <row r="12" spans="2:14" s="10" customFormat="1" ht="15" thickBot="1" x14ac:dyDescent="0.4">
      <c r="B12" s="268" t="s">
        <v>35</v>
      </c>
      <c r="C12" s="307">
        <v>68</v>
      </c>
      <c r="D12" s="307">
        <v>65</v>
      </c>
      <c r="E12" s="308">
        <v>1840693.21</v>
      </c>
      <c r="F12" s="308">
        <v>39049.339999999997</v>
      </c>
      <c r="G12" s="308">
        <v>5990700.5599999996</v>
      </c>
      <c r="H12" s="308">
        <v>1196642.42</v>
      </c>
      <c r="I12" s="308">
        <v>4794563.58</v>
      </c>
      <c r="J12" s="308">
        <v>1247309.1499999999</v>
      </c>
      <c r="K12" s="308">
        <v>-265.73</v>
      </c>
      <c r="L12" s="308">
        <v>47875.19</v>
      </c>
      <c r="M12" s="308">
        <v>3036564.46</v>
      </c>
      <c r="N12" s="308">
        <v>36257.800000000003</v>
      </c>
    </row>
    <row r="13" spans="2:14" x14ac:dyDescent="0.3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</row>
    <row r="14" spans="2:14" x14ac:dyDescent="0.3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</row>
    <row r="15" spans="2:14" ht="15.5" x14ac:dyDescent="0.35">
      <c r="B15" s="780" t="s">
        <v>115</v>
      </c>
      <c r="C15" s="780"/>
      <c r="D15" s="780"/>
      <c r="E15" s="780"/>
      <c r="F15" s="780"/>
      <c r="G15" s="780"/>
      <c r="H15" s="780"/>
      <c r="I15" s="780"/>
      <c r="J15" s="780"/>
      <c r="K15" s="780"/>
      <c r="L15" s="780"/>
      <c r="M15" s="780"/>
      <c r="N15" s="780"/>
    </row>
    <row r="16" spans="2:14" ht="15.5" x14ac:dyDescent="0.35">
      <c r="C16" s="171"/>
      <c r="D16" s="171"/>
      <c r="E16" s="171"/>
      <c r="F16" s="171"/>
      <c r="G16" s="171"/>
      <c r="H16" s="171"/>
      <c r="I16" s="171"/>
      <c r="J16" s="171"/>
      <c r="K16" s="171"/>
      <c r="L16" s="171"/>
      <c r="M16" s="171"/>
      <c r="N16" s="171"/>
    </row>
    <row r="17" spans="2:14" ht="15.5" x14ac:dyDescent="0.35">
      <c r="B17" s="171"/>
      <c r="C17" s="171"/>
      <c r="D17" s="171"/>
      <c r="E17" s="171"/>
      <c r="F17" s="171"/>
      <c r="G17" s="171"/>
      <c r="H17" s="171"/>
      <c r="I17" s="171"/>
      <c r="J17" s="171"/>
      <c r="K17" s="171"/>
      <c r="L17" s="171"/>
      <c r="M17" s="171"/>
      <c r="N17" s="171"/>
    </row>
    <row r="18" spans="2:14" ht="15.5" x14ac:dyDescent="0.35">
      <c r="B18" s="171"/>
      <c r="C18" s="171"/>
      <c r="D18" s="171"/>
      <c r="E18" s="171"/>
      <c r="F18" s="171"/>
      <c r="G18" s="171"/>
      <c r="H18" s="171"/>
      <c r="I18" s="171"/>
      <c r="J18" s="171"/>
      <c r="K18" s="171"/>
      <c r="L18" s="171"/>
      <c r="M18" s="171"/>
      <c r="N18" s="171"/>
    </row>
    <row r="19" spans="2:14" ht="15.5" x14ac:dyDescent="0.35">
      <c r="B19" s="171"/>
      <c r="C19" s="171"/>
      <c r="D19" s="171"/>
      <c r="E19" s="171"/>
      <c r="F19" s="171"/>
      <c r="G19" s="171"/>
      <c r="H19" s="171"/>
      <c r="I19" s="171"/>
      <c r="J19" s="171"/>
      <c r="K19" s="171"/>
      <c r="L19" s="171"/>
      <c r="M19" s="171"/>
      <c r="N19" s="171"/>
    </row>
    <row r="20" spans="2:14" ht="15.5" x14ac:dyDescent="0.35">
      <c r="B20" s="171"/>
      <c r="C20" s="171"/>
      <c r="D20" s="171"/>
      <c r="E20" s="171"/>
      <c r="F20" s="171"/>
      <c r="G20" s="171"/>
      <c r="H20" s="171"/>
      <c r="I20" s="171"/>
      <c r="J20" s="171"/>
      <c r="K20" s="171"/>
      <c r="L20" s="171"/>
      <c r="M20" s="171"/>
      <c r="N20" s="171"/>
    </row>
    <row r="21" spans="2:14" ht="15.5" x14ac:dyDescent="0.35">
      <c r="B21" s="171"/>
      <c r="C21" s="171"/>
      <c r="D21" s="171"/>
      <c r="E21" s="171"/>
      <c r="F21" s="171"/>
      <c r="G21" s="171"/>
      <c r="H21" s="171"/>
      <c r="I21" s="171"/>
      <c r="J21" s="171"/>
      <c r="K21" s="171"/>
      <c r="L21" s="171"/>
      <c r="M21" s="171"/>
      <c r="N21" s="171"/>
    </row>
    <row r="22" spans="2:14" ht="15.5" x14ac:dyDescent="0.35">
      <c r="B22" s="171"/>
      <c r="C22" s="171"/>
      <c r="D22" s="171"/>
      <c r="E22" s="171"/>
      <c r="G22" s="171"/>
      <c r="H22" s="171"/>
      <c r="I22" s="171"/>
      <c r="J22" s="171"/>
      <c r="K22" s="171"/>
      <c r="L22" s="171"/>
      <c r="M22" s="171"/>
      <c r="N22" s="171"/>
    </row>
    <row r="23" spans="2:14" ht="15.5" x14ac:dyDescent="0.35">
      <c r="B23" s="171"/>
      <c r="C23" s="171"/>
      <c r="D23" s="171"/>
      <c r="E23" s="171"/>
      <c r="F23" s="171"/>
      <c r="G23" s="171"/>
      <c r="H23" s="171"/>
      <c r="I23" s="171"/>
      <c r="J23" s="171"/>
      <c r="K23" s="171"/>
      <c r="L23" s="171"/>
      <c r="M23" s="171"/>
      <c r="N23" s="171"/>
    </row>
    <row r="24" spans="2:14" ht="15.5" x14ac:dyDescent="0.35">
      <c r="B24" s="171"/>
      <c r="C24" s="171"/>
      <c r="D24" s="171"/>
      <c r="E24" s="171"/>
      <c r="F24" s="171"/>
      <c r="G24" s="171"/>
      <c r="H24" s="171"/>
      <c r="I24" s="171"/>
      <c r="J24" s="171"/>
      <c r="K24" s="171"/>
      <c r="L24" s="171"/>
      <c r="M24" s="171"/>
      <c r="N24" s="171"/>
    </row>
    <row r="25" spans="2:14" ht="15.5" x14ac:dyDescent="0.35">
      <c r="B25" s="171"/>
      <c r="C25" s="171"/>
      <c r="D25" s="171"/>
      <c r="E25" s="171"/>
      <c r="F25" s="171"/>
      <c r="G25" s="171"/>
      <c r="H25" s="171"/>
      <c r="I25" s="171"/>
      <c r="J25" s="171"/>
      <c r="K25" s="171"/>
      <c r="L25" s="171"/>
      <c r="M25" s="171"/>
      <c r="N25" s="171"/>
    </row>
    <row r="26" spans="2:14" ht="15.5" x14ac:dyDescent="0.35">
      <c r="B26" s="171"/>
      <c r="C26" s="171"/>
      <c r="D26" s="171"/>
      <c r="E26" s="171"/>
      <c r="F26" s="171"/>
      <c r="G26" s="171"/>
      <c r="H26" s="171"/>
      <c r="I26" s="171"/>
      <c r="J26" s="171"/>
      <c r="K26" s="171"/>
      <c r="L26" s="171"/>
      <c r="M26" s="171"/>
      <c r="N26" s="171"/>
    </row>
    <row r="27" spans="2:14" ht="15.5" x14ac:dyDescent="0.35">
      <c r="B27" s="171"/>
      <c r="C27" s="171"/>
      <c r="D27" s="171"/>
      <c r="E27" s="171"/>
      <c r="F27" s="171"/>
      <c r="G27" s="171"/>
      <c r="H27" s="171"/>
      <c r="I27" s="171"/>
      <c r="J27" s="171"/>
      <c r="K27" s="171"/>
      <c r="L27" s="171"/>
      <c r="M27" s="171"/>
      <c r="N27" s="171"/>
    </row>
    <row r="28" spans="2:14" ht="15.5" x14ac:dyDescent="0.35">
      <c r="B28" s="171"/>
      <c r="C28" s="171"/>
      <c r="D28" s="171"/>
      <c r="E28" s="171"/>
      <c r="F28" s="171"/>
      <c r="G28" s="171"/>
      <c r="H28" s="171"/>
      <c r="I28" s="171"/>
      <c r="J28" s="171"/>
      <c r="K28" s="171"/>
      <c r="L28" s="171"/>
      <c r="M28" s="171"/>
      <c r="N28" s="171"/>
    </row>
    <row r="29" spans="2:14" ht="15.5" x14ac:dyDescent="0.35">
      <c r="B29" s="171"/>
      <c r="C29" s="171"/>
      <c r="D29" s="171"/>
      <c r="E29" s="171"/>
      <c r="F29" s="171"/>
      <c r="G29" s="171"/>
      <c r="H29" s="171"/>
      <c r="I29" s="171"/>
      <c r="J29" s="171"/>
      <c r="K29" s="171"/>
      <c r="L29" s="171"/>
      <c r="M29" s="171"/>
      <c r="N29" s="171"/>
    </row>
    <row r="30" spans="2:14" ht="15.5" x14ac:dyDescent="0.35">
      <c r="B30" s="171"/>
      <c r="C30" s="171"/>
      <c r="D30" s="171"/>
      <c r="E30" s="171"/>
      <c r="F30" s="171"/>
      <c r="G30" s="171"/>
      <c r="H30" s="171"/>
      <c r="I30" s="171"/>
      <c r="J30" s="171"/>
      <c r="K30" s="171"/>
      <c r="L30" s="171"/>
      <c r="M30" s="171"/>
      <c r="N30" s="171"/>
    </row>
    <row r="31" spans="2:14" ht="15.5" x14ac:dyDescent="0.35">
      <c r="B31" s="171"/>
      <c r="C31" s="171"/>
      <c r="D31" s="171"/>
      <c r="E31" s="171"/>
      <c r="F31" s="171"/>
      <c r="G31" s="171"/>
      <c r="H31" s="171"/>
      <c r="I31" s="171"/>
      <c r="J31" s="171"/>
      <c r="K31" s="171"/>
      <c r="L31" s="171"/>
      <c r="M31" s="171"/>
      <c r="N31" s="171"/>
    </row>
    <row r="32" spans="2:14" ht="15.5" x14ac:dyDescent="0.35">
      <c r="B32" s="171"/>
      <c r="C32" s="171"/>
      <c r="D32" s="171"/>
      <c r="E32" s="171"/>
      <c r="F32" s="171"/>
      <c r="G32" s="171"/>
      <c r="H32" s="171"/>
      <c r="I32" s="171"/>
      <c r="J32" s="171"/>
      <c r="K32" s="171"/>
      <c r="L32" s="171"/>
      <c r="M32" s="171"/>
      <c r="N32" s="171"/>
    </row>
    <row r="33" spans="2:14" ht="15.5" x14ac:dyDescent="0.35">
      <c r="B33" s="171"/>
      <c r="C33" s="171"/>
      <c r="D33" s="171"/>
      <c r="E33" s="171"/>
      <c r="F33" s="171"/>
      <c r="G33" s="171"/>
      <c r="H33" s="171"/>
      <c r="I33" s="171"/>
      <c r="J33" s="171"/>
      <c r="K33" s="171"/>
      <c r="L33" s="171"/>
      <c r="M33" s="171"/>
      <c r="N33" s="171"/>
    </row>
    <row r="34" spans="2:14" ht="15.5" x14ac:dyDescent="0.35">
      <c r="B34" s="171"/>
      <c r="C34" s="171"/>
      <c r="D34" s="171"/>
      <c r="E34" s="171"/>
      <c r="F34" s="171"/>
      <c r="G34" s="171"/>
      <c r="H34" s="171"/>
      <c r="I34" s="171"/>
      <c r="J34" s="171"/>
      <c r="K34" s="171"/>
      <c r="L34" s="171"/>
      <c r="M34" s="171"/>
      <c r="N34" s="171"/>
    </row>
    <row r="35" spans="2:14" ht="15.5" x14ac:dyDescent="0.35">
      <c r="B35" s="171"/>
      <c r="C35" s="171"/>
      <c r="D35" s="171"/>
      <c r="E35" s="171"/>
      <c r="F35" s="171"/>
      <c r="G35" s="171"/>
      <c r="H35" s="171"/>
      <c r="I35" s="171"/>
      <c r="J35" s="171"/>
      <c r="K35" s="171"/>
      <c r="L35" s="171"/>
      <c r="M35" s="171"/>
      <c r="N35" s="171"/>
    </row>
    <row r="36" spans="2:14" ht="15.5" x14ac:dyDescent="0.35">
      <c r="B36" s="171"/>
      <c r="C36" s="171"/>
      <c r="D36" s="171"/>
      <c r="E36" s="171"/>
      <c r="F36" s="171"/>
      <c r="G36" s="171"/>
      <c r="H36" s="171"/>
      <c r="I36" s="171"/>
      <c r="J36" s="171"/>
      <c r="K36" s="171"/>
      <c r="L36" s="171"/>
      <c r="M36" s="171"/>
      <c r="N36" s="171"/>
    </row>
    <row r="37" spans="2:14" ht="15.5" x14ac:dyDescent="0.35">
      <c r="B37" s="171"/>
      <c r="C37" s="171"/>
      <c r="D37" s="171"/>
      <c r="E37" s="171"/>
      <c r="F37" s="171"/>
      <c r="G37" s="171"/>
      <c r="H37" s="171"/>
      <c r="I37" s="171"/>
      <c r="J37" s="171"/>
      <c r="K37" s="171"/>
      <c r="L37" s="171"/>
      <c r="M37" s="171"/>
      <c r="N37" s="171"/>
    </row>
    <row r="38" spans="2:14" ht="33.75" customHeight="1" x14ac:dyDescent="0.35">
      <c r="B38" s="171"/>
      <c r="C38" s="171"/>
      <c r="D38" s="171"/>
      <c r="E38" s="171"/>
      <c r="F38" s="171"/>
      <c r="G38" s="171"/>
      <c r="H38" s="171"/>
      <c r="I38" s="171"/>
      <c r="J38" s="171"/>
      <c r="K38" s="171"/>
      <c r="L38" s="171"/>
      <c r="M38" s="171"/>
      <c r="N38" s="171"/>
    </row>
    <row r="39" spans="2:14" ht="18" customHeight="1" x14ac:dyDescent="0.35">
      <c r="B39" s="907" t="s">
        <v>113</v>
      </c>
      <c r="C39" s="907"/>
      <c r="D39" s="907"/>
      <c r="E39" s="907"/>
      <c r="F39" s="907"/>
      <c r="G39" s="907"/>
      <c r="H39" s="907"/>
      <c r="I39" s="907"/>
      <c r="J39" s="907"/>
      <c r="K39" s="907"/>
      <c r="L39" s="907"/>
      <c r="M39" s="907"/>
      <c r="N39" s="907"/>
    </row>
    <row r="40" spans="2:14" ht="15.5" x14ac:dyDescent="0.35">
      <c r="B40" s="907" t="s">
        <v>114</v>
      </c>
      <c r="C40" s="907"/>
      <c r="D40" s="907"/>
      <c r="E40" s="907"/>
      <c r="F40" s="907"/>
      <c r="G40" s="907"/>
      <c r="H40" s="907"/>
      <c r="I40" s="907"/>
      <c r="J40" s="907"/>
      <c r="K40" s="907"/>
      <c r="L40" s="907"/>
      <c r="M40" s="907"/>
      <c r="N40" s="907"/>
    </row>
    <row r="41" spans="2:14" ht="15.5" x14ac:dyDescent="0.35">
      <c r="B41" s="907" t="s">
        <v>158</v>
      </c>
      <c r="C41" s="907"/>
      <c r="D41" s="907"/>
      <c r="E41" s="907"/>
      <c r="F41" s="907"/>
      <c r="G41" s="907"/>
      <c r="H41" s="907"/>
      <c r="I41" s="907"/>
      <c r="J41" s="907"/>
      <c r="K41" s="907"/>
      <c r="L41" s="907"/>
      <c r="M41" s="261"/>
      <c r="N41" s="310" t="s">
        <v>119</v>
      </c>
    </row>
    <row r="42" spans="2:14" x14ac:dyDescent="0.35">
      <c r="N42" s="309"/>
    </row>
    <row r="46" spans="2:14" x14ac:dyDescent="0.35">
      <c r="J46" s="240"/>
      <c r="K46" s="240"/>
    </row>
  </sheetData>
  <customSheetViews>
    <customSheetView guid="{6654F670-CAA9-4C4A-B3D9-226402FC46BC}" scale="42" showPageBreaks="1" fitToPage="1" printArea="1" view="pageLayout">
      <selection activeCell="B3" sqref="B3:N5"/>
      <pageMargins left="0.70866141732283472" right="0.86614173228346458" top="0.74803149606299213" bottom="0.82677165354330717" header="0.31496062992125984" footer="0.31496062992125984"/>
      <pageSetup paperSize="9" scale="68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42" showPageBreaks="1" fitToPage="1" printArea="1" view="pageLayout">
      <selection activeCell="B3" sqref="B3:N5"/>
      <pageMargins left="0.70866141732283472" right="0.86614173228346458" top="0.74803149606299213" bottom="0.82677165354330717" header="0.31496062992125984" footer="0.31496062992125984"/>
      <pageSetup paperSize="9" scale="68" orientation="landscape"/>
      <headerFooter>
        <oddHeader>&amp;L&amp;G&amp;RCAMPAÑA: 2025/2026. MES: JULIO
Fecha de emisión de datos: 25/08/2026</oddHeader>
      </headerFooter>
    </customSheetView>
  </customSheetViews>
  <mergeCells count="10">
    <mergeCell ref="B41:L41"/>
    <mergeCell ref="B15:N15"/>
    <mergeCell ref="B39:N39"/>
    <mergeCell ref="B40:N40"/>
    <mergeCell ref="B3:N5"/>
    <mergeCell ref="E8:F8"/>
    <mergeCell ref="G8:H8"/>
    <mergeCell ref="I8:J8"/>
    <mergeCell ref="K8:L8"/>
    <mergeCell ref="M8:N8"/>
  </mergeCells>
  <pageMargins left="0.70866141732283472" right="0.86614173228346458" top="0.74803149606299213" bottom="0.82677165354330717" header="0.31496062992125984" footer="0.31496062992125984"/>
  <pageSetup paperSize="9" scale="68" orientation="landscape" r:id="rId1"/>
  <headerFooter>
    <oddHeader>&amp;L&amp;G&amp;RCAMPAÑA: 2025/2026. MES: JULIO
Fecha de emisión de datos: 25/08/2026</oddHeader>
  </headerFooter>
  <drawing r:id="rId2"/>
  <legacyDrawingHF r:id="rId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37"/>
  <sheetViews>
    <sheetView view="pageLayout" zoomScale="85" zoomScaleNormal="100" zoomScaleSheetLayoutView="115" zoomScalePageLayoutView="85" workbookViewId="0">
      <selection activeCell="B4" sqref="B4:M6"/>
    </sheetView>
  </sheetViews>
  <sheetFormatPr baseColWidth="10" defaultColWidth="11.453125" defaultRowHeight="9" x14ac:dyDescent="0.2"/>
  <cols>
    <col min="1" max="1" width="10.1796875" style="1" customWidth="1"/>
    <col min="2" max="2" width="38.1796875" style="1" bestFit="1" customWidth="1"/>
    <col min="3" max="5" width="11.453125" style="1"/>
    <col min="6" max="6" width="2.453125" style="1" customWidth="1"/>
    <col min="7" max="9" width="11.453125" style="1"/>
    <col min="10" max="10" width="2.453125" style="1" customWidth="1"/>
    <col min="11" max="13" width="11.453125" style="1"/>
    <col min="14" max="14" width="3.81640625" style="1" customWidth="1"/>
    <col min="15" max="16384" width="11.453125" style="1"/>
  </cols>
  <sheetData>
    <row r="1" spans="1:13" ht="14.25" customHeight="1" x14ac:dyDescent="0.2"/>
    <row r="2" spans="1:13" ht="14.25" customHeight="1" x14ac:dyDescent="0.2"/>
    <row r="3" spans="1:13" ht="14.25" customHeight="1" x14ac:dyDescent="0.2"/>
    <row r="4" spans="1:13" ht="14.25" customHeight="1" x14ac:dyDescent="0.2">
      <c r="B4" s="761" t="s">
        <v>159</v>
      </c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</row>
    <row r="5" spans="1:13" ht="14.25" customHeight="1" x14ac:dyDescent="0.2"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</row>
    <row r="6" spans="1:13" ht="24.75" customHeight="1" x14ac:dyDescent="0.2"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</row>
    <row r="7" spans="1:13" ht="18" customHeight="1" thickBot="1" x14ac:dyDescent="0.25">
      <c r="C7" s="311"/>
      <c r="D7" s="311"/>
      <c r="E7" s="311"/>
      <c r="F7" s="311"/>
      <c r="G7" s="311"/>
      <c r="H7" s="311"/>
      <c r="I7" s="311"/>
      <c r="J7" s="311"/>
      <c r="K7" s="311"/>
      <c r="L7" s="311"/>
      <c r="M7" s="311"/>
    </row>
    <row r="8" spans="1:13" ht="18" customHeight="1" thickBot="1" x14ac:dyDescent="0.25">
      <c r="A8" s="312"/>
      <c r="B8" s="909" t="s">
        <v>261</v>
      </c>
      <c r="C8" s="910"/>
      <c r="D8" s="910"/>
      <c r="E8" s="910"/>
      <c r="F8" s="910"/>
      <c r="G8" s="910"/>
      <c r="H8" s="910"/>
      <c r="I8" s="910"/>
      <c r="J8" s="910"/>
      <c r="K8" s="910"/>
      <c r="L8" s="910"/>
      <c r="M8" s="911"/>
    </row>
    <row r="9" spans="1:13" ht="21" customHeight="1" thickBot="1" x14ac:dyDescent="0.25">
      <c r="A9" s="312"/>
      <c r="B9" s="909" t="s">
        <v>160</v>
      </c>
      <c r="C9" s="910"/>
      <c r="D9" s="910"/>
      <c r="E9" s="910"/>
      <c r="F9" s="910"/>
      <c r="G9" s="910"/>
      <c r="H9" s="910"/>
      <c r="I9" s="910"/>
      <c r="J9" s="910"/>
      <c r="K9" s="910"/>
      <c r="L9" s="910"/>
      <c r="M9" s="911"/>
    </row>
    <row r="10" spans="1:13" ht="15.75" customHeight="1" thickBot="1" x14ac:dyDescent="0.35">
      <c r="B10" s="108"/>
      <c r="C10" s="912" t="s">
        <v>161</v>
      </c>
      <c r="D10" s="912"/>
      <c r="E10" s="912"/>
      <c r="F10" s="108"/>
      <c r="G10" s="912" t="s">
        <v>162</v>
      </c>
      <c r="H10" s="912"/>
      <c r="I10" s="912"/>
      <c r="J10" s="108"/>
      <c r="K10" s="912" t="s">
        <v>163</v>
      </c>
      <c r="L10" s="912"/>
      <c r="M10" s="912"/>
    </row>
    <row r="11" spans="1:13" ht="14.5" thickBot="1" x14ac:dyDescent="0.35">
      <c r="B11" s="313" t="s">
        <v>164</v>
      </c>
      <c r="C11" s="314"/>
      <c r="D11" s="315"/>
      <c r="E11" s="316"/>
      <c r="F11" s="316"/>
      <c r="G11" s="314"/>
      <c r="H11" s="315"/>
      <c r="I11" s="317"/>
      <c r="J11" s="315"/>
      <c r="K11" s="314"/>
      <c r="L11" s="315"/>
      <c r="M11" s="314"/>
    </row>
    <row r="12" spans="1:13" s="318" customFormat="1" ht="15" customHeight="1" thickBot="1" x14ac:dyDescent="0.35">
      <c r="B12" s="319"/>
      <c r="C12" s="320" t="s">
        <v>165</v>
      </c>
      <c r="D12" s="320" t="s">
        <v>166</v>
      </c>
      <c r="E12" s="320" t="s">
        <v>48</v>
      </c>
      <c r="F12" s="321"/>
      <c r="G12" s="320" t="s">
        <v>165</v>
      </c>
      <c r="H12" s="320" t="s">
        <v>166</v>
      </c>
      <c r="I12" s="320" t="s">
        <v>48</v>
      </c>
      <c r="J12" s="321"/>
      <c r="K12" s="320" t="s">
        <v>165</v>
      </c>
      <c r="L12" s="320" t="s">
        <v>166</v>
      </c>
      <c r="M12" s="320" t="s">
        <v>48</v>
      </c>
    </row>
    <row r="13" spans="1:13" s="331" customFormat="1" ht="14" x14ac:dyDescent="0.3">
      <c r="A13" s="322"/>
      <c r="B13" s="323" t="s">
        <v>167</v>
      </c>
      <c r="C13" s="324">
        <v>217.67</v>
      </c>
      <c r="D13" s="325">
        <v>100.66</v>
      </c>
      <c r="E13" s="326">
        <v>318.33</v>
      </c>
      <c r="F13" s="327"/>
      <c r="G13" s="324">
        <v>171.3</v>
      </c>
      <c r="H13" s="325">
        <v>98.820000000000007</v>
      </c>
      <c r="I13" s="326">
        <v>270.12</v>
      </c>
      <c r="J13" s="327"/>
      <c r="K13" s="328">
        <v>0.27069468768242833</v>
      </c>
      <c r="L13" s="329">
        <v>1.8619712608783538E-2</v>
      </c>
      <c r="M13" s="330">
        <v>0.17847623278542862</v>
      </c>
    </row>
    <row r="14" spans="1:13" ht="14" x14ac:dyDescent="0.3">
      <c r="A14" s="312"/>
      <c r="B14" s="332" t="s">
        <v>168</v>
      </c>
      <c r="C14" s="333">
        <v>185.66</v>
      </c>
      <c r="D14" s="334">
        <v>88.96</v>
      </c>
      <c r="E14" s="335">
        <v>274.62</v>
      </c>
      <c r="F14" s="336"/>
      <c r="G14" s="333">
        <v>139.72</v>
      </c>
      <c r="H14" s="334">
        <v>86.81</v>
      </c>
      <c r="I14" s="335">
        <v>226.53</v>
      </c>
      <c r="J14" s="336"/>
      <c r="K14" s="337">
        <v>0.32880045805897506</v>
      </c>
      <c r="L14" s="338">
        <v>2.4766731943324401E-2</v>
      </c>
      <c r="M14" s="339">
        <v>0.21228976294530527</v>
      </c>
    </row>
    <row r="15" spans="1:13" ht="14" x14ac:dyDescent="0.3">
      <c r="A15" s="312"/>
      <c r="B15" s="340" t="s">
        <v>169</v>
      </c>
      <c r="C15" s="341">
        <v>32.01</v>
      </c>
      <c r="D15" s="342">
        <v>11.7</v>
      </c>
      <c r="E15" s="343">
        <v>43.709999999999994</v>
      </c>
      <c r="F15" s="336"/>
      <c r="G15" s="341">
        <v>31.58</v>
      </c>
      <c r="H15" s="342">
        <v>12.01</v>
      </c>
      <c r="I15" s="343">
        <v>43.589999999999996</v>
      </c>
      <c r="J15" s="336"/>
      <c r="K15" s="344">
        <v>1.3616212792906895E-2</v>
      </c>
      <c r="L15" s="345">
        <v>-2.5811823480433014E-2</v>
      </c>
      <c r="M15" s="346">
        <v>2.7529249827941602E-3</v>
      </c>
    </row>
    <row r="16" spans="1:13" s="331" customFormat="1" ht="14" x14ac:dyDescent="0.3">
      <c r="A16" s="322"/>
      <c r="B16" s="347" t="s">
        <v>170</v>
      </c>
      <c r="C16" s="348">
        <v>312.98</v>
      </c>
      <c r="D16" s="349">
        <v>190.12</v>
      </c>
      <c r="E16" s="350">
        <v>503.1</v>
      </c>
      <c r="F16" s="327"/>
      <c r="G16" s="348">
        <v>338.74</v>
      </c>
      <c r="H16" s="349">
        <v>194.46</v>
      </c>
      <c r="I16" s="350">
        <v>533.20000000000005</v>
      </c>
      <c r="J16" s="327"/>
      <c r="K16" s="351">
        <v>-7.6046525358682143E-2</v>
      </c>
      <c r="L16" s="352">
        <v>-2.2318214542836591E-2</v>
      </c>
      <c r="M16" s="353">
        <v>-5.6451612903225847E-2</v>
      </c>
    </row>
    <row r="17" spans="1:13" s="331" customFormat="1" ht="14" x14ac:dyDescent="0.3">
      <c r="A17" s="322"/>
      <c r="B17" s="323" t="s">
        <v>171</v>
      </c>
      <c r="C17" s="324">
        <v>30.200000000000003</v>
      </c>
      <c r="D17" s="325">
        <v>9.39</v>
      </c>
      <c r="E17" s="326">
        <v>39.590000000000003</v>
      </c>
      <c r="F17" s="327"/>
      <c r="G17" s="324">
        <v>15.21</v>
      </c>
      <c r="H17" s="325">
        <v>9.01</v>
      </c>
      <c r="I17" s="326">
        <v>24.22</v>
      </c>
      <c r="J17" s="354"/>
      <c r="K17" s="355">
        <v>0.98553583168967795</v>
      </c>
      <c r="L17" s="356">
        <v>4.2175360710321949E-2</v>
      </c>
      <c r="M17" s="357">
        <v>0.63459950454170133</v>
      </c>
    </row>
    <row r="18" spans="1:13" ht="14" x14ac:dyDescent="0.3">
      <c r="A18" s="312"/>
      <c r="B18" s="332" t="s">
        <v>168</v>
      </c>
      <c r="C18" s="333">
        <v>26.94</v>
      </c>
      <c r="D18" s="334">
        <v>9.25</v>
      </c>
      <c r="E18" s="335">
        <v>36.19</v>
      </c>
      <c r="F18" s="336"/>
      <c r="G18" s="333">
        <v>13.23</v>
      </c>
      <c r="H18" s="334">
        <v>8.92</v>
      </c>
      <c r="I18" s="335">
        <v>22.15</v>
      </c>
      <c r="J18" s="358"/>
      <c r="K18" s="359">
        <v>1.036281179138322</v>
      </c>
      <c r="L18" s="360">
        <v>3.6995515695067274E-2</v>
      </c>
      <c r="M18" s="361">
        <v>0.63386004514672689</v>
      </c>
    </row>
    <row r="19" spans="1:13" ht="14.5" thickBot="1" x14ac:dyDescent="0.35">
      <c r="A19" s="312"/>
      <c r="B19" s="362" t="s">
        <v>169</v>
      </c>
      <c r="C19" s="363">
        <v>3.26</v>
      </c>
      <c r="D19" s="364">
        <v>0.14000000000000001</v>
      </c>
      <c r="E19" s="365">
        <v>3.4</v>
      </c>
      <c r="F19" s="336"/>
      <c r="G19" s="363">
        <v>1.98</v>
      </c>
      <c r="H19" s="364">
        <v>0.09</v>
      </c>
      <c r="I19" s="365">
        <v>2.0699999999999998</v>
      </c>
      <c r="J19" s="358"/>
      <c r="K19" s="366">
        <v>0.64646464646464641</v>
      </c>
      <c r="L19" s="367">
        <v>0.5555555555555558</v>
      </c>
      <c r="M19" s="368">
        <v>0.64251207729468607</v>
      </c>
    </row>
    <row r="20" spans="1:13" s="331" customFormat="1" ht="14.5" thickBot="1" x14ac:dyDescent="0.35">
      <c r="A20" s="322"/>
      <c r="B20" s="369" t="s">
        <v>172</v>
      </c>
      <c r="C20" s="370">
        <v>560.85</v>
      </c>
      <c r="D20" s="370">
        <v>300.16999999999996</v>
      </c>
      <c r="E20" s="370">
        <v>861.02</v>
      </c>
      <c r="F20" s="371"/>
      <c r="G20" s="370">
        <v>525.25</v>
      </c>
      <c r="H20" s="370">
        <v>302.29000000000002</v>
      </c>
      <c r="I20" s="370">
        <v>827.54</v>
      </c>
      <c r="J20" s="327"/>
      <c r="K20" s="372">
        <v>6.7777248929081435E-2</v>
      </c>
      <c r="L20" s="373">
        <v>-7.0131330841247189E-3</v>
      </c>
      <c r="M20" s="373">
        <v>4.0457258863619908E-2</v>
      </c>
    </row>
    <row r="21" spans="1:13" ht="14" x14ac:dyDescent="0.3">
      <c r="B21" s="108"/>
      <c r="C21" s="315"/>
      <c r="D21" s="374"/>
      <c r="E21" s="315"/>
      <c r="F21" s="315"/>
      <c r="G21" s="315"/>
      <c r="H21" s="315"/>
      <c r="I21" s="315"/>
      <c r="J21" s="315"/>
      <c r="K21" s="315"/>
      <c r="L21" s="315"/>
      <c r="M21" s="315"/>
    </row>
    <row r="22" spans="1:13" ht="14" x14ac:dyDescent="0.3">
      <c r="B22" s="108"/>
      <c r="C22" s="315"/>
      <c r="D22" s="315"/>
      <c r="E22" s="315"/>
      <c r="F22" s="315"/>
      <c r="G22" s="315"/>
      <c r="H22" s="315"/>
      <c r="I22" s="315"/>
      <c r="J22" s="315"/>
      <c r="K22" s="315"/>
      <c r="L22" s="315"/>
      <c r="M22" s="315"/>
    </row>
    <row r="23" spans="1:13" ht="14.5" thickBot="1" x14ac:dyDescent="0.35">
      <c r="B23" s="313" t="s">
        <v>173</v>
      </c>
      <c r="C23" s="314"/>
      <c r="D23" s="315"/>
      <c r="E23" s="316"/>
      <c r="F23" s="316"/>
      <c r="G23" s="314"/>
      <c r="H23" s="315"/>
      <c r="I23" s="317"/>
      <c r="J23" s="315"/>
      <c r="K23" s="314"/>
      <c r="L23" s="315"/>
      <c r="M23" s="314"/>
    </row>
    <row r="24" spans="1:13" ht="14.5" thickBot="1" x14ac:dyDescent="0.35">
      <c r="B24" s="319"/>
      <c r="C24" s="320" t="s">
        <v>165</v>
      </c>
      <c r="D24" s="320" t="s">
        <v>166</v>
      </c>
      <c r="E24" s="320" t="s">
        <v>48</v>
      </c>
      <c r="F24" s="321"/>
      <c r="G24" s="320" t="s">
        <v>165</v>
      </c>
      <c r="H24" s="320" t="s">
        <v>166</v>
      </c>
      <c r="I24" s="320" t="s">
        <v>48</v>
      </c>
      <c r="J24" s="321"/>
      <c r="K24" s="320" t="s">
        <v>165</v>
      </c>
      <c r="L24" s="320" t="s">
        <v>166</v>
      </c>
      <c r="M24" s="320" t="s">
        <v>48</v>
      </c>
    </row>
    <row r="25" spans="1:13" s="331" customFormat="1" ht="14" x14ac:dyDescent="0.3">
      <c r="A25" s="322"/>
      <c r="B25" s="323" t="s">
        <v>174</v>
      </c>
      <c r="C25" s="324">
        <v>258.32</v>
      </c>
      <c r="D25" s="325">
        <v>155.15</v>
      </c>
      <c r="E25" s="326">
        <v>413.47</v>
      </c>
      <c r="F25" s="327"/>
      <c r="G25" s="324">
        <v>261.07</v>
      </c>
      <c r="H25" s="325">
        <v>170.75</v>
      </c>
      <c r="I25" s="326">
        <v>431.82</v>
      </c>
      <c r="J25" s="327"/>
      <c r="K25" s="328">
        <v>-1.0533573371126518E-2</v>
      </c>
      <c r="L25" s="329">
        <v>-9.1361639824304508E-2</v>
      </c>
      <c r="M25" s="330">
        <v>-4.2494557917650798E-2</v>
      </c>
    </row>
    <row r="26" spans="1:13" ht="14" x14ac:dyDescent="0.3">
      <c r="A26" s="312"/>
      <c r="B26" s="332" t="s">
        <v>175</v>
      </c>
      <c r="C26" s="333">
        <v>143.62</v>
      </c>
      <c r="D26" s="334">
        <v>125.71</v>
      </c>
      <c r="E26" s="335">
        <v>269.33</v>
      </c>
      <c r="F26" s="336"/>
      <c r="G26" s="333">
        <v>151.59</v>
      </c>
      <c r="H26" s="334">
        <v>141.41999999999999</v>
      </c>
      <c r="I26" s="335">
        <v>293.01</v>
      </c>
      <c r="J26" s="336"/>
      <c r="K26" s="337">
        <v>-5.2576027442443427E-2</v>
      </c>
      <c r="L26" s="338">
        <v>-0.1110875406590298</v>
      </c>
      <c r="M26" s="339">
        <v>-8.0816354390635156E-2</v>
      </c>
    </row>
    <row r="27" spans="1:13" ht="14" x14ac:dyDescent="0.3">
      <c r="A27" s="312"/>
      <c r="B27" s="340" t="s">
        <v>176</v>
      </c>
      <c r="C27" s="341">
        <v>114.7</v>
      </c>
      <c r="D27" s="342">
        <v>29.44</v>
      </c>
      <c r="E27" s="343">
        <v>144.14000000000001</v>
      </c>
      <c r="F27" s="336"/>
      <c r="G27" s="341">
        <v>109.48</v>
      </c>
      <c r="H27" s="342">
        <v>29.33</v>
      </c>
      <c r="I27" s="343">
        <v>138.81</v>
      </c>
      <c r="J27" s="336"/>
      <c r="K27" s="344">
        <v>4.7679941541834116E-2</v>
      </c>
      <c r="L27" s="345">
        <v>3.7504261847938285E-3</v>
      </c>
      <c r="M27" s="346">
        <v>3.8397809956055129E-2</v>
      </c>
    </row>
    <row r="28" spans="1:13" s="331" customFormat="1" ht="14" x14ac:dyDescent="0.3">
      <c r="A28" s="322"/>
      <c r="B28" s="375" t="s">
        <v>177</v>
      </c>
      <c r="C28" s="376">
        <v>25.12</v>
      </c>
      <c r="D28" s="377">
        <v>14.76</v>
      </c>
      <c r="E28" s="378">
        <v>39.880000000000003</v>
      </c>
      <c r="F28" s="327"/>
      <c r="G28" s="376">
        <v>20.02</v>
      </c>
      <c r="H28" s="377">
        <v>17.75</v>
      </c>
      <c r="I28" s="378">
        <v>37.769999999999996</v>
      </c>
      <c r="J28" s="327"/>
      <c r="K28" s="379">
        <v>0.25474525474525483</v>
      </c>
      <c r="L28" s="380">
        <v>-0.16845070422535213</v>
      </c>
      <c r="M28" s="381">
        <v>5.5864442679375341E-2</v>
      </c>
    </row>
    <row r="29" spans="1:13" s="331" customFormat="1" ht="14" x14ac:dyDescent="0.3">
      <c r="A29" s="322"/>
      <c r="B29" s="347" t="s">
        <v>178</v>
      </c>
      <c r="C29" s="348">
        <v>-3.24</v>
      </c>
      <c r="D29" s="349">
        <v>0</v>
      </c>
      <c r="E29" s="350">
        <v>-3.24</v>
      </c>
      <c r="F29" s="327"/>
      <c r="G29" s="348">
        <v>-6.8</v>
      </c>
      <c r="H29" s="349">
        <v>-1.04</v>
      </c>
      <c r="I29" s="350">
        <v>-7.84</v>
      </c>
      <c r="J29" s="327"/>
      <c r="K29" s="382" t="s">
        <v>262</v>
      </c>
      <c r="L29" s="383" t="s">
        <v>262</v>
      </c>
      <c r="M29" s="384" t="s">
        <v>262</v>
      </c>
    </row>
    <row r="30" spans="1:13" s="331" customFormat="1" ht="14" x14ac:dyDescent="0.3">
      <c r="A30" s="322"/>
      <c r="B30" s="323" t="s">
        <v>179</v>
      </c>
      <c r="C30" s="324">
        <v>274.16000000000003</v>
      </c>
      <c r="D30" s="325">
        <v>130.26</v>
      </c>
      <c r="E30" s="326">
        <v>404.42</v>
      </c>
      <c r="F30" s="327"/>
      <c r="G30" s="324">
        <v>237.36</v>
      </c>
      <c r="H30" s="325">
        <v>112.75</v>
      </c>
      <c r="I30" s="326">
        <v>350.11</v>
      </c>
      <c r="J30" s="327"/>
      <c r="K30" s="328">
        <v>0.15503875968992251</v>
      </c>
      <c r="L30" s="329">
        <v>0.15529933481152985</v>
      </c>
      <c r="M30" s="330">
        <v>0.15512267573048472</v>
      </c>
    </row>
    <row r="31" spans="1:13" ht="14" x14ac:dyDescent="0.3">
      <c r="A31" s="312"/>
      <c r="B31" s="332" t="s">
        <v>168</v>
      </c>
      <c r="C31" s="333">
        <v>238.83</v>
      </c>
      <c r="D31" s="334">
        <v>116.6</v>
      </c>
      <c r="E31" s="335">
        <v>355.43</v>
      </c>
      <c r="F31" s="336"/>
      <c r="G31" s="333">
        <v>203.84</v>
      </c>
      <c r="H31" s="334">
        <v>99.72</v>
      </c>
      <c r="I31" s="335">
        <v>303.56</v>
      </c>
      <c r="J31" s="336"/>
      <c r="K31" s="337">
        <v>0.17165423861852439</v>
      </c>
      <c r="L31" s="338">
        <v>0.16927396710790207</v>
      </c>
      <c r="M31" s="339">
        <v>0.17087231519304258</v>
      </c>
    </row>
    <row r="32" spans="1:13" ht="14.5" thickBot="1" x14ac:dyDescent="0.35">
      <c r="A32" s="312"/>
      <c r="B32" s="362" t="s">
        <v>169</v>
      </c>
      <c r="C32" s="363">
        <v>35.33</v>
      </c>
      <c r="D32" s="364">
        <v>13.66</v>
      </c>
      <c r="E32" s="365">
        <v>48.989999999999995</v>
      </c>
      <c r="F32" s="336"/>
      <c r="G32" s="363">
        <v>33.520000000000003</v>
      </c>
      <c r="H32" s="364">
        <v>13.03</v>
      </c>
      <c r="I32" s="365">
        <v>46.550000000000004</v>
      </c>
      <c r="J32" s="336"/>
      <c r="K32" s="385">
        <v>5.3997613365154983E-2</v>
      </c>
      <c r="L32" s="386">
        <v>4.8349961627014645E-2</v>
      </c>
      <c r="M32" s="387">
        <v>5.2416756176154468E-2</v>
      </c>
    </row>
    <row r="33" spans="2:13" ht="14" x14ac:dyDescent="0.3">
      <c r="B33" s="388"/>
      <c r="C33" s="388"/>
      <c r="D33" s="388"/>
      <c r="E33" s="388"/>
      <c r="F33" s="108"/>
      <c r="G33" s="388"/>
      <c r="H33" s="388"/>
      <c r="I33" s="388"/>
      <c r="J33" s="108"/>
      <c r="K33" s="388"/>
      <c r="L33" s="388"/>
      <c r="M33" s="388"/>
    </row>
    <row r="34" spans="2:13" ht="14" x14ac:dyDescent="0.2">
      <c r="B34" s="908" t="s">
        <v>180</v>
      </c>
      <c r="C34" s="908"/>
      <c r="D34" s="908"/>
      <c r="E34" s="908"/>
      <c r="F34" s="908"/>
      <c r="G34" s="908"/>
      <c r="H34" s="908"/>
      <c r="I34" s="908"/>
      <c r="J34" s="908"/>
      <c r="K34" s="908"/>
      <c r="L34" s="908"/>
      <c r="M34" s="908"/>
    </row>
    <row r="35" spans="2:13" ht="14" x14ac:dyDescent="0.2">
      <c r="B35" s="908" t="s">
        <v>181</v>
      </c>
      <c r="C35" s="908"/>
      <c r="D35" s="908"/>
      <c r="E35" s="908"/>
      <c r="F35" s="908"/>
      <c r="G35" s="908"/>
      <c r="H35" s="908"/>
      <c r="I35" s="908"/>
      <c r="J35" s="908"/>
      <c r="K35" s="908"/>
      <c r="L35" s="908"/>
      <c r="M35" s="908"/>
    </row>
    <row r="36" spans="2:13" ht="14" x14ac:dyDescent="0.2">
      <c r="B36" s="908" t="s">
        <v>182</v>
      </c>
      <c r="C36" s="908"/>
      <c r="D36" s="908"/>
      <c r="E36" s="908"/>
      <c r="F36" s="908"/>
      <c r="G36" s="908"/>
      <c r="H36" s="908"/>
      <c r="I36" s="908"/>
      <c r="J36" s="908"/>
      <c r="K36" s="908"/>
      <c r="L36" s="908"/>
      <c r="M36" s="908"/>
    </row>
    <row r="37" spans="2:13" ht="15.5" x14ac:dyDescent="0.35">
      <c r="B37" s="797" t="s">
        <v>119</v>
      </c>
      <c r="C37" s="797"/>
      <c r="D37" s="797"/>
      <c r="E37" s="797"/>
      <c r="F37" s="797"/>
      <c r="G37" s="797"/>
      <c r="H37" s="797"/>
      <c r="I37" s="797"/>
      <c r="J37" s="797"/>
      <c r="K37" s="797"/>
      <c r="L37" s="797"/>
      <c r="M37" s="797"/>
    </row>
  </sheetData>
  <customSheetViews>
    <customSheetView guid="{6654F670-CAA9-4C4A-B3D9-226402FC46BC}" scale="85" showPageBreaks="1" printArea="1" view="pageLayout" topLeftCell="A4">
      <selection activeCell="C25" sqref="C25:M32"/>
      <pageMargins left="0.70866141732283472" right="0.70866141732283472" top="0.74803149606299213" bottom="0.74803149606299213" header="0.31496062992125984" footer="0.31496062992125984"/>
      <pageSetup paperSize="9" scale="80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85" showPageBreaks="1" printArea="1" view="pageLayout" topLeftCell="A4">
      <selection activeCell="C25" sqref="C25:M32"/>
      <pageMargins left="0.70866141732283472" right="0.70866141732283472" top="0.74803149606299213" bottom="0.74803149606299213" header="0.31496062992125984" footer="0.31496062992125984"/>
      <pageSetup paperSize="9" scale="80" orientation="landscape"/>
      <headerFooter>
        <oddHeader>&amp;L&amp;G&amp;RCAMPAÑA: 2025/2026. MES: JULIO
Fecha de emisión de datos: 25/08/2026</oddHeader>
      </headerFooter>
    </customSheetView>
  </customSheetViews>
  <mergeCells count="10">
    <mergeCell ref="B34:M34"/>
    <mergeCell ref="B35:M35"/>
    <mergeCell ref="B36:M36"/>
    <mergeCell ref="B37:M37"/>
    <mergeCell ref="B4:M6"/>
    <mergeCell ref="B8:M8"/>
    <mergeCell ref="B9:M9"/>
    <mergeCell ref="C10:E10"/>
    <mergeCell ref="G10:I10"/>
    <mergeCell ref="K10:M10"/>
  </mergeCells>
  <pageMargins left="0.70866141732283472" right="0.70866141732283472" top="0.74803149606299213" bottom="0.74803149606299213" header="0.31496062992125984" footer="0.31496062992125984"/>
  <pageSetup paperSize="9" scale="80" orientation="landscape" r:id="rId1"/>
  <headerFooter>
    <oddHeader>&amp;L&amp;G&amp;RCAMPAÑA: 2025/2026. MES: JULIO
Fecha de emisión de datos: 25/08/2026</oddHeader>
  </headerFooter>
  <legacyDrawingHF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B1:M37"/>
  <sheetViews>
    <sheetView view="pageLayout" zoomScale="85" zoomScaleNormal="100" zoomScaleSheetLayoutView="85" zoomScalePageLayoutView="85" workbookViewId="0">
      <selection activeCell="B4" sqref="B4:M6"/>
    </sheetView>
  </sheetViews>
  <sheetFormatPr baseColWidth="10" defaultColWidth="11.453125" defaultRowHeight="9" x14ac:dyDescent="0.2"/>
  <cols>
    <col min="1" max="1" width="5.54296875" style="1" customWidth="1"/>
    <col min="2" max="2" width="32.54296875" style="2" bestFit="1" customWidth="1"/>
    <col min="3" max="3" width="13.81640625" style="1" customWidth="1"/>
    <col min="4" max="4" width="13" style="1" customWidth="1"/>
    <col min="5" max="5" width="15" style="1" customWidth="1"/>
    <col min="6" max="6" width="13" style="1" customWidth="1"/>
    <col min="7" max="7" width="13.7265625" style="1" customWidth="1"/>
    <col min="8" max="8" width="14.81640625" style="1" customWidth="1"/>
    <col min="9" max="9" width="18.1796875" style="1" customWidth="1"/>
    <col min="10" max="10" width="12.1796875" style="1" customWidth="1"/>
    <col min="11" max="11" width="9.54296875" style="1" customWidth="1"/>
    <col min="12" max="13" width="12.7265625" style="1" customWidth="1"/>
    <col min="14" max="14" width="2.7265625" style="1" customWidth="1"/>
    <col min="15" max="16384" width="11.453125" style="1"/>
  </cols>
  <sheetData>
    <row r="1" spans="2:13" ht="15.75" customHeight="1" x14ac:dyDescent="0.2"/>
    <row r="2" spans="2:13" ht="15.75" customHeight="1" x14ac:dyDescent="0.2"/>
    <row r="3" spans="2:13" ht="15.75" customHeight="1" x14ac:dyDescent="0.2"/>
    <row r="4" spans="2:13" ht="17.25" customHeight="1" x14ac:dyDescent="0.2">
      <c r="B4" s="761" t="s">
        <v>183</v>
      </c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</row>
    <row r="5" spans="2:13" ht="17.25" customHeight="1" x14ac:dyDescent="0.2">
      <c r="B5" s="761"/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</row>
    <row r="6" spans="2:13" ht="19.5" customHeight="1" x14ac:dyDescent="0.2"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</row>
    <row r="7" spans="2:13" ht="18" customHeight="1" thickBot="1" x14ac:dyDescent="0.25"/>
    <row r="8" spans="2:13" ht="18.75" customHeight="1" thickBot="1" x14ac:dyDescent="0.25">
      <c r="B8" s="909" t="s">
        <v>261</v>
      </c>
      <c r="C8" s="910"/>
      <c r="D8" s="910"/>
      <c r="E8" s="910"/>
      <c r="F8" s="910"/>
      <c r="G8" s="910"/>
      <c r="H8" s="910"/>
      <c r="I8" s="910"/>
      <c r="J8" s="910"/>
      <c r="K8" s="910"/>
      <c r="L8" s="910"/>
      <c r="M8" s="911"/>
    </row>
    <row r="9" spans="2:13" ht="18.75" customHeight="1" thickBot="1" x14ac:dyDescent="0.25">
      <c r="G9" s="389"/>
      <c r="H9" s="389"/>
      <c r="I9" s="390"/>
      <c r="M9" s="311"/>
    </row>
    <row r="10" spans="2:13" s="391" customFormat="1" ht="15.65" customHeight="1" thickBot="1" x14ac:dyDescent="0.4">
      <c r="B10" s="392"/>
      <c r="C10" s="913" t="s">
        <v>59</v>
      </c>
      <c r="D10" s="914"/>
      <c r="E10" s="915" t="s">
        <v>71</v>
      </c>
      <c r="F10" s="913" t="s">
        <v>184</v>
      </c>
      <c r="G10" s="914"/>
      <c r="H10" s="913" t="s">
        <v>185</v>
      </c>
      <c r="I10" s="914"/>
      <c r="J10" s="917" t="s">
        <v>186</v>
      </c>
      <c r="K10" s="915" t="s">
        <v>47</v>
      </c>
      <c r="L10" s="913" t="s">
        <v>3</v>
      </c>
      <c r="M10" s="914"/>
    </row>
    <row r="11" spans="2:13" s="391" customFormat="1" ht="25.5" customHeight="1" thickBot="1" x14ac:dyDescent="0.4">
      <c r="B11" s="393"/>
      <c r="C11" s="394" t="s">
        <v>187</v>
      </c>
      <c r="D11" s="394" t="s">
        <v>188</v>
      </c>
      <c r="E11" s="916"/>
      <c r="F11" s="394" t="s">
        <v>187</v>
      </c>
      <c r="G11" s="394" t="s">
        <v>188</v>
      </c>
      <c r="H11" s="394" t="s">
        <v>189</v>
      </c>
      <c r="I11" s="394" t="s">
        <v>190</v>
      </c>
      <c r="J11" s="918"/>
      <c r="K11" s="916"/>
      <c r="L11" s="394" t="s">
        <v>187</v>
      </c>
      <c r="M11" s="394" t="s">
        <v>188</v>
      </c>
    </row>
    <row r="12" spans="2:13" ht="15.65" customHeight="1" thickBot="1" x14ac:dyDescent="0.25">
      <c r="B12" s="395" t="s">
        <v>191</v>
      </c>
      <c r="C12" s="396">
        <v>90.596999999999994</v>
      </c>
      <c r="D12" s="397">
        <v>16.574999999999999</v>
      </c>
      <c r="E12" s="397">
        <v>140.565</v>
      </c>
      <c r="F12" s="397">
        <v>14.67</v>
      </c>
      <c r="G12" s="397">
        <v>1.9239999999999999</v>
      </c>
      <c r="H12" s="397">
        <v>59.133000000000003</v>
      </c>
      <c r="I12" s="397">
        <v>66.807000000000002</v>
      </c>
      <c r="J12" s="397">
        <v>11.500999999999999</v>
      </c>
      <c r="K12" s="397">
        <v>5.298</v>
      </c>
      <c r="L12" s="397">
        <v>114.431</v>
      </c>
      <c r="M12" s="398">
        <v>17.756999999999998</v>
      </c>
    </row>
    <row r="13" spans="2:13" ht="15.65" customHeight="1" thickBot="1" x14ac:dyDescent="0.25">
      <c r="B13" s="399" t="s">
        <v>192</v>
      </c>
      <c r="C13" s="400">
        <v>88.429000000000002</v>
      </c>
      <c r="D13" s="401">
        <v>16.404</v>
      </c>
      <c r="E13" s="401">
        <v>136.297</v>
      </c>
      <c r="F13" s="401">
        <v>14.282999999999999</v>
      </c>
      <c r="G13" s="401">
        <v>1.9239999999999999</v>
      </c>
      <c r="H13" s="401">
        <v>57.509</v>
      </c>
      <c r="I13" s="401">
        <v>66.587999999999994</v>
      </c>
      <c r="J13" s="401">
        <v>11.124000000000001</v>
      </c>
      <c r="K13" s="401">
        <v>5.8310000000000004</v>
      </c>
      <c r="L13" s="401">
        <v>110.48999999999998</v>
      </c>
      <c r="M13" s="402">
        <v>17.456</v>
      </c>
    </row>
    <row r="14" spans="2:13" ht="15.65" customHeight="1" thickBot="1" x14ac:dyDescent="0.25">
      <c r="B14" s="399" t="s">
        <v>193</v>
      </c>
      <c r="C14" s="400">
        <v>2.1680000000000001</v>
      </c>
      <c r="D14" s="401">
        <v>0.17100000000000001</v>
      </c>
      <c r="E14" s="401">
        <v>4.2679999999999998</v>
      </c>
      <c r="F14" s="401">
        <v>0.38700000000000001</v>
      </c>
      <c r="G14" s="401">
        <v>0</v>
      </c>
      <c r="H14" s="401">
        <v>1.6240000000000001</v>
      </c>
      <c r="I14" s="401">
        <v>0.219</v>
      </c>
      <c r="J14" s="401">
        <v>0.376</v>
      </c>
      <c r="K14" s="401">
        <v>-0.53300000000000003</v>
      </c>
      <c r="L14" s="401">
        <v>3.9409999999999998</v>
      </c>
      <c r="M14" s="402">
        <v>0.30099999999999999</v>
      </c>
    </row>
    <row r="15" spans="2:13" ht="15.65" customHeight="1" thickBot="1" x14ac:dyDescent="0.25">
      <c r="B15" s="403" t="s">
        <v>194</v>
      </c>
      <c r="C15" s="396">
        <v>11.858000000000001</v>
      </c>
      <c r="D15" s="397">
        <v>2.7229999999999999</v>
      </c>
      <c r="E15" s="397">
        <v>23.372</v>
      </c>
      <c r="F15" s="397">
        <v>4.5060000000000002</v>
      </c>
      <c r="G15" s="397">
        <v>0.67800000000000005</v>
      </c>
      <c r="H15" s="397">
        <v>12.417999999999999</v>
      </c>
      <c r="I15" s="397">
        <v>7.0220000000000002</v>
      </c>
      <c r="J15" s="397">
        <v>1.929</v>
      </c>
      <c r="K15" s="397">
        <v>-1.226</v>
      </c>
      <c r="L15" s="397">
        <v>17.453999999999997</v>
      </c>
      <c r="M15" s="398">
        <v>3.0859999999999999</v>
      </c>
    </row>
    <row r="16" spans="2:13" ht="15.65" customHeight="1" thickBot="1" x14ac:dyDescent="0.25">
      <c r="B16" s="399" t="s">
        <v>192</v>
      </c>
      <c r="C16" s="400">
        <v>11.048999999999999</v>
      </c>
      <c r="D16" s="401">
        <v>2.677</v>
      </c>
      <c r="E16" s="401">
        <v>23.181000000000001</v>
      </c>
      <c r="F16" s="401">
        <v>4.5010000000000003</v>
      </c>
      <c r="G16" s="401">
        <v>0.67800000000000005</v>
      </c>
      <c r="H16" s="401">
        <v>12.401</v>
      </c>
      <c r="I16" s="401">
        <v>6.8230000000000004</v>
      </c>
      <c r="J16" s="401">
        <v>1.893</v>
      </c>
      <c r="K16" s="401">
        <v>-1.165</v>
      </c>
      <c r="L16" s="401">
        <v>16.756</v>
      </c>
      <c r="M16" s="402">
        <v>3.0489999999999999</v>
      </c>
    </row>
    <row r="17" spans="2:13" ht="15.65" customHeight="1" thickBot="1" x14ac:dyDescent="0.25">
      <c r="B17" s="399" t="s">
        <v>193</v>
      </c>
      <c r="C17" s="400">
        <v>0.80900000000000005</v>
      </c>
      <c r="D17" s="401">
        <v>4.5999999999999999E-2</v>
      </c>
      <c r="E17" s="401">
        <v>0.191</v>
      </c>
      <c r="F17" s="401">
        <v>4.0000000000000001E-3</v>
      </c>
      <c r="G17" s="401">
        <v>0</v>
      </c>
      <c r="H17" s="401">
        <v>1.7999999999999999E-2</v>
      </c>
      <c r="I17" s="401">
        <v>0.2</v>
      </c>
      <c r="J17" s="401">
        <v>3.6999999999999998E-2</v>
      </c>
      <c r="K17" s="401">
        <v>-6.0999999999999999E-2</v>
      </c>
      <c r="L17" s="401">
        <v>0.69799999999999995</v>
      </c>
      <c r="M17" s="402">
        <v>3.6999999999999998E-2</v>
      </c>
    </row>
    <row r="18" spans="2:13" s="331" customFormat="1" ht="15.65" customHeight="1" thickBot="1" x14ac:dyDescent="0.25">
      <c r="B18" s="404" t="s">
        <v>195</v>
      </c>
      <c r="C18" s="396">
        <v>141.02699999999999</v>
      </c>
      <c r="D18" s="397">
        <v>17.152999999999999</v>
      </c>
      <c r="E18" s="397">
        <v>251.68199999999999</v>
      </c>
      <c r="F18" s="397">
        <v>13.455</v>
      </c>
      <c r="G18" s="397">
        <v>1.4E-2</v>
      </c>
      <c r="H18" s="397">
        <v>176.39699999999999</v>
      </c>
      <c r="I18" s="397">
        <v>36.03</v>
      </c>
      <c r="J18" s="397">
        <v>18.628</v>
      </c>
      <c r="K18" s="397">
        <v>-2.2290000000000001</v>
      </c>
      <c r="L18" s="397">
        <v>170.07599999999996</v>
      </c>
      <c r="M18" s="398">
        <v>19.971</v>
      </c>
    </row>
    <row r="19" spans="2:13" ht="15.65" customHeight="1" thickBot="1" x14ac:dyDescent="0.25">
      <c r="B19" s="399" t="s">
        <v>192</v>
      </c>
      <c r="C19" s="400">
        <v>69.63</v>
      </c>
      <c r="D19" s="401">
        <v>8.2850000000000001</v>
      </c>
      <c r="E19" s="401">
        <v>111.66500000000001</v>
      </c>
      <c r="F19" s="401">
        <v>5.7039999999999997</v>
      </c>
      <c r="G19" s="401">
        <v>0</v>
      </c>
      <c r="H19" s="401">
        <v>68.894000000000005</v>
      </c>
      <c r="I19" s="401">
        <v>19.867999999999999</v>
      </c>
      <c r="J19" s="401">
        <v>8.8740000000000006</v>
      </c>
      <c r="K19" s="401">
        <v>-3.7519999999999998</v>
      </c>
      <c r="L19" s="401">
        <v>84.906000000000006</v>
      </c>
      <c r="M19" s="402">
        <v>8.9879999999999995</v>
      </c>
    </row>
    <row r="20" spans="2:13" ht="15.65" customHeight="1" thickBot="1" x14ac:dyDescent="0.25">
      <c r="B20" s="399" t="s">
        <v>193</v>
      </c>
      <c r="C20" s="400">
        <v>71.397000000000006</v>
      </c>
      <c r="D20" s="401">
        <v>8.8680000000000003</v>
      </c>
      <c r="E20" s="401">
        <v>140.017</v>
      </c>
      <c r="F20" s="401">
        <v>7.7510000000000003</v>
      </c>
      <c r="G20" s="401">
        <v>1.4E-2</v>
      </c>
      <c r="H20" s="401">
        <v>107.502</v>
      </c>
      <c r="I20" s="401">
        <v>16.161999999999999</v>
      </c>
      <c r="J20" s="401">
        <v>9.7520000000000007</v>
      </c>
      <c r="K20" s="401">
        <v>1.522</v>
      </c>
      <c r="L20" s="401">
        <v>85.17000000000003</v>
      </c>
      <c r="M20" s="402">
        <v>10.981999999999999</v>
      </c>
    </row>
    <row r="21" spans="2:13" ht="15.65" customHeight="1" thickBot="1" x14ac:dyDescent="0.25">
      <c r="B21" s="405" t="s">
        <v>196</v>
      </c>
      <c r="C21" s="396">
        <v>13.994999999999999</v>
      </c>
      <c r="D21" s="397">
        <v>2.1179999999999999</v>
      </c>
      <c r="E21" s="397">
        <v>47.119</v>
      </c>
      <c r="F21" s="397">
        <v>0.32</v>
      </c>
      <c r="G21" s="397">
        <v>0</v>
      </c>
      <c r="H21" s="397">
        <v>17.373000000000001</v>
      </c>
      <c r="I21" s="397">
        <v>12.708</v>
      </c>
      <c r="J21" s="397">
        <v>5.2990000000000004</v>
      </c>
      <c r="K21" s="397">
        <v>-2.774</v>
      </c>
      <c r="L21" s="397">
        <v>23.297999999999995</v>
      </c>
      <c r="M21" s="398">
        <v>2.101</v>
      </c>
    </row>
    <row r="22" spans="2:13" ht="15.65" customHeight="1" thickBot="1" x14ac:dyDescent="0.25">
      <c r="B22" s="399" t="s">
        <v>192</v>
      </c>
      <c r="C22" s="400">
        <v>2.8540000000000001</v>
      </c>
      <c r="D22" s="401">
        <v>0.32</v>
      </c>
      <c r="E22" s="401">
        <v>10.612</v>
      </c>
      <c r="F22" s="401">
        <v>0</v>
      </c>
      <c r="G22" s="401">
        <v>0</v>
      </c>
      <c r="H22" s="401">
        <v>2.0649999999999999</v>
      </c>
      <c r="I22" s="401">
        <v>3.4670000000000001</v>
      </c>
      <c r="J22" s="401">
        <v>1.123</v>
      </c>
      <c r="K22" s="401">
        <v>-0.78300000000000003</v>
      </c>
      <c r="L22" s="401">
        <v>5.7339999999999991</v>
      </c>
      <c r="M22" s="402">
        <v>0.61299999999999999</v>
      </c>
    </row>
    <row r="23" spans="2:13" ht="15.65" customHeight="1" thickBot="1" x14ac:dyDescent="0.25">
      <c r="B23" s="399" t="s">
        <v>193</v>
      </c>
      <c r="C23" s="400">
        <v>11.141</v>
      </c>
      <c r="D23" s="401">
        <v>1.798</v>
      </c>
      <c r="E23" s="401">
        <v>36.506999999999998</v>
      </c>
      <c r="F23" s="401">
        <v>0.32</v>
      </c>
      <c r="G23" s="401">
        <v>0</v>
      </c>
      <c r="H23" s="401">
        <v>15.308</v>
      </c>
      <c r="I23" s="401">
        <v>9.24</v>
      </c>
      <c r="J23" s="401">
        <v>4.1749999999999998</v>
      </c>
      <c r="K23" s="401">
        <v>-1.992</v>
      </c>
      <c r="L23" s="401">
        <v>17.564</v>
      </c>
      <c r="M23" s="402">
        <v>1.488</v>
      </c>
    </row>
    <row r="24" spans="2:13" ht="15.65" customHeight="1" thickBot="1" x14ac:dyDescent="0.25">
      <c r="B24" s="405" t="s">
        <v>197</v>
      </c>
      <c r="C24" s="396">
        <v>4.6059999999999999</v>
      </c>
      <c r="D24" s="397">
        <v>1.329</v>
      </c>
      <c r="E24" s="397">
        <v>14.157999999999999</v>
      </c>
      <c r="F24" s="397">
        <v>0</v>
      </c>
      <c r="G24" s="397">
        <v>8.3000000000000004E-2</v>
      </c>
      <c r="H24" s="397">
        <v>0.498</v>
      </c>
      <c r="I24" s="397">
        <v>4.34</v>
      </c>
      <c r="J24" s="397">
        <v>0.88100000000000001</v>
      </c>
      <c r="K24" s="397">
        <v>-5.6059999999999999</v>
      </c>
      <c r="L24" s="397">
        <v>7.4719999999999978</v>
      </c>
      <c r="M24" s="398">
        <v>1.38</v>
      </c>
    </row>
    <row r="25" spans="2:13" ht="15.65" customHeight="1" thickBot="1" x14ac:dyDescent="0.25">
      <c r="B25" s="399" t="s">
        <v>192</v>
      </c>
      <c r="C25" s="400">
        <v>4.4989999999999997</v>
      </c>
      <c r="D25" s="401">
        <v>1.329</v>
      </c>
      <c r="E25" s="401">
        <v>13.878</v>
      </c>
      <c r="F25" s="401">
        <v>0</v>
      </c>
      <c r="G25" s="401">
        <v>8.3000000000000004E-2</v>
      </c>
      <c r="H25" s="401">
        <v>0.35199999999999998</v>
      </c>
      <c r="I25" s="401">
        <v>4.2119999999999997</v>
      </c>
      <c r="J25" s="401">
        <v>0.88</v>
      </c>
      <c r="K25" s="401">
        <v>-5.6449999999999996</v>
      </c>
      <c r="L25" s="401">
        <v>7.3320000000000016</v>
      </c>
      <c r="M25" s="402">
        <v>1.369</v>
      </c>
    </row>
    <row r="26" spans="2:13" ht="15.65" customHeight="1" thickBot="1" x14ac:dyDescent="0.25">
      <c r="B26" s="399" t="s">
        <v>193</v>
      </c>
      <c r="C26" s="400">
        <v>0.107</v>
      </c>
      <c r="D26" s="401">
        <v>0</v>
      </c>
      <c r="E26" s="401">
        <v>0.28000000000000003</v>
      </c>
      <c r="F26" s="401">
        <v>0</v>
      </c>
      <c r="G26" s="401">
        <v>0</v>
      </c>
      <c r="H26" s="401">
        <v>0.14599999999999999</v>
      </c>
      <c r="I26" s="401">
        <v>0.128</v>
      </c>
      <c r="J26" s="401">
        <v>1E-3</v>
      </c>
      <c r="K26" s="401">
        <v>3.9E-2</v>
      </c>
      <c r="L26" s="401">
        <v>0.14000000000000001</v>
      </c>
      <c r="M26" s="402">
        <v>1.0999999999999999E-2</v>
      </c>
    </row>
    <row r="27" spans="2:13" ht="15.65" customHeight="1" thickBot="1" x14ac:dyDescent="0.25">
      <c r="B27" s="406" t="s">
        <v>21</v>
      </c>
      <c r="C27" s="396">
        <v>12.532</v>
      </c>
      <c r="D27" s="397">
        <v>3.8090000000000002</v>
      </c>
      <c r="E27" s="397">
        <v>26.204000000000001</v>
      </c>
      <c r="F27" s="397">
        <v>3.2469999999999999</v>
      </c>
      <c r="G27" s="397">
        <v>0.69099999999999995</v>
      </c>
      <c r="H27" s="397">
        <v>3.5139999999999998</v>
      </c>
      <c r="I27" s="397">
        <v>17.228999999999999</v>
      </c>
      <c r="J27" s="397">
        <v>1.6379999999999999</v>
      </c>
      <c r="K27" s="397">
        <v>3.29</v>
      </c>
      <c r="L27" s="397">
        <v>22.702000000000002</v>
      </c>
      <c r="M27" s="398">
        <v>4.6900000000000004</v>
      </c>
    </row>
    <row r="28" spans="2:13" ht="15.65" customHeight="1" thickBot="1" x14ac:dyDescent="0.25">
      <c r="B28" s="399" t="s">
        <v>192</v>
      </c>
      <c r="C28" s="400">
        <v>9.1929999999999996</v>
      </c>
      <c r="D28" s="401">
        <v>2.988</v>
      </c>
      <c r="E28" s="401">
        <v>17.349</v>
      </c>
      <c r="F28" s="401">
        <v>2.4550000000000001</v>
      </c>
      <c r="G28" s="401">
        <v>0.56999999999999995</v>
      </c>
      <c r="H28" s="401">
        <v>2.403</v>
      </c>
      <c r="I28" s="401">
        <v>13.738</v>
      </c>
      <c r="J28" s="401">
        <v>1.22</v>
      </c>
      <c r="K28" s="401">
        <v>2.2690000000000001</v>
      </c>
      <c r="L28" s="401">
        <v>13.615000000000004</v>
      </c>
      <c r="M28" s="402">
        <v>3.8479999999999999</v>
      </c>
    </row>
    <row r="29" spans="2:13" ht="15.65" customHeight="1" thickBot="1" x14ac:dyDescent="0.25">
      <c r="B29" s="399" t="s">
        <v>193</v>
      </c>
      <c r="C29" s="400">
        <v>3.339</v>
      </c>
      <c r="D29" s="401">
        <v>0.82099999999999995</v>
      </c>
      <c r="E29" s="401">
        <v>8.8539999999999992</v>
      </c>
      <c r="F29" s="401">
        <v>0.79100000000000004</v>
      </c>
      <c r="G29" s="401">
        <v>0.121</v>
      </c>
      <c r="H29" s="401">
        <v>1.111</v>
      </c>
      <c r="I29" s="401">
        <v>3.4910000000000001</v>
      </c>
      <c r="J29" s="401">
        <v>0.41899999999999998</v>
      </c>
      <c r="K29" s="401">
        <v>1.0209999999999999</v>
      </c>
      <c r="L29" s="401">
        <v>9.0860000000000003</v>
      </c>
      <c r="M29" s="402">
        <v>0.84099999999999997</v>
      </c>
    </row>
    <row r="30" spans="2:13" ht="15.65" customHeight="1" thickBot="1" x14ac:dyDescent="0.25">
      <c r="B30" s="407" t="s">
        <v>60</v>
      </c>
      <c r="C30" s="408">
        <v>274.61499999999995</v>
      </c>
      <c r="D30" s="409">
        <v>43.706999999999994</v>
      </c>
      <c r="E30" s="409">
        <v>503.10000000000008</v>
      </c>
      <c r="F30" s="409">
        <v>36.19</v>
      </c>
      <c r="G30" s="409">
        <v>3.4</v>
      </c>
      <c r="H30" s="409">
        <v>269.33299999999997</v>
      </c>
      <c r="I30" s="409">
        <v>144.13600000000002</v>
      </c>
      <c r="J30" s="409">
        <v>39.875999999999998</v>
      </c>
      <c r="K30" s="409">
        <v>-3.24</v>
      </c>
      <c r="L30" s="409">
        <v>355.43299999999994</v>
      </c>
      <c r="M30" s="410">
        <v>48.984999999999992</v>
      </c>
    </row>
    <row r="31" spans="2:13" ht="15.65" customHeight="1" thickBot="1" x14ac:dyDescent="0.25">
      <c r="B31" s="399" t="s">
        <v>192</v>
      </c>
      <c r="C31" s="400">
        <v>185.655</v>
      </c>
      <c r="D31" s="401">
        <v>32.005000000000003</v>
      </c>
      <c r="E31" s="401">
        <v>312.98200000000003</v>
      </c>
      <c r="F31" s="401">
        <v>26.943000000000001</v>
      </c>
      <c r="G31" s="401">
        <v>3.2549999999999999</v>
      </c>
      <c r="H31" s="401">
        <v>143.624</v>
      </c>
      <c r="I31" s="401">
        <v>114.69499999999999</v>
      </c>
      <c r="J31" s="401">
        <v>25.114999999999998</v>
      </c>
      <c r="K31" s="401">
        <v>-3.24</v>
      </c>
      <c r="L31" s="401">
        <v>238.83399999999997</v>
      </c>
      <c r="M31" s="402">
        <v>35.326999999999998</v>
      </c>
    </row>
    <row r="32" spans="2:13" ht="15.65" customHeight="1" thickBot="1" x14ac:dyDescent="0.25">
      <c r="B32" s="399" t="s">
        <v>193</v>
      </c>
      <c r="C32" s="411">
        <v>88.960999999999999</v>
      </c>
      <c r="D32" s="412">
        <v>11.704000000000001</v>
      </c>
      <c r="E32" s="412">
        <v>190.11799999999999</v>
      </c>
      <c r="F32" s="412">
        <v>9.2530000000000001</v>
      </c>
      <c r="G32" s="412">
        <v>0.13500000000000001</v>
      </c>
      <c r="H32" s="412">
        <v>125.709</v>
      </c>
      <c r="I32" s="412">
        <v>29.440999999999999</v>
      </c>
      <c r="J32" s="412">
        <v>14.76</v>
      </c>
      <c r="K32" s="412">
        <v>-3.0000000000000001E-3</v>
      </c>
      <c r="L32" s="412">
        <v>116.60000000000001</v>
      </c>
      <c r="M32" s="413">
        <v>13.659000000000001</v>
      </c>
    </row>
    <row r="34" spans="2:13" ht="14" x14ac:dyDescent="0.2">
      <c r="B34" s="414" t="s">
        <v>181</v>
      </c>
      <c r="C34" s="414"/>
      <c r="D34" s="414"/>
      <c r="E34" s="414"/>
      <c r="F34" s="414"/>
      <c r="G34" s="414"/>
      <c r="H34" s="414"/>
      <c r="I34" s="414"/>
      <c r="J34" s="414"/>
      <c r="K34" s="414"/>
      <c r="L34" s="415"/>
      <c r="M34" s="414"/>
    </row>
    <row r="35" spans="2:13" ht="14" x14ac:dyDescent="0.3">
      <c r="B35" s="414" t="s">
        <v>198</v>
      </c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2:13" ht="14" x14ac:dyDescent="0.3">
      <c r="B36" s="414" t="s">
        <v>199</v>
      </c>
      <c r="C36" s="108"/>
      <c r="D36" s="108"/>
      <c r="E36" s="108"/>
      <c r="F36" s="108"/>
      <c r="G36" s="108"/>
      <c r="H36" s="108"/>
      <c r="I36" s="108"/>
      <c r="J36" s="108"/>
      <c r="K36" s="108"/>
      <c r="L36" s="108"/>
      <c r="M36" s="108"/>
    </row>
    <row r="37" spans="2:13" ht="15.5" x14ac:dyDescent="0.35">
      <c r="B37" s="797" t="s">
        <v>119</v>
      </c>
      <c r="C37" s="797"/>
      <c r="D37" s="797"/>
      <c r="E37" s="797"/>
      <c r="F37" s="797"/>
      <c r="G37" s="797"/>
      <c r="H37" s="797"/>
      <c r="I37" s="797"/>
      <c r="J37" s="797"/>
      <c r="K37" s="797"/>
      <c r="L37" s="797"/>
      <c r="M37" s="797"/>
    </row>
  </sheetData>
  <customSheetViews>
    <customSheetView guid="{6654F670-CAA9-4C4A-B3D9-226402FC46BC}" scale="85" showPageBreaks="1" printArea="1" view="pageLayout" topLeftCell="A10">
      <selection activeCell="C12" sqref="C12:M32"/>
      <pageMargins left="0.70866141732283472" right="0.70866141732283472" top="0.74803149606299213" bottom="0.74803149606299213" header="0.31496062992125984" footer="0.31496062992125984"/>
      <pageSetup paperSize="9" scale="69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85" showPageBreaks="1" printArea="1" view="pageLayout" topLeftCell="A10">
      <selection activeCell="C12" sqref="C12:M32"/>
      <pageMargins left="0.70866141732283472" right="0.70866141732283472" top="0.74803149606299213" bottom="0.74803149606299213" header="0.31496062992125984" footer="0.31496062992125984"/>
      <pageSetup paperSize="9" scale="69" orientation="landscape"/>
      <headerFooter>
        <oddHeader>&amp;L&amp;G&amp;RCAMPAÑA: 2025/2026. MES: JULIO
Fecha de emisión de datos: 25/08/2026</oddHeader>
      </headerFooter>
    </customSheetView>
  </customSheetViews>
  <mergeCells count="10">
    <mergeCell ref="B37:M37"/>
    <mergeCell ref="B4:M6"/>
    <mergeCell ref="B8:M8"/>
    <mergeCell ref="C10:D10"/>
    <mergeCell ref="E10:E11"/>
    <mergeCell ref="F10:G10"/>
    <mergeCell ref="H10:I10"/>
    <mergeCell ref="J10:J11"/>
    <mergeCell ref="K10:K11"/>
    <mergeCell ref="L10:M10"/>
  </mergeCells>
  <pageMargins left="0.70866141732283472" right="0.70866141732283472" top="0.74803149606299213" bottom="0.74803149606299213" header="0.31496062992125984" footer="0.31496062992125984"/>
  <pageSetup paperSize="9" scale="69" orientation="landscape" r:id="rId1"/>
  <headerFooter>
    <oddHeader>&amp;L&amp;G&amp;RCAMPAÑA: 2025/2026. MES: JULIO
Fecha de emisión de datos: 25/08/2026</oddHeader>
  </headerFooter>
  <legacyDrawingHF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4:V65"/>
  <sheetViews>
    <sheetView view="pageLayout" zoomScale="85" zoomScaleNormal="70" zoomScaleSheetLayoutView="70" zoomScalePageLayoutView="85" workbookViewId="0">
      <selection activeCell="B5" sqref="B5:U7"/>
    </sheetView>
  </sheetViews>
  <sheetFormatPr baseColWidth="10" defaultColWidth="11.453125" defaultRowHeight="9" x14ac:dyDescent="0.35"/>
  <cols>
    <col min="1" max="1" width="3" style="2" customWidth="1"/>
    <col min="2" max="2" width="29" style="2" bestFit="1" customWidth="1"/>
    <col min="3" max="3" width="13.26953125" style="2" bestFit="1" customWidth="1"/>
    <col min="4" max="4" width="7.453125" style="2" customWidth="1"/>
    <col min="5" max="5" width="9.7265625" style="2" customWidth="1"/>
    <col min="6" max="6" width="6.81640625" style="2" customWidth="1"/>
    <col min="7" max="7" width="15" style="2" customWidth="1"/>
    <col min="8" max="8" width="13" style="2" customWidth="1"/>
    <col min="9" max="9" width="13.7265625" style="2" bestFit="1" customWidth="1"/>
    <col min="10" max="10" width="10.453125" style="2" customWidth="1"/>
    <col min="11" max="11" width="13.26953125" style="2" customWidth="1"/>
    <col min="12" max="12" width="11.7265625" style="2" customWidth="1"/>
    <col min="13" max="13" width="13.54296875" style="2" customWidth="1"/>
    <col min="14" max="14" width="14.453125" style="2" customWidth="1"/>
    <col min="15" max="15" width="13.1796875" style="2" bestFit="1" customWidth="1"/>
    <col min="16" max="16" width="11.81640625" style="2" customWidth="1"/>
    <col min="17" max="17" width="12.81640625" style="2" customWidth="1"/>
    <col min="18" max="18" width="11.54296875" style="2" bestFit="1" customWidth="1"/>
    <col min="19" max="19" width="10.54296875" style="2" customWidth="1"/>
    <col min="20" max="20" width="12.453125" style="2" customWidth="1"/>
    <col min="21" max="21" width="14.7265625" style="2" customWidth="1"/>
    <col min="22" max="22" width="3" style="2" customWidth="1"/>
    <col min="23" max="16384" width="11.453125" style="2"/>
  </cols>
  <sheetData>
    <row r="4" spans="2:22" ht="14.25" customHeight="1" x14ac:dyDescent="0.35"/>
    <row r="5" spans="2:22" ht="14.25" customHeight="1" x14ac:dyDescent="0.35">
      <c r="B5" s="761" t="s">
        <v>200</v>
      </c>
      <c r="C5" s="761"/>
      <c r="D5" s="761"/>
      <c r="E5" s="761"/>
      <c r="F5" s="761"/>
      <c r="G5" s="761"/>
      <c r="H5" s="761"/>
      <c r="I5" s="761"/>
      <c r="J5" s="761"/>
      <c r="K5" s="761"/>
      <c r="L5" s="761"/>
      <c r="M5" s="761"/>
      <c r="N5" s="761"/>
      <c r="O5" s="761"/>
      <c r="P5" s="761"/>
      <c r="Q5" s="761"/>
      <c r="R5" s="761"/>
      <c r="S5" s="761"/>
      <c r="T5" s="761"/>
      <c r="U5" s="761"/>
    </row>
    <row r="6" spans="2:22" ht="14.25" customHeight="1" x14ac:dyDescent="0.35">
      <c r="B6" s="761"/>
      <c r="C6" s="761"/>
      <c r="D6" s="761"/>
      <c r="E6" s="761"/>
      <c r="F6" s="761"/>
      <c r="G6" s="761"/>
      <c r="H6" s="761"/>
      <c r="I6" s="761"/>
      <c r="J6" s="761"/>
      <c r="K6" s="761"/>
      <c r="L6" s="761"/>
      <c r="M6" s="761"/>
      <c r="N6" s="761"/>
      <c r="O6" s="761"/>
      <c r="P6" s="761"/>
      <c r="Q6" s="761"/>
      <c r="R6" s="761"/>
      <c r="S6" s="761"/>
      <c r="T6" s="761"/>
      <c r="U6" s="761"/>
    </row>
    <row r="7" spans="2:22" ht="14.25" customHeight="1" x14ac:dyDescent="0.35">
      <c r="B7" s="761"/>
      <c r="C7" s="761"/>
      <c r="D7" s="761"/>
      <c r="E7" s="761"/>
      <c r="F7" s="761"/>
      <c r="G7" s="761"/>
      <c r="H7" s="761"/>
      <c r="I7" s="761"/>
      <c r="J7" s="761"/>
      <c r="K7" s="761"/>
      <c r="L7" s="761"/>
      <c r="M7" s="761"/>
      <c r="N7" s="761"/>
      <c r="O7" s="761"/>
      <c r="P7" s="761"/>
      <c r="Q7" s="761"/>
      <c r="R7" s="761"/>
      <c r="S7" s="761"/>
      <c r="T7" s="761"/>
      <c r="U7" s="761"/>
    </row>
    <row r="8" spans="2:22" ht="18.75" customHeight="1" thickBot="1" x14ac:dyDescent="0.4"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</row>
    <row r="9" spans="2:22" ht="15.75" customHeight="1" thickBot="1" x14ac:dyDescent="0.4">
      <c r="B9" s="909" t="s">
        <v>261</v>
      </c>
      <c r="C9" s="910"/>
      <c r="D9" s="910"/>
      <c r="E9" s="910"/>
      <c r="F9" s="910"/>
      <c r="G9" s="910"/>
      <c r="H9" s="910"/>
      <c r="I9" s="910"/>
      <c r="J9" s="910"/>
      <c r="K9" s="910"/>
      <c r="L9" s="910"/>
      <c r="M9" s="910"/>
      <c r="N9" s="910"/>
      <c r="O9" s="910"/>
      <c r="P9" s="910"/>
      <c r="Q9" s="910"/>
      <c r="R9" s="910"/>
      <c r="S9" s="910"/>
      <c r="T9" s="910"/>
      <c r="U9" s="911"/>
      <c r="V9" s="416"/>
    </row>
    <row r="10" spans="2:22" ht="15.75" customHeight="1" thickBot="1" x14ac:dyDescent="0.4">
      <c r="B10" s="417"/>
      <c r="J10" s="389"/>
      <c r="K10" s="389"/>
      <c r="R10" s="8"/>
      <c r="S10" s="8"/>
      <c r="T10" s="8"/>
      <c r="U10" s="418"/>
    </row>
    <row r="11" spans="2:22" ht="15" customHeight="1" thickBot="1" x14ac:dyDescent="0.4">
      <c r="B11" s="917" t="s">
        <v>54</v>
      </c>
      <c r="C11" s="915" t="s">
        <v>4</v>
      </c>
      <c r="D11" s="929" t="s">
        <v>201</v>
      </c>
      <c r="E11" s="929"/>
      <c r="F11" s="929"/>
      <c r="G11" s="930" t="s">
        <v>202</v>
      </c>
      <c r="H11" s="929" t="s">
        <v>1</v>
      </c>
      <c r="I11" s="929"/>
      <c r="J11" s="929"/>
      <c r="K11" s="929"/>
      <c r="L11" s="929" t="s">
        <v>203</v>
      </c>
      <c r="M11" s="929"/>
      <c r="N11" s="929"/>
      <c r="O11" s="929"/>
      <c r="P11" s="929"/>
      <c r="Q11" s="929"/>
      <c r="R11" s="929"/>
      <c r="S11" s="929"/>
      <c r="T11" s="929"/>
      <c r="U11" s="931" t="s">
        <v>204</v>
      </c>
      <c r="V11" s="416"/>
    </row>
    <row r="12" spans="2:22" ht="15" customHeight="1" thickBot="1" x14ac:dyDescent="0.4">
      <c r="B12" s="927"/>
      <c r="C12" s="928"/>
      <c r="D12" s="923" t="s">
        <v>205</v>
      </c>
      <c r="E12" s="923" t="s">
        <v>206</v>
      </c>
      <c r="F12" s="923" t="s">
        <v>97</v>
      </c>
      <c r="G12" s="930"/>
      <c r="H12" s="922" t="s">
        <v>207</v>
      </c>
      <c r="I12" s="923" t="s">
        <v>208</v>
      </c>
      <c r="J12" s="923"/>
      <c r="K12" s="922" t="s">
        <v>209</v>
      </c>
      <c r="L12" s="922" t="s">
        <v>207</v>
      </c>
      <c r="M12" s="923" t="s">
        <v>208</v>
      </c>
      <c r="N12" s="923"/>
      <c r="O12" s="923"/>
      <c r="P12" s="923"/>
      <c r="Q12" s="923"/>
      <c r="R12" s="923"/>
      <c r="S12" s="923"/>
      <c r="T12" s="922" t="s">
        <v>210</v>
      </c>
      <c r="U12" s="930"/>
    </row>
    <row r="13" spans="2:22" ht="13.5" customHeight="1" thickBot="1" x14ac:dyDescent="0.4">
      <c r="B13" s="918"/>
      <c r="C13" s="916"/>
      <c r="D13" s="923"/>
      <c r="E13" s="923"/>
      <c r="F13" s="923"/>
      <c r="G13" s="930"/>
      <c r="H13" s="922"/>
      <c r="I13" s="419" t="s">
        <v>211</v>
      </c>
      <c r="J13" s="419" t="s">
        <v>212</v>
      </c>
      <c r="K13" s="922"/>
      <c r="L13" s="922"/>
      <c r="M13" s="419" t="s">
        <v>213</v>
      </c>
      <c r="N13" s="419" t="s">
        <v>214</v>
      </c>
      <c r="O13" s="419" t="s">
        <v>215</v>
      </c>
      <c r="P13" s="419" t="s">
        <v>175</v>
      </c>
      <c r="Q13" s="419" t="s">
        <v>216</v>
      </c>
      <c r="R13" s="419" t="s">
        <v>217</v>
      </c>
      <c r="S13" s="419" t="s">
        <v>218</v>
      </c>
      <c r="T13" s="922"/>
      <c r="U13" s="930"/>
    </row>
    <row r="14" spans="2:22" ht="13.5" customHeight="1" x14ac:dyDescent="0.35">
      <c r="B14" s="924" t="s">
        <v>74</v>
      </c>
      <c r="C14" s="420" t="s">
        <v>219</v>
      </c>
      <c r="D14" s="421">
        <v>2</v>
      </c>
      <c r="E14" s="422">
        <v>2</v>
      </c>
      <c r="F14" s="423">
        <v>1</v>
      </c>
      <c r="G14" s="424">
        <v>534.1</v>
      </c>
      <c r="H14" s="425">
        <v>1263.4000000000001</v>
      </c>
      <c r="I14" s="424">
        <v>104.2</v>
      </c>
      <c r="J14" s="424">
        <v>0</v>
      </c>
      <c r="K14" s="424">
        <v>1367.6</v>
      </c>
      <c r="L14" s="426">
        <v>0</v>
      </c>
      <c r="M14" s="424">
        <v>49.7</v>
      </c>
      <c r="N14" s="426">
        <v>26</v>
      </c>
      <c r="O14" s="426">
        <v>139.6</v>
      </c>
      <c r="P14" s="424">
        <v>129.1</v>
      </c>
      <c r="Q14" s="425">
        <v>75</v>
      </c>
      <c r="R14" s="427">
        <v>0</v>
      </c>
      <c r="S14" s="424">
        <v>0</v>
      </c>
      <c r="T14" s="424">
        <v>419.3</v>
      </c>
      <c r="U14" s="428">
        <v>1482.3999999999999</v>
      </c>
    </row>
    <row r="15" spans="2:22" ht="15" customHeight="1" x14ac:dyDescent="0.35">
      <c r="B15" s="925"/>
      <c r="C15" s="429" t="s">
        <v>81</v>
      </c>
      <c r="D15" s="430">
        <v>1</v>
      </c>
      <c r="E15" s="431">
        <v>1</v>
      </c>
      <c r="F15" s="432">
        <v>1</v>
      </c>
      <c r="G15" s="433">
        <v>107</v>
      </c>
      <c r="H15" s="434">
        <v>59.3</v>
      </c>
      <c r="I15" s="433">
        <v>98.7</v>
      </c>
      <c r="J15" s="433">
        <v>0</v>
      </c>
      <c r="K15" s="433">
        <v>158</v>
      </c>
      <c r="L15" s="434">
        <v>0</v>
      </c>
      <c r="M15" s="433">
        <v>138</v>
      </c>
      <c r="N15" s="434">
        <v>0</v>
      </c>
      <c r="O15" s="434">
        <v>0</v>
      </c>
      <c r="P15" s="433">
        <v>0</v>
      </c>
      <c r="Q15" s="433">
        <v>10.7</v>
      </c>
      <c r="R15" s="433">
        <v>0</v>
      </c>
      <c r="S15" s="434">
        <v>0</v>
      </c>
      <c r="T15" s="433">
        <v>148.69999999999999</v>
      </c>
      <c r="U15" s="435">
        <v>116.30000000000001</v>
      </c>
    </row>
    <row r="16" spans="2:22" ht="15" customHeight="1" x14ac:dyDescent="0.35">
      <c r="B16" s="925"/>
      <c r="C16" s="429" t="s">
        <v>82</v>
      </c>
      <c r="D16" s="430">
        <v>35</v>
      </c>
      <c r="E16" s="431">
        <v>35</v>
      </c>
      <c r="F16" s="432">
        <v>1</v>
      </c>
      <c r="G16" s="433">
        <v>35374.1</v>
      </c>
      <c r="H16" s="434">
        <v>63703.4</v>
      </c>
      <c r="I16" s="433">
        <v>32971.199999999997</v>
      </c>
      <c r="J16" s="433">
        <v>6379.8</v>
      </c>
      <c r="K16" s="433">
        <v>103054.39999999999</v>
      </c>
      <c r="L16" s="434">
        <v>7849.4</v>
      </c>
      <c r="M16" s="433">
        <v>30044.3</v>
      </c>
      <c r="N16" s="434">
        <v>29492.799999999999</v>
      </c>
      <c r="O16" s="434">
        <v>17170.599999999999</v>
      </c>
      <c r="P16" s="433">
        <v>7056.1</v>
      </c>
      <c r="Q16" s="433">
        <v>2844.3</v>
      </c>
      <c r="R16" s="433">
        <v>582.79999999999995</v>
      </c>
      <c r="S16" s="434">
        <v>-1.1000000000000001</v>
      </c>
      <c r="T16" s="433">
        <v>95039.1</v>
      </c>
      <c r="U16" s="435">
        <v>43389.399999999994</v>
      </c>
    </row>
    <row r="17" spans="2:21" ht="15" customHeight="1" x14ac:dyDescent="0.35">
      <c r="B17" s="925"/>
      <c r="C17" s="429" t="s">
        <v>6</v>
      </c>
      <c r="D17" s="430">
        <v>1</v>
      </c>
      <c r="E17" s="431">
        <v>1</v>
      </c>
      <c r="F17" s="432">
        <v>1</v>
      </c>
      <c r="G17" s="433">
        <v>67</v>
      </c>
      <c r="H17" s="434">
        <v>98.9</v>
      </c>
      <c r="I17" s="433">
        <v>26</v>
      </c>
      <c r="J17" s="433">
        <v>0</v>
      </c>
      <c r="K17" s="433">
        <v>124.9</v>
      </c>
      <c r="L17" s="434">
        <v>0</v>
      </c>
      <c r="M17" s="433">
        <v>109.5</v>
      </c>
      <c r="N17" s="434">
        <v>0</v>
      </c>
      <c r="O17" s="434">
        <v>0</v>
      </c>
      <c r="P17" s="433">
        <v>0</v>
      </c>
      <c r="Q17" s="433">
        <v>0</v>
      </c>
      <c r="R17" s="433">
        <v>0</v>
      </c>
      <c r="S17" s="434">
        <v>0</v>
      </c>
      <c r="T17" s="433">
        <v>109.5</v>
      </c>
      <c r="U17" s="435">
        <v>82.4</v>
      </c>
    </row>
    <row r="18" spans="2:21" ht="15" customHeight="1" x14ac:dyDescent="0.35">
      <c r="B18" s="925"/>
      <c r="C18" s="429" t="s">
        <v>7</v>
      </c>
      <c r="D18" s="430">
        <v>3</v>
      </c>
      <c r="E18" s="431">
        <v>3</v>
      </c>
      <c r="F18" s="432">
        <v>1</v>
      </c>
      <c r="G18" s="433">
        <v>802.3</v>
      </c>
      <c r="H18" s="434">
        <v>7063.8</v>
      </c>
      <c r="I18" s="433">
        <v>46.8</v>
      </c>
      <c r="J18" s="433">
        <v>0</v>
      </c>
      <c r="K18" s="433">
        <v>7110.6</v>
      </c>
      <c r="L18" s="433">
        <v>1270.5</v>
      </c>
      <c r="M18" s="433">
        <v>69.099999999999994</v>
      </c>
      <c r="N18" s="433">
        <v>1122.3</v>
      </c>
      <c r="O18" s="434">
        <v>3377.8</v>
      </c>
      <c r="P18" s="433">
        <v>0</v>
      </c>
      <c r="Q18" s="433">
        <v>163.30000000000001</v>
      </c>
      <c r="R18" s="433">
        <v>0</v>
      </c>
      <c r="S18" s="434">
        <v>32.200000000000003</v>
      </c>
      <c r="T18" s="433">
        <v>6035.2</v>
      </c>
      <c r="U18" s="435">
        <v>1877.7000000000007</v>
      </c>
    </row>
    <row r="19" spans="2:21" ht="15" customHeight="1" x14ac:dyDescent="0.35">
      <c r="B19" s="925"/>
      <c r="C19" s="429" t="s">
        <v>83</v>
      </c>
      <c r="D19" s="430">
        <v>7</v>
      </c>
      <c r="E19" s="431">
        <v>7</v>
      </c>
      <c r="F19" s="432">
        <v>1</v>
      </c>
      <c r="G19" s="433">
        <v>136.4</v>
      </c>
      <c r="H19" s="434">
        <v>447.1</v>
      </c>
      <c r="I19" s="433">
        <v>596.29999999999995</v>
      </c>
      <c r="J19" s="433">
        <v>1.2</v>
      </c>
      <c r="K19" s="433">
        <v>1044.5999999999999</v>
      </c>
      <c r="L19" s="434">
        <v>0</v>
      </c>
      <c r="M19" s="433">
        <v>873.2</v>
      </c>
      <c r="N19" s="434">
        <v>1.7</v>
      </c>
      <c r="O19" s="434">
        <v>0</v>
      </c>
      <c r="P19" s="433">
        <v>0</v>
      </c>
      <c r="Q19" s="433">
        <v>0</v>
      </c>
      <c r="R19" s="433">
        <v>0</v>
      </c>
      <c r="S19" s="434">
        <v>7.5</v>
      </c>
      <c r="T19" s="433">
        <v>882.4</v>
      </c>
      <c r="U19" s="435">
        <v>298.60000000000002</v>
      </c>
    </row>
    <row r="20" spans="2:21" ht="15" customHeight="1" x14ac:dyDescent="0.35">
      <c r="B20" s="925"/>
      <c r="C20" s="429" t="s">
        <v>84</v>
      </c>
      <c r="D20" s="430">
        <v>29</v>
      </c>
      <c r="E20" s="431">
        <v>28</v>
      </c>
      <c r="F20" s="432">
        <v>0.96551724137931039</v>
      </c>
      <c r="G20" s="433">
        <v>18467.400000000001</v>
      </c>
      <c r="H20" s="434">
        <v>49203</v>
      </c>
      <c r="I20" s="433">
        <v>4003.6</v>
      </c>
      <c r="J20" s="433">
        <v>255.1</v>
      </c>
      <c r="K20" s="433">
        <v>53461.8</v>
      </c>
      <c r="L20" s="434">
        <v>1917.7</v>
      </c>
      <c r="M20" s="433">
        <v>12575.5</v>
      </c>
      <c r="N20" s="434">
        <v>19885.3</v>
      </c>
      <c r="O20" s="434">
        <v>15489.1</v>
      </c>
      <c r="P20" s="433">
        <v>940.1</v>
      </c>
      <c r="Q20" s="433">
        <v>2409.8000000000002</v>
      </c>
      <c r="R20" s="433">
        <v>163.4</v>
      </c>
      <c r="S20" s="434">
        <v>800</v>
      </c>
      <c r="T20" s="433">
        <v>54180.800000000003</v>
      </c>
      <c r="U20" s="435">
        <v>17748.400000000009</v>
      </c>
    </row>
    <row r="21" spans="2:21" ht="15" customHeight="1" x14ac:dyDescent="0.35">
      <c r="B21" s="925"/>
      <c r="C21" s="429" t="s">
        <v>8</v>
      </c>
      <c r="D21" s="436">
        <v>136</v>
      </c>
      <c r="E21" s="437">
        <v>131</v>
      </c>
      <c r="F21" s="438">
        <v>0.96323529411764708</v>
      </c>
      <c r="G21" s="439">
        <v>171331.20000000001</v>
      </c>
      <c r="H21" s="440">
        <v>305208</v>
      </c>
      <c r="I21" s="439">
        <v>286816.7</v>
      </c>
      <c r="J21" s="439">
        <v>23717.5</v>
      </c>
      <c r="K21" s="439">
        <v>615742.30000000005</v>
      </c>
      <c r="L21" s="440">
        <v>18515.7</v>
      </c>
      <c r="M21" s="439">
        <v>209436.9</v>
      </c>
      <c r="N21" s="440">
        <v>141002.70000000001</v>
      </c>
      <c r="O21" s="440">
        <v>163658.9</v>
      </c>
      <c r="P21" s="439">
        <v>12250.5</v>
      </c>
      <c r="Q21" s="439">
        <v>17824</v>
      </c>
      <c r="R21" s="439">
        <v>1406.5</v>
      </c>
      <c r="S21" s="440">
        <v>3394</v>
      </c>
      <c r="T21" s="439">
        <v>567489.19999999995</v>
      </c>
      <c r="U21" s="441">
        <v>219584.30000000005</v>
      </c>
    </row>
    <row r="22" spans="2:21" s="24" customFormat="1" ht="15.75" customHeight="1" thickBot="1" x14ac:dyDescent="0.4">
      <c r="B22" s="926"/>
      <c r="C22" s="442" t="s">
        <v>9</v>
      </c>
      <c r="D22" s="443">
        <v>214</v>
      </c>
      <c r="E22" s="444">
        <v>208</v>
      </c>
      <c r="F22" s="445">
        <v>0.9719626168224299</v>
      </c>
      <c r="G22" s="446">
        <v>226819.5</v>
      </c>
      <c r="H22" s="447">
        <v>427046.9</v>
      </c>
      <c r="I22" s="446">
        <v>324663.5</v>
      </c>
      <c r="J22" s="446">
        <v>30353.599999999999</v>
      </c>
      <c r="K22" s="446">
        <v>782064.20000000007</v>
      </c>
      <c r="L22" s="447">
        <v>29553.300000000003</v>
      </c>
      <c r="M22" s="446">
        <v>253296.2</v>
      </c>
      <c r="N22" s="447">
        <v>191530.80000000002</v>
      </c>
      <c r="O22" s="447">
        <v>199836</v>
      </c>
      <c r="P22" s="446">
        <v>20375.800000000003</v>
      </c>
      <c r="Q22" s="446">
        <v>23327.1</v>
      </c>
      <c r="R22" s="446">
        <v>2152.6999999999998</v>
      </c>
      <c r="S22" s="447">
        <v>4232.6000000000004</v>
      </c>
      <c r="T22" s="446">
        <v>724304.2</v>
      </c>
      <c r="U22" s="448">
        <v>284579.50000000012</v>
      </c>
    </row>
    <row r="23" spans="2:21" ht="16.5" customHeight="1" x14ac:dyDescent="0.35">
      <c r="B23" s="924" t="s">
        <v>75</v>
      </c>
      <c r="C23" s="429" t="s">
        <v>11</v>
      </c>
      <c r="D23" s="430">
        <v>21</v>
      </c>
      <c r="E23" s="431">
        <v>21</v>
      </c>
      <c r="F23" s="432">
        <v>1</v>
      </c>
      <c r="G23" s="433">
        <v>922</v>
      </c>
      <c r="H23" s="434">
        <v>5778.1</v>
      </c>
      <c r="I23" s="433">
        <v>483.7</v>
      </c>
      <c r="J23" s="433">
        <v>215</v>
      </c>
      <c r="K23" s="433">
        <v>6476.8</v>
      </c>
      <c r="L23" s="434">
        <v>908.9</v>
      </c>
      <c r="M23" s="433">
        <v>884.3</v>
      </c>
      <c r="N23" s="434">
        <v>301.89999999999998</v>
      </c>
      <c r="O23" s="434">
        <v>1358.9</v>
      </c>
      <c r="P23" s="433">
        <v>0.3</v>
      </c>
      <c r="Q23" s="433">
        <v>62.4</v>
      </c>
      <c r="R23" s="433">
        <v>54.9</v>
      </c>
      <c r="S23" s="434">
        <v>35.4</v>
      </c>
      <c r="T23" s="433">
        <v>3607.0000000000005</v>
      </c>
      <c r="U23" s="435">
        <v>3791.7999999999997</v>
      </c>
    </row>
    <row r="24" spans="2:21" ht="15" customHeight="1" x14ac:dyDescent="0.35">
      <c r="B24" s="925"/>
      <c r="C24" s="449" t="s">
        <v>12</v>
      </c>
      <c r="D24" s="436">
        <v>11</v>
      </c>
      <c r="E24" s="437">
        <v>11</v>
      </c>
      <c r="F24" s="438">
        <v>1</v>
      </c>
      <c r="G24" s="439">
        <v>503.3</v>
      </c>
      <c r="H24" s="439">
        <v>810</v>
      </c>
      <c r="I24" s="439">
        <v>1708</v>
      </c>
      <c r="J24" s="439">
        <v>0</v>
      </c>
      <c r="K24" s="439">
        <v>2518</v>
      </c>
      <c r="L24" s="440">
        <v>0.3</v>
      </c>
      <c r="M24" s="439">
        <v>1745.6</v>
      </c>
      <c r="N24" s="439">
        <v>416</v>
      </c>
      <c r="O24" s="440">
        <v>180.7</v>
      </c>
      <c r="P24" s="439">
        <v>0</v>
      </c>
      <c r="Q24" s="439">
        <v>0</v>
      </c>
      <c r="R24" s="439">
        <v>0</v>
      </c>
      <c r="S24" s="439">
        <v>0.9</v>
      </c>
      <c r="T24" s="439">
        <v>2343.4999999999995</v>
      </c>
      <c r="U24" s="441">
        <v>677.80000000000064</v>
      </c>
    </row>
    <row r="25" spans="2:21" s="24" customFormat="1" ht="15.75" customHeight="1" thickBot="1" x14ac:dyDescent="0.4">
      <c r="B25" s="926"/>
      <c r="C25" s="450" t="s">
        <v>9</v>
      </c>
      <c r="D25" s="443">
        <v>32</v>
      </c>
      <c r="E25" s="444">
        <v>32</v>
      </c>
      <c r="F25" s="445">
        <v>1</v>
      </c>
      <c r="G25" s="446">
        <v>1425.3</v>
      </c>
      <c r="H25" s="447">
        <v>6588.1</v>
      </c>
      <c r="I25" s="446">
        <v>2191.6999999999998</v>
      </c>
      <c r="J25" s="446">
        <v>215</v>
      </c>
      <c r="K25" s="446">
        <v>8994.7999999999993</v>
      </c>
      <c r="L25" s="447">
        <v>909.19999999999993</v>
      </c>
      <c r="M25" s="446">
        <v>2629.8999999999996</v>
      </c>
      <c r="N25" s="447">
        <v>717.9</v>
      </c>
      <c r="O25" s="447">
        <v>1539.6000000000001</v>
      </c>
      <c r="P25" s="446">
        <v>0.3</v>
      </c>
      <c r="Q25" s="446">
        <v>62.4</v>
      </c>
      <c r="R25" s="447">
        <v>54.9</v>
      </c>
      <c r="S25" s="447">
        <v>36.299999999999997</v>
      </c>
      <c r="T25" s="446">
        <v>5950.5</v>
      </c>
      <c r="U25" s="448">
        <v>4469.6000000000004</v>
      </c>
    </row>
    <row r="26" spans="2:21" ht="17.25" customHeight="1" x14ac:dyDescent="0.35">
      <c r="B26" s="924" t="s">
        <v>13</v>
      </c>
      <c r="C26" s="429" t="s">
        <v>13</v>
      </c>
      <c r="D26" s="430">
        <v>6</v>
      </c>
      <c r="E26" s="431">
        <v>6</v>
      </c>
      <c r="F26" s="432">
        <v>1</v>
      </c>
      <c r="G26" s="433">
        <v>74.099999999999994</v>
      </c>
      <c r="H26" s="434">
        <v>25.2</v>
      </c>
      <c r="I26" s="433">
        <v>111.3</v>
      </c>
      <c r="J26" s="433">
        <v>0</v>
      </c>
      <c r="K26" s="433">
        <v>136.5</v>
      </c>
      <c r="L26" s="434">
        <v>0.1</v>
      </c>
      <c r="M26" s="433">
        <v>156.30000000000001</v>
      </c>
      <c r="N26" s="434">
        <v>0</v>
      </c>
      <c r="O26" s="434">
        <v>0</v>
      </c>
      <c r="P26" s="433">
        <v>0</v>
      </c>
      <c r="Q26" s="433">
        <v>0</v>
      </c>
      <c r="R26" s="434">
        <v>0</v>
      </c>
      <c r="S26" s="434">
        <v>2.2000000000000002</v>
      </c>
      <c r="T26" s="433">
        <v>158.6</v>
      </c>
      <c r="U26" s="435">
        <v>52</v>
      </c>
    </row>
    <row r="27" spans="2:21" s="24" customFormat="1" ht="15.75" customHeight="1" thickBot="1" x14ac:dyDescent="0.4">
      <c r="B27" s="926"/>
      <c r="C27" s="442" t="s">
        <v>9</v>
      </c>
      <c r="D27" s="451">
        <v>6</v>
      </c>
      <c r="E27" s="452">
        <v>6</v>
      </c>
      <c r="F27" s="453">
        <v>1</v>
      </c>
      <c r="G27" s="454">
        <v>74.099999999999994</v>
      </c>
      <c r="H27" s="455">
        <v>25.2</v>
      </c>
      <c r="I27" s="454">
        <v>111.3</v>
      </c>
      <c r="J27" s="454">
        <v>0</v>
      </c>
      <c r="K27" s="454">
        <v>136.5</v>
      </c>
      <c r="L27" s="455">
        <v>0.1</v>
      </c>
      <c r="M27" s="454">
        <v>156.30000000000001</v>
      </c>
      <c r="N27" s="455">
        <v>0</v>
      </c>
      <c r="O27" s="455">
        <v>0</v>
      </c>
      <c r="P27" s="454">
        <v>0</v>
      </c>
      <c r="Q27" s="454">
        <v>0</v>
      </c>
      <c r="R27" s="455">
        <v>0</v>
      </c>
      <c r="S27" s="455">
        <v>2.2000000000000002</v>
      </c>
      <c r="T27" s="454">
        <v>158.6</v>
      </c>
      <c r="U27" s="456">
        <v>52</v>
      </c>
    </row>
    <row r="28" spans="2:21" ht="17.25" customHeight="1" x14ac:dyDescent="0.35">
      <c r="B28" s="924" t="s">
        <v>151</v>
      </c>
      <c r="C28" s="429" t="s">
        <v>152</v>
      </c>
      <c r="D28" s="430">
        <v>4</v>
      </c>
      <c r="E28" s="431">
        <v>3</v>
      </c>
      <c r="F28" s="432">
        <v>0.75</v>
      </c>
      <c r="G28" s="433">
        <v>0</v>
      </c>
      <c r="H28" s="434">
        <v>0.9</v>
      </c>
      <c r="I28" s="433">
        <v>0</v>
      </c>
      <c r="J28" s="433">
        <v>0</v>
      </c>
      <c r="K28" s="433">
        <v>0.9</v>
      </c>
      <c r="L28" s="434">
        <v>0</v>
      </c>
      <c r="M28" s="433">
        <v>0.2</v>
      </c>
      <c r="N28" s="434">
        <v>0</v>
      </c>
      <c r="O28" s="434">
        <v>0</v>
      </c>
      <c r="P28" s="433">
        <v>0</v>
      </c>
      <c r="Q28" s="433">
        <v>0</v>
      </c>
      <c r="R28" s="434">
        <v>0.1</v>
      </c>
      <c r="S28" s="434">
        <v>0</v>
      </c>
      <c r="T28" s="433">
        <v>0.30000000000000004</v>
      </c>
      <c r="U28" s="435">
        <v>0.6</v>
      </c>
    </row>
    <row r="29" spans="2:21" s="24" customFormat="1" ht="15.75" customHeight="1" thickBot="1" x14ac:dyDescent="0.4">
      <c r="B29" s="926"/>
      <c r="C29" s="442" t="s">
        <v>9</v>
      </c>
      <c r="D29" s="451">
        <v>4</v>
      </c>
      <c r="E29" s="452">
        <v>3</v>
      </c>
      <c r="F29" s="453">
        <v>0.75</v>
      </c>
      <c r="G29" s="454">
        <v>0</v>
      </c>
      <c r="H29" s="455">
        <v>0.9</v>
      </c>
      <c r="I29" s="454">
        <v>0</v>
      </c>
      <c r="J29" s="454">
        <v>0</v>
      </c>
      <c r="K29" s="454">
        <v>0.9</v>
      </c>
      <c r="L29" s="455">
        <v>0</v>
      </c>
      <c r="M29" s="454">
        <v>0.2</v>
      </c>
      <c r="N29" s="455">
        <v>0</v>
      </c>
      <c r="O29" s="455">
        <v>0</v>
      </c>
      <c r="P29" s="454">
        <v>0</v>
      </c>
      <c r="Q29" s="454">
        <v>0</v>
      </c>
      <c r="R29" s="455">
        <v>0.1</v>
      </c>
      <c r="S29" s="455">
        <v>0</v>
      </c>
      <c r="T29" s="454">
        <v>0.30000000000000004</v>
      </c>
      <c r="U29" s="456">
        <v>0.6</v>
      </c>
    </row>
    <row r="30" spans="2:21" ht="15" customHeight="1" x14ac:dyDescent="0.35">
      <c r="B30" s="924" t="s">
        <v>220</v>
      </c>
      <c r="C30" s="429" t="s">
        <v>16</v>
      </c>
      <c r="D30" s="430">
        <v>3</v>
      </c>
      <c r="E30" s="431">
        <v>3</v>
      </c>
      <c r="F30" s="432">
        <v>1</v>
      </c>
      <c r="G30" s="433">
        <v>377.7</v>
      </c>
      <c r="H30" s="434">
        <v>79.400000000000006</v>
      </c>
      <c r="I30" s="433">
        <v>181.8</v>
      </c>
      <c r="J30" s="433">
        <v>460</v>
      </c>
      <c r="K30" s="433">
        <v>721.2</v>
      </c>
      <c r="L30" s="434">
        <v>0</v>
      </c>
      <c r="M30" s="433">
        <v>242.3</v>
      </c>
      <c r="N30" s="434">
        <v>427.8</v>
      </c>
      <c r="O30" s="434">
        <v>0</v>
      </c>
      <c r="P30" s="433">
        <v>0</v>
      </c>
      <c r="Q30" s="433">
        <v>0</v>
      </c>
      <c r="R30" s="434">
        <v>0</v>
      </c>
      <c r="S30" s="434">
        <v>0</v>
      </c>
      <c r="T30" s="433">
        <v>670.1</v>
      </c>
      <c r="U30" s="435">
        <v>428.80000000000007</v>
      </c>
    </row>
    <row r="31" spans="2:21" ht="15" customHeight="1" x14ac:dyDescent="0.35">
      <c r="B31" s="925"/>
      <c r="C31" s="429" t="s">
        <v>17</v>
      </c>
      <c r="D31" s="430">
        <v>4</v>
      </c>
      <c r="E31" s="431">
        <v>4</v>
      </c>
      <c r="F31" s="432">
        <v>1</v>
      </c>
      <c r="G31" s="433">
        <v>183.4</v>
      </c>
      <c r="H31" s="434">
        <v>19.100000000000001</v>
      </c>
      <c r="I31" s="433">
        <v>496.5</v>
      </c>
      <c r="J31" s="433">
        <v>62.4</v>
      </c>
      <c r="K31" s="433">
        <v>578</v>
      </c>
      <c r="L31" s="434">
        <v>0</v>
      </c>
      <c r="M31" s="433">
        <v>404.9</v>
      </c>
      <c r="N31" s="434">
        <v>0</v>
      </c>
      <c r="O31" s="434">
        <v>46.9</v>
      </c>
      <c r="P31" s="433">
        <v>0</v>
      </c>
      <c r="Q31" s="433">
        <v>14.3</v>
      </c>
      <c r="R31" s="434">
        <v>12.2</v>
      </c>
      <c r="S31" s="434">
        <v>0</v>
      </c>
      <c r="T31" s="433">
        <v>478.29999999999995</v>
      </c>
      <c r="U31" s="435">
        <v>283.10000000000002</v>
      </c>
    </row>
    <row r="32" spans="2:21" ht="15" customHeight="1" x14ac:dyDescent="0.35">
      <c r="B32" s="925"/>
      <c r="C32" s="429" t="s">
        <v>19</v>
      </c>
      <c r="D32" s="430">
        <v>2</v>
      </c>
      <c r="E32" s="431">
        <v>2</v>
      </c>
      <c r="F32" s="432">
        <v>1</v>
      </c>
      <c r="G32" s="433">
        <v>167.8</v>
      </c>
      <c r="H32" s="434">
        <v>664.3</v>
      </c>
      <c r="I32" s="433">
        <v>2638.4</v>
      </c>
      <c r="J32" s="433">
        <v>230.4</v>
      </c>
      <c r="K32" s="433">
        <v>3533.1</v>
      </c>
      <c r="L32" s="434">
        <v>0</v>
      </c>
      <c r="M32" s="433">
        <v>2342.5</v>
      </c>
      <c r="N32" s="434">
        <v>0</v>
      </c>
      <c r="O32" s="434">
        <v>126.5</v>
      </c>
      <c r="P32" s="433">
        <v>114</v>
      </c>
      <c r="Q32" s="433">
        <v>289.89999999999998</v>
      </c>
      <c r="R32" s="434">
        <v>137.1</v>
      </c>
      <c r="S32" s="434">
        <v>1.6</v>
      </c>
      <c r="T32" s="433">
        <v>3011.6</v>
      </c>
      <c r="U32" s="435">
        <v>689.30000000000018</v>
      </c>
    </row>
    <row r="33" spans="1:21" ht="15" customHeight="1" x14ac:dyDescent="0.35">
      <c r="B33" s="925"/>
      <c r="C33" s="449" t="s">
        <v>21</v>
      </c>
      <c r="D33" s="436">
        <v>1</v>
      </c>
      <c r="E33" s="437">
        <v>1</v>
      </c>
      <c r="F33" s="438">
        <v>1</v>
      </c>
      <c r="G33" s="439">
        <v>190.7</v>
      </c>
      <c r="H33" s="440">
        <v>80.599999999999994</v>
      </c>
      <c r="I33" s="439">
        <v>229.6</v>
      </c>
      <c r="J33" s="439">
        <v>0</v>
      </c>
      <c r="K33" s="439">
        <v>310.2</v>
      </c>
      <c r="L33" s="440">
        <v>0</v>
      </c>
      <c r="M33" s="439">
        <v>0</v>
      </c>
      <c r="N33" s="440">
        <v>216.9</v>
      </c>
      <c r="O33" s="439">
        <v>0</v>
      </c>
      <c r="P33" s="439">
        <v>0</v>
      </c>
      <c r="Q33" s="439">
        <v>0</v>
      </c>
      <c r="R33" s="440">
        <v>0</v>
      </c>
      <c r="S33" s="440">
        <v>0</v>
      </c>
      <c r="T33" s="439">
        <v>216.9</v>
      </c>
      <c r="U33" s="441">
        <v>284</v>
      </c>
    </row>
    <row r="34" spans="1:21" s="24" customFormat="1" ht="15.75" customHeight="1" thickBot="1" x14ac:dyDescent="0.4">
      <c r="B34" s="926"/>
      <c r="C34" s="450" t="s">
        <v>9</v>
      </c>
      <c r="D34" s="443">
        <v>10</v>
      </c>
      <c r="E34" s="444">
        <v>10</v>
      </c>
      <c r="F34" s="445">
        <v>1</v>
      </c>
      <c r="G34" s="446">
        <v>919.60000000000014</v>
      </c>
      <c r="H34" s="447">
        <v>843.4</v>
      </c>
      <c r="I34" s="446">
        <v>3546.2999999999997</v>
      </c>
      <c r="J34" s="446">
        <v>752.8</v>
      </c>
      <c r="K34" s="446">
        <v>5142.5</v>
      </c>
      <c r="L34" s="447">
        <v>0</v>
      </c>
      <c r="M34" s="446">
        <v>2989.7</v>
      </c>
      <c r="N34" s="447">
        <v>644.70000000000005</v>
      </c>
      <c r="O34" s="447">
        <v>173.4</v>
      </c>
      <c r="P34" s="446">
        <v>114</v>
      </c>
      <c r="Q34" s="446">
        <v>304.2</v>
      </c>
      <c r="R34" s="447">
        <v>149.29999999999998</v>
      </c>
      <c r="S34" s="447">
        <v>1.6</v>
      </c>
      <c r="T34" s="446">
        <v>4376.8999999999996</v>
      </c>
      <c r="U34" s="448">
        <v>1685.2000000000003</v>
      </c>
    </row>
    <row r="35" spans="1:21" ht="14.25" customHeight="1" x14ac:dyDescent="0.35">
      <c r="B35" s="924" t="s">
        <v>76</v>
      </c>
      <c r="C35" s="429" t="s">
        <v>154</v>
      </c>
      <c r="D35" s="430">
        <v>1</v>
      </c>
      <c r="E35" s="431">
        <v>1</v>
      </c>
      <c r="F35" s="432">
        <v>1</v>
      </c>
      <c r="G35" s="433">
        <v>0.2</v>
      </c>
      <c r="H35" s="434">
        <v>0.1</v>
      </c>
      <c r="I35" s="433">
        <v>0</v>
      </c>
      <c r="J35" s="433">
        <v>0</v>
      </c>
      <c r="K35" s="433">
        <v>0.1</v>
      </c>
      <c r="L35" s="434">
        <v>0</v>
      </c>
      <c r="M35" s="433">
        <v>0</v>
      </c>
      <c r="N35" s="434">
        <v>0</v>
      </c>
      <c r="O35" s="434">
        <v>0</v>
      </c>
      <c r="P35" s="433">
        <v>0</v>
      </c>
      <c r="Q35" s="433">
        <v>0</v>
      </c>
      <c r="R35" s="434">
        <v>0</v>
      </c>
      <c r="S35" s="434">
        <v>0.2</v>
      </c>
      <c r="T35" s="433">
        <v>0.2</v>
      </c>
      <c r="U35" s="435">
        <v>0.10000000000000003</v>
      </c>
    </row>
    <row r="36" spans="1:21" ht="15" customHeight="1" x14ac:dyDescent="0.35">
      <c r="B36" s="925"/>
      <c r="C36" s="429" t="s">
        <v>20</v>
      </c>
      <c r="D36" s="430">
        <v>3</v>
      </c>
      <c r="E36" s="431">
        <v>3</v>
      </c>
      <c r="F36" s="432">
        <v>1</v>
      </c>
      <c r="G36" s="433">
        <v>347</v>
      </c>
      <c r="H36" s="434">
        <v>158.69999999999999</v>
      </c>
      <c r="I36" s="433">
        <v>375.3</v>
      </c>
      <c r="J36" s="433">
        <v>34.9</v>
      </c>
      <c r="K36" s="433">
        <v>568.9</v>
      </c>
      <c r="L36" s="434">
        <v>0</v>
      </c>
      <c r="M36" s="433">
        <v>295.10000000000002</v>
      </c>
      <c r="N36" s="434">
        <v>16.2</v>
      </c>
      <c r="O36" s="434">
        <v>32.5</v>
      </c>
      <c r="P36" s="433">
        <v>275.3</v>
      </c>
      <c r="Q36" s="433">
        <v>6.8</v>
      </c>
      <c r="R36" s="434">
        <v>10</v>
      </c>
      <c r="S36" s="434">
        <v>9</v>
      </c>
      <c r="T36" s="433">
        <v>644.9</v>
      </c>
      <c r="U36" s="435">
        <v>271</v>
      </c>
    </row>
    <row r="37" spans="1:21" ht="15" customHeight="1" x14ac:dyDescent="0.35">
      <c r="B37" s="925"/>
      <c r="C37" s="429" t="s">
        <v>221</v>
      </c>
      <c r="D37" s="430">
        <v>0</v>
      </c>
      <c r="E37" s="431">
        <v>0</v>
      </c>
      <c r="F37" s="432">
        <v>0</v>
      </c>
      <c r="G37" s="433">
        <v>0</v>
      </c>
      <c r="H37" s="434">
        <v>0</v>
      </c>
      <c r="I37" s="433">
        <v>0</v>
      </c>
      <c r="J37" s="433">
        <v>0</v>
      </c>
      <c r="K37" s="433">
        <v>0</v>
      </c>
      <c r="L37" s="434">
        <v>0</v>
      </c>
      <c r="M37" s="433">
        <v>0</v>
      </c>
      <c r="N37" s="434">
        <v>0</v>
      </c>
      <c r="O37" s="434">
        <v>0</v>
      </c>
      <c r="P37" s="433">
        <v>0</v>
      </c>
      <c r="Q37" s="433">
        <v>0</v>
      </c>
      <c r="R37" s="434">
        <v>0</v>
      </c>
      <c r="S37" s="434">
        <v>0</v>
      </c>
      <c r="T37" s="433">
        <v>0</v>
      </c>
      <c r="U37" s="435">
        <v>0</v>
      </c>
    </row>
    <row r="38" spans="1:21" ht="15" customHeight="1" x14ac:dyDescent="0.35">
      <c r="B38" s="925"/>
      <c r="C38" s="449" t="s">
        <v>21</v>
      </c>
      <c r="D38" s="436">
        <v>0</v>
      </c>
      <c r="E38" s="437">
        <v>0</v>
      </c>
      <c r="F38" s="438">
        <v>0</v>
      </c>
      <c r="G38" s="439">
        <v>0</v>
      </c>
      <c r="H38" s="440">
        <v>0</v>
      </c>
      <c r="I38" s="439">
        <v>0</v>
      </c>
      <c r="J38" s="439">
        <v>0</v>
      </c>
      <c r="K38" s="439">
        <v>0</v>
      </c>
      <c r="L38" s="439">
        <v>0</v>
      </c>
      <c r="M38" s="439">
        <v>0</v>
      </c>
      <c r="N38" s="440">
        <v>0</v>
      </c>
      <c r="O38" s="440">
        <v>0</v>
      </c>
      <c r="P38" s="439">
        <v>0</v>
      </c>
      <c r="Q38" s="439">
        <v>0</v>
      </c>
      <c r="R38" s="440">
        <v>0</v>
      </c>
      <c r="S38" s="440">
        <v>0</v>
      </c>
      <c r="T38" s="439">
        <v>0</v>
      </c>
      <c r="U38" s="441">
        <v>0</v>
      </c>
    </row>
    <row r="39" spans="1:21" s="24" customFormat="1" ht="15.75" customHeight="1" thickBot="1" x14ac:dyDescent="0.4">
      <c r="B39" s="926"/>
      <c r="C39" s="450" t="s">
        <v>9</v>
      </c>
      <c r="D39" s="451">
        <v>4</v>
      </c>
      <c r="E39" s="444">
        <v>4</v>
      </c>
      <c r="F39" s="445">
        <v>1</v>
      </c>
      <c r="G39" s="446">
        <v>347.2</v>
      </c>
      <c r="H39" s="447">
        <v>158.79999999999998</v>
      </c>
      <c r="I39" s="446">
        <v>375.3</v>
      </c>
      <c r="J39" s="446">
        <v>34.9</v>
      </c>
      <c r="K39" s="446">
        <v>569</v>
      </c>
      <c r="L39" s="447">
        <v>0</v>
      </c>
      <c r="M39" s="446">
        <v>295.10000000000002</v>
      </c>
      <c r="N39" s="447">
        <v>16.2</v>
      </c>
      <c r="O39" s="447">
        <v>32.5</v>
      </c>
      <c r="P39" s="446">
        <v>275.3</v>
      </c>
      <c r="Q39" s="446">
        <v>6.8</v>
      </c>
      <c r="R39" s="447">
        <v>10</v>
      </c>
      <c r="S39" s="447">
        <v>9.1999999999999993</v>
      </c>
      <c r="T39" s="446">
        <v>645.1</v>
      </c>
      <c r="U39" s="448">
        <v>271.10000000000002</v>
      </c>
    </row>
    <row r="40" spans="1:21" ht="15" customHeight="1" x14ac:dyDescent="0.35">
      <c r="B40" s="924" t="s">
        <v>22</v>
      </c>
      <c r="C40" s="429" t="s">
        <v>26</v>
      </c>
      <c r="D40" s="430">
        <v>11</v>
      </c>
      <c r="E40" s="431">
        <v>9</v>
      </c>
      <c r="F40" s="432">
        <v>0.81818181818181823</v>
      </c>
      <c r="G40" s="433">
        <v>362.9</v>
      </c>
      <c r="H40" s="434">
        <v>1005.5</v>
      </c>
      <c r="I40" s="433">
        <v>655.7</v>
      </c>
      <c r="J40" s="433">
        <v>4.0999999999999996</v>
      </c>
      <c r="K40" s="433">
        <v>1665.3</v>
      </c>
      <c r="L40" s="434">
        <v>0</v>
      </c>
      <c r="M40" s="433">
        <v>873</v>
      </c>
      <c r="N40" s="434">
        <v>68.2</v>
      </c>
      <c r="O40" s="434">
        <v>2.4</v>
      </c>
      <c r="P40" s="433">
        <v>0.1</v>
      </c>
      <c r="Q40" s="433">
        <v>0</v>
      </c>
      <c r="R40" s="434">
        <v>0</v>
      </c>
      <c r="S40" s="434">
        <v>74.099999999999994</v>
      </c>
      <c r="T40" s="433">
        <v>1017.8000000000001</v>
      </c>
      <c r="U40" s="435">
        <v>1010.3999999999997</v>
      </c>
    </row>
    <row r="41" spans="1:21" ht="15" customHeight="1" x14ac:dyDescent="0.35">
      <c r="B41" s="925"/>
      <c r="C41" s="429" t="s">
        <v>21</v>
      </c>
      <c r="D41" s="436">
        <v>2</v>
      </c>
      <c r="E41" s="437">
        <v>2</v>
      </c>
      <c r="F41" s="438">
        <v>1</v>
      </c>
      <c r="G41" s="439">
        <v>7.5</v>
      </c>
      <c r="H41" s="440">
        <v>69.900000000000006</v>
      </c>
      <c r="I41" s="433">
        <v>14.5</v>
      </c>
      <c r="J41" s="433">
        <v>0</v>
      </c>
      <c r="K41" s="433">
        <v>84.4</v>
      </c>
      <c r="L41" s="439">
        <v>0</v>
      </c>
      <c r="M41" s="439">
        <v>40</v>
      </c>
      <c r="N41" s="440">
        <v>1.3</v>
      </c>
      <c r="O41" s="440">
        <v>0</v>
      </c>
      <c r="P41" s="439">
        <v>0</v>
      </c>
      <c r="Q41" s="439">
        <v>0</v>
      </c>
      <c r="R41" s="440">
        <v>17.100000000000001</v>
      </c>
      <c r="S41" s="440">
        <v>5.6</v>
      </c>
      <c r="T41" s="439">
        <v>64</v>
      </c>
      <c r="U41" s="441">
        <v>27.900000000000006</v>
      </c>
    </row>
    <row r="42" spans="1:21" s="24" customFormat="1" ht="15.75" customHeight="1" thickBot="1" x14ac:dyDescent="0.4">
      <c r="B42" s="926"/>
      <c r="C42" s="442" t="s">
        <v>9</v>
      </c>
      <c r="D42" s="443">
        <v>13</v>
      </c>
      <c r="E42" s="444">
        <v>11</v>
      </c>
      <c r="F42" s="445">
        <v>0.84615384615384615</v>
      </c>
      <c r="G42" s="446">
        <v>370.4</v>
      </c>
      <c r="H42" s="447">
        <v>1075.4000000000001</v>
      </c>
      <c r="I42" s="457">
        <v>670.2</v>
      </c>
      <c r="J42" s="454">
        <v>4.0999999999999996</v>
      </c>
      <c r="K42" s="454">
        <v>1749.7</v>
      </c>
      <c r="L42" s="447">
        <v>0</v>
      </c>
      <c r="M42" s="446">
        <v>913</v>
      </c>
      <c r="N42" s="447">
        <v>69.5</v>
      </c>
      <c r="O42" s="447">
        <v>2.4</v>
      </c>
      <c r="P42" s="446">
        <v>0.1</v>
      </c>
      <c r="Q42" s="446">
        <v>0</v>
      </c>
      <c r="R42" s="447">
        <v>17.100000000000001</v>
      </c>
      <c r="S42" s="447">
        <v>79.699999999999989</v>
      </c>
      <c r="T42" s="446">
        <v>1081.8000000000002</v>
      </c>
      <c r="U42" s="448">
        <v>1038.2999999999997</v>
      </c>
    </row>
    <row r="43" spans="1:21" ht="18" customHeight="1" x14ac:dyDescent="0.35">
      <c r="A43" s="3"/>
      <c r="B43" s="919" t="s">
        <v>27</v>
      </c>
      <c r="C43" s="429" t="s">
        <v>28</v>
      </c>
      <c r="D43" s="430">
        <v>58</v>
      </c>
      <c r="E43" s="431">
        <v>58</v>
      </c>
      <c r="F43" s="432">
        <v>1</v>
      </c>
      <c r="G43" s="433">
        <v>20354.8</v>
      </c>
      <c r="H43" s="434">
        <v>54404.4</v>
      </c>
      <c r="I43" s="424">
        <v>22596.400000000001</v>
      </c>
      <c r="J43" s="433">
        <v>248.5</v>
      </c>
      <c r="K43" s="433">
        <v>77249.3</v>
      </c>
      <c r="L43" s="434">
        <v>1825.9</v>
      </c>
      <c r="M43" s="424">
        <v>16862.599999999999</v>
      </c>
      <c r="N43" s="434">
        <v>17287.099999999999</v>
      </c>
      <c r="O43" s="434">
        <v>26736.5</v>
      </c>
      <c r="P43" s="433">
        <v>1750.7</v>
      </c>
      <c r="Q43" s="433">
        <v>2891.8</v>
      </c>
      <c r="R43" s="434">
        <v>285.89999999999998</v>
      </c>
      <c r="S43" s="434">
        <v>1665.2</v>
      </c>
      <c r="T43" s="433">
        <v>69305.699999999983</v>
      </c>
      <c r="U43" s="435">
        <v>28298.400000000023</v>
      </c>
    </row>
    <row r="44" spans="1:21" ht="15" customHeight="1" x14ac:dyDescent="0.35">
      <c r="A44" s="3"/>
      <c r="B44" s="920"/>
      <c r="C44" s="449" t="s">
        <v>79</v>
      </c>
      <c r="D44" s="436">
        <v>34</v>
      </c>
      <c r="E44" s="437">
        <v>33</v>
      </c>
      <c r="F44" s="438">
        <v>0.97058823529411764</v>
      </c>
      <c r="G44" s="439">
        <v>18966.2</v>
      </c>
      <c r="H44" s="440">
        <v>60194.400000000001</v>
      </c>
      <c r="I44" s="439">
        <v>40003.300000000003</v>
      </c>
      <c r="J44" s="439">
        <v>421.9</v>
      </c>
      <c r="K44" s="439">
        <v>100619.6</v>
      </c>
      <c r="L44" s="439">
        <v>18696.2</v>
      </c>
      <c r="M44" s="439">
        <v>38904.400000000001</v>
      </c>
      <c r="N44" s="440">
        <v>3128.4</v>
      </c>
      <c r="O44" s="440">
        <v>22477.9</v>
      </c>
      <c r="P44" s="439">
        <v>2724.2</v>
      </c>
      <c r="Q44" s="439">
        <v>2087.1999999999998</v>
      </c>
      <c r="R44" s="440">
        <v>2528.6999999999998</v>
      </c>
      <c r="S44" s="440">
        <v>2094.1999999999998</v>
      </c>
      <c r="T44" s="439">
        <v>92641.2</v>
      </c>
      <c r="U44" s="441">
        <v>26944.600000000006</v>
      </c>
    </row>
    <row r="45" spans="1:21" s="24" customFormat="1" ht="15.75" customHeight="1" thickBot="1" x14ac:dyDescent="0.4">
      <c r="A45" s="458"/>
      <c r="B45" s="776"/>
      <c r="C45" s="450" t="s">
        <v>9</v>
      </c>
      <c r="D45" s="443">
        <v>92</v>
      </c>
      <c r="E45" s="444">
        <v>91</v>
      </c>
      <c r="F45" s="453">
        <v>0.98913043478260865</v>
      </c>
      <c r="G45" s="454">
        <v>39321</v>
      </c>
      <c r="H45" s="447">
        <v>114598.8</v>
      </c>
      <c r="I45" s="446">
        <v>62599.700000000004</v>
      </c>
      <c r="J45" s="454">
        <v>670.4</v>
      </c>
      <c r="K45" s="454">
        <v>177868.90000000002</v>
      </c>
      <c r="L45" s="454">
        <v>20522.100000000002</v>
      </c>
      <c r="M45" s="446">
        <v>55767</v>
      </c>
      <c r="N45" s="454">
        <v>20415.5</v>
      </c>
      <c r="O45" s="454">
        <v>49214.400000000001</v>
      </c>
      <c r="P45" s="447">
        <v>4474.8999999999996</v>
      </c>
      <c r="Q45" s="446">
        <v>4979</v>
      </c>
      <c r="R45" s="447">
        <v>2814.6</v>
      </c>
      <c r="S45" s="447">
        <v>3759.3999999999996</v>
      </c>
      <c r="T45" s="446">
        <v>161946.89999999997</v>
      </c>
      <c r="U45" s="448">
        <v>55243.000000000029</v>
      </c>
    </row>
    <row r="46" spans="1:21" ht="13.5" customHeight="1" x14ac:dyDescent="0.35">
      <c r="A46" s="3"/>
      <c r="B46" s="919" t="s">
        <v>32</v>
      </c>
      <c r="C46" s="459" t="s">
        <v>32</v>
      </c>
      <c r="D46" s="460">
        <v>3</v>
      </c>
      <c r="E46" s="461">
        <v>3</v>
      </c>
      <c r="F46" s="462">
        <v>1</v>
      </c>
      <c r="G46" s="463">
        <v>457</v>
      </c>
      <c r="H46" s="464">
        <v>657.9</v>
      </c>
      <c r="I46" s="463">
        <v>1419.1</v>
      </c>
      <c r="J46" s="463">
        <v>1388.4</v>
      </c>
      <c r="K46" s="463">
        <v>3465.4</v>
      </c>
      <c r="L46" s="463">
        <v>0</v>
      </c>
      <c r="M46" s="463">
        <v>1575.5</v>
      </c>
      <c r="N46" s="463">
        <v>70.8</v>
      </c>
      <c r="O46" s="463">
        <v>215.5</v>
      </c>
      <c r="P46" s="464">
        <v>0</v>
      </c>
      <c r="Q46" s="463">
        <v>43.4</v>
      </c>
      <c r="R46" s="464">
        <v>0</v>
      </c>
      <c r="S46" s="464">
        <v>50.6</v>
      </c>
      <c r="T46" s="463">
        <v>1955.8</v>
      </c>
      <c r="U46" s="465">
        <v>1966.6000000000001</v>
      </c>
    </row>
    <row r="47" spans="1:21" s="24" customFormat="1" ht="15.75" customHeight="1" thickBot="1" x14ac:dyDescent="0.4">
      <c r="A47" s="458"/>
      <c r="B47" s="776"/>
      <c r="C47" s="450" t="s">
        <v>9</v>
      </c>
      <c r="D47" s="443">
        <v>3</v>
      </c>
      <c r="E47" s="444">
        <v>3</v>
      </c>
      <c r="F47" s="445">
        <v>1</v>
      </c>
      <c r="G47" s="446">
        <v>457</v>
      </c>
      <c r="H47" s="454">
        <v>657.9</v>
      </c>
      <c r="I47" s="446">
        <v>1419.1</v>
      </c>
      <c r="J47" s="446">
        <v>1388.4</v>
      </c>
      <c r="K47" s="446">
        <v>3465.4</v>
      </c>
      <c r="L47" s="446">
        <v>0</v>
      </c>
      <c r="M47" s="446">
        <v>1575.5</v>
      </c>
      <c r="N47" s="446">
        <v>70.8</v>
      </c>
      <c r="O47" s="446">
        <v>215.5</v>
      </c>
      <c r="P47" s="447">
        <v>0</v>
      </c>
      <c r="Q47" s="446">
        <v>43.4</v>
      </c>
      <c r="R47" s="447">
        <v>0</v>
      </c>
      <c r="S47" s="447">
        <v>50.6</v>
      </c>
      <c r="T47" s="446">
        <v>1955.8</v>
      </c>
      <c r="U47" s="448">
        <v>1966.6000000000001</v>
      </c>
    </row>
    <row r="48" spans="1:21" ht="15" customHeight="1" x14ac:dyDescent="0.35">
      <c r="A48" s="3"/>
      <c r="B48" s="919" t="s">
        <v>33</v>
      </c>
      <c r="C48" s="459" t="s">
        <v>33</v>
      </c>
      <c r="D48" s="460">
        <v>13</v>
      </c>
      <c r="E48" s="461">
        <v>13</v>
      </c>
      <c r="F48" s="462">
        <v>1</v>
      </c>
      <c r="G48" s="463">
        <v>3089.7</v>
      </c>
      <c r="H48" s="463">
        <v>1700.8</v>
      </c>
      <c r="I48" s="463">
        <v>8478.4</v>
      </c>
      <c r="J48" s="463">
        <v>1672.6</v>
      </c>
      <c r="K48" s="463">
        <v>11851.8</v>
      </c>
      <c r="L48" s="463">
        <v>0</v>
      </c>
      <c r="M48" s="463">
        <v>9073.5</v>
      </c>
      <c r="N48" s="463">
        <v>1133.2</v>
      </c>
      <c r="O48" s="463">
        <v>79.7</v>
      </c>
      <c r="P48" s="464">
        <v>462.9</v>
      </c>
      <c r="Q48" s="463">
        <v>34.5</v>
      </c>
      <c r="R48" s="464">
        <v>252.1</v>
      </c>
      <c r="S48" s="464">
        <v>114.4</v>
      </c>
      <c r="T48" s="463">
        <v>11150.300000000001</v>
      </c>
      <c r="U48" s="465">
        <v>3791.1999999999989</v>
      </c>
    </row>
    <row r="49" spans="1:22" s="24" customFormat="1" ht="15.75" customHeight="1" thickBot="1" x14ac:dyDescent="0.4">
      <c r="A49" s="458"/>
      <c r="B49" s="776"/>
      <c r="C49" s="450" t="s">
        <v>9</v>
      </c>
      <c r="D49" s="443">
        <v>13</v>
      </c>
      <c r="E49" s="444">
        <v>13</v>
      </c>
      <c r="F49" s="445">
        <v>1</v>
      </c>
      <c r="G49" s="446">
        <v>3089.7</v>
      </c>
      <c r="H49" s="446">
        <v>1700.8</v>
      </c>
      <c r="I49" s="446">
        <v>8478.4</v>
      </c>
      <c r="J49" s="446">
        <v>1672.6</v>
      </c>
      <c r="K49" s="446">
        <v>11851.8</v>
      </c>
      <c r="L49" s="446">
        <v>0</v>
      </c>
      <c r="M49" s="446">
        <v>9073.5</v>
      </c>
      <c r="N49" s="446">
        <v>1133.2</v>
      </c>
      <c r="O49" s="446">
        <v>79.7</v>
      </c>
      <c r="P49" s="447">
        <v>462.9</v>
      </c>
      <c r="Q49" s="446">
        <v>34.5</v>
      </c>
      <c r="R49" s="446">
        <v>252.1</v>
      </c>
      <c r="S49" s="447">
        <v>114.4</v>
      </c>
      <c r="T49" s="446">
        <v>11150.300000000001</v>
      </c>
      <c r="U49" s="448">
        <v>3791.1999999999989</v>
      </c>
    </row>
    <row r="50" spans="1:22" ht="13.5" customHeight="1" x14ac:dyDescent="0.35">
      <c r="A50" s="3"/>
      <c r="B50" s="919" t="s">
        <v>34</v>
      </c>
      <c r="C50" s="459" t="s">
        <v>34</v>
      </c>
      <c r="D50" s="460">
        <v>1</v>
      </c>
      <c r="E50" s="461">
        <v>1</v>
      </c>
      <c r="F50" s="462">
        <v>1</v>
      </c>
      <c r="G50" s="463">
        <v>161.9</v>
      </c>
      <c r="H50" s="464">
        <v>0</v>
      </c>
      <c r="I50" s="463">
        <v>2366.3000000000002</v>
      </c>
      <c r="J50" s="463">
        <v>174.7</v>
      </c>
      <c r="K50" s="463">
        <v>2541</v>
      </c>
      <c r="L50" s="463">
        <v>0</v>
      </c>
      <c r="M50" s="463">
        <v>1949.3</v>
      </c>
      <c r="N50" s="463">
        <v>1.8</v>
      </c>
      <c r="O50" s="463">
        <v>515.79999999999995</v>
      </c>
      <c r="P50" s="464">
        <v>0</v>
      </c>
      <c r="Q50" s="463">
        <v>0</v>
      </c>
      <c r="R50" s="464">
        <v>8.6999999999999993</v>
      </c>
      <c r="S50" s="464">
        <v>0</v>
      </c>
      <c r="T50" s="463">
        <v>2475.5999999999995</v>
      </c>
      <c r="U50" s="465">
        <v>227.30000000000064</v>
      </c>
    </row>
    <row r="51" spans="1:22" s="24" customFormat="1" ht="15.75" customHeight="1" thickBot="1" x14ac:dyDescent="0.4">
      <c r="A51" s="458"/>
      <c r="B51" s="776"/>
      <c r="C51" s="450" t="s">
        <v>9</v>
      </c>
      <c r="D51" s="443">
        <v>1</v>
      </c>
      <c r="E51" s="444">
        <v>1</v>
      </c>
      <c r="F51" s="445">
        <v>1</v>
      </c>
      <c r="G51" s="446">
        <v>161.9</v>
      </c>
      <c r="H51" s="454">
        <v>0</v>
      </c>
      <c r="I51" s="446">
        <v>2366.3000000000002</v>
      </c>
      <c r="J51" s="446">
        <v>174.7</v>
      </c>
      <c r="K51" s="446">
        <v>2541</v>
      </c>
      <c r="L51" s="446">
        <v>0</v>
      </c>
      <c r="M51" s="446">
        <v>1949.3</v>
      </c>
      <c r="N51" s="446">
        <v>1.8</v>
      </c>
      <c r="O51" s="446">
        <v>515.79999999999995</v>
      </c>
      <c r="P51" s="447">
        <v>0</v>
      </c>
      <c r="Q51" s="446">
        <v>0</v>
      </c>
      <c r="R51" s="447">
        <v>8.6999999999999993</v>
      </c>
      <c r="S51" s="447">
        <v>0</v>
      </c>
      <c r="T51" s="446">
        <v>2475.5999999999995</v>
      </c>
      <c r="U51" s="448">
        <v>227.30000000000064</v>
      </c>
    </row>
    <row r="52" spans="1:22" ht="13.5" customHeight="1" x14ac:dyDescent="0.35">
      <c r="A52" s="3"/>
      <c r="B52" s="919" t="s">
        <v>222</v>
      </c>
      <c r="C52" s="459" t="s">
        <v>223</v>
      </c>
      <c r="D52" s="460">
        <v>0</v>
      </c>
      <c r="E52" s="461">
        <v>0</v>
      </c>
      <c r="F52" s="462">
        <v>0</v>
      </c>
      <c r="G52" s="463">
        <v>0</v>
      </c>
      <c r="H52" s="464">
        <v>0</v>
      </c>
      <c r="I52" s="463">
        <v>0</v>
      </c>
      <c r="J52" s="463">
        <v>0</v>
      </c>
      <c r="K52" s="463">
        <v>0</v>
      </c>
      <c r="L52" s="463">
        <v>0</v>
      </c>
      <c r="M52" s="463">
        <v>0</v>
      </c>
      <c r="N52" s="463">
        <v>0</v>
      </c>
      <c r="O52" s="463">
        <v>0</v>
      </c>
      <c r="P52" s="464">
        <v>0</v>
      </c>
      <c r="Q52" s="463">
        <v>0</v>
      </c>
      <c r="R52" s="464">
        <v>0</v>
      </c>
      <c r="S52" s="464">
        <v>0</v>
      </c>
      <c r="T52" s="463">
        <v>0</v>
      </c>
      <c r="U52" s="465">
        <v>0</v>
      </c>
    </row>
    <row r="53" spans="1:22" s="24" customFormat="1" ht="15.75" customHeight="1" thickBot="1" x14ac:dyDescent="0.4">
      <c r="A53" s="458"/>
      <c r="B53" s="776"/>
      <c r="C53" s="450" t="s">
        <v>9</v>
      </c>
      <c r="D53" s="443">
        <v>0</v>
      </c>
      <c r="E53" s="444">
        <v>0</v>
      </c>
      <c r="F53" s="445">
        <v>0</v>
      </c>
      <c r="G53" s="446">
        <v>0</v>
      </c>
      <c r="H53" s="454">
        <v>0</v>
      </c>
      <c r="I53" s="446">
        <v>0</v>
      </c>
      <c r="J53" s="446">
        <v>0</v>
      </c>
      <c r="K53" s="446">
        <v>0</v>
      </c>
      <c r="L53" s="446">
        <v>0</v>
      </c>
      <c r="M53" s="446">
        <v>0</v>
      </c>
      <c r="N53" s="446">
        <v>0</v>
      </c>
      <c r="O53" s="446">
        <v>0</v>
      </c>
      <c r="P53" s="447">
        <v>0</v>
      </c>
      <c r="Q53" s="446">
        <v>0</v>
      </c>
      <c r="R53" s="447">
        <v>0</v>
      </c>
      <c r="S53" s="447">
        <v>0</v>
      </c>
      <c r="T53" s="446">
        <v>0</v>
      </c>
      <c r="U53" s="448">
        <v>0</v>
      </c>
    </row>
    <row r="54" spans="1:22" ht="15" customHeight="1" x14ac:dyDescent="0.35">
      <c r="A54" s="3"/>
      <c r="B54" s="919" t="s">
        <v>31</v>
      </c>
      <c r="C54" s="459" t="s">
        <v>31</v>
      </c>
      <c r="D54" s="460">
        <v>0</v>
      </c>
      <c r="E54" s="461">
        <v>0</v>
      </c>
      <c r="F54" s="462">
        <v>0</v>
      </c>
      <c r="G54" s="463">
        <v>0</v>
      </c>
      <c r="H54" s="463">
        <v>0</v>
      </c>
      <c r="I54" s="463">
        <v>0</v>
      </c>
      <c r="J54" s="463">
        <v>0</v>
      </c>
      <c r="K54" s="463">
        <v>0</v>
      </c>
      <c r="L54" s="463">
        <v>0</v>
      </c>
      <c r="M54" s="463">
        <v>0</v>
      </c>
      <c r="N54" s="463">
        <v>0</v>
      </c>
      <c r="O54" s="463">
        <v>0</v>
      </c>
      <c r="P54" s="464">
        <v>0</v>
      </c>
      <c r="Q54" s="463">
        <v>0</v>
      </c>
      <c r="R54" s="464">
        <v>0</v>
      </c>
      <c r="S54" s="464">
        <v>0</v>
      </c>
      <c r="T54" s="463">
        <v>0</v>
      </c>
      <c r="U54" s="465">
        <v>0</v>
      </c>
    </row>
    <row r="55" spans="1:22" s="24" customFormat="1" ht="15.75" customHeight="1" thickBot="1" x14ac:dyDescent="0.4">
      <c r="A55" s="458"/>
      <c r="B55" s="776"/>
      <c r="C55" s="450" t="s">
        <v>9</v>
      </c>
      <c r="D55" s="466">
        <v>0</v>
      </c>
      <c r="E55" s="444">
        <v>0</v>
      </c>
      <c r="F55" s="445">
        <v>0</v>
      </c>
      <c r="G55" s="446">
        <v>0</v>
      </c>
      <c r="H55" s="446">
        <v>0</v>
      </c>
      <c r="I55" s="446">
        <v>0</v>
      </c>
      <c r="J55" s="446">
        <v>0</v>
      </c>
      <c r="K55" s="446">
        <v>0</v>
      </c>
      <c r="L55" s="446">
        <v>0</v>
      </c>
      <c r="M55" s="446">
        <v>0</v>
      </c>
      <c r="N55" s="446">
        <v>0</v>
      </c>
      <c r="O55" s="446">
        <v>0</v>
      </c>
      <c r="P55" s="447">
        <v>0</v>
      </c>
      <c r="Q55" s="446">
        <v>0</v>
      </c>
      <c r="R55" s="446">
        <v>0</v>
      </c>
      <c r="S55" s="447">
        <v>0</v>
      </c>
      <c r="T55" s="446">
        <v>0</v>
      </c>
      <c r="U55" s="448">
        <v>0</v>
      </c>
    </row>
    <row r="56" spans="1:22" ht="15" customHeight="1" x14ac:dyDescent="0.35">
      <c r="A56" s="3"/>
      <c r="B56" s="919" t="s">
        <v>87</v>
      </c>
      <c r="C56" s="429" t="s">
        <v>14</v>
      </c>
      <c r="D56" s="430">
        <v>3</v>
      </c>
      <c r="E56" s="431">
        <v>3</v>
      </c>
      <c r="F56" s="432">
        <v>1</v>
      </c>
      <c r="G56" s="433">
        <v>721.8</v>
      </c>
      <c r="H56" s="433">
        <v>509.4</v>
      </c>
      <c r="I56" s="433">
        <v>8819.2000000000007</v>
      </c>
      <c r="J56" s="433">
        <v>898.4</v>
      </c>
      <c r="K56" s="433">
        <v>10227</v>
      </c>
      <c r="L56" s="433">
        <v>0</v>
      </c>
      <c r="M56" s="433">
        <v>9984.6</v>
      </c>
      <c r="N56" s="433">
        <v>94.2</v>
      </c>
      <c r="O56" s="433">
        <v>97.9</v>
      </c>
      <c r="P56" s="434">
        <v>0</v>
      </c>
      <c r="Q56" s="433">
        <v>8.6999999999999993</v>
      </c>
      <c r="R56" s="433">
        <v>0</v>
      </c>
      <c r="S56" s="434">
        <v>61.8</v>
      </c>
      <c r="T56" s="424">
        <v>10247.200000000001</v>
      </c>
      <c r="U56" s="428">
        <v>701.59999999999854</v>
      </c>
    </row>
    <row r="57" spans="1:22" ht="15" customHeight="1" x14ac:dyDescent="0.35">
      <c r="A57" s="3"/>
      <c r="B57" s="920"/>
      <c r="C57" s="449" t="s">
        <v>21</v>
      </c>
      <c r="D57" s="436">
        <v>5</v>
      </c>
      <c r="E57" s="437">
        <v>5</v>
      </c>
      <c r="F57" s="438">
        <v>1</v>
      </c>
      <c r="G57" s="439">
        <v>908.5</v>
      </c>
      <c r="H57" s="439">
        <v>879.4</v>
      </c>
      <c r="I57" s="439">
        <v>2088.6</v>
      </c>
      <c r="J57" s="439">
        <v>31.6</v>
      </c>
      <c r="K57" s="439">
        <v>2999.6</v>
      </c>
      <c r="L57" s="439">
        <v>0</v>
      </c>
      <c r="M57" s="439">
        <v>2036</v>
      </c>
      <c r="N57" s="439">
        <v>148.6</v>
      </c>
      <c r="O57" s="439">
        <v>232</v>
      </c>
      <c r="P57" s="440">
        <v>0.2</v>
      </c>
      <c r="Q57" s="439">
        <v>15.6</v>
      </c>
      <c r="R57" s="439">
        <v>0</v>
      </c>
      <c r="S57" s="439">
        <v>67.3</v>
      </c>
      <c r="T57" s="439">
        <v>2499.6999999999998</v>
      </c>
      <c r="U57" s="441">
        <v>1408.4</v>
      </c>
    </row>
    <row r="58" spans="1:22" s="24" customFormat="1" ht="15.75" customHeight="1" thickBot="1" x14ac:dyDescent="0.4">
      <c r="A58" s="458"/>
      <c r="B58" s="776"/>
      <c r="C58" s="450" t="s">
        <v>9</v>
      </c>
      <c r="D58" s="443">
        <v>8</v>
      </c>
      <c r="E58" s="444">
        <v>8</v>
      </c>
      <c r="F58" s="445">
        <v>1</v>
      </c>
      <c r="G58" s="446">
        <v>1630.3</v>
      </c>
      <c r="H58" s="446">
        <v>1388.8</v>
      </c>
      <c r="I58" s="446">
        <v>10907.800000000001</v>
      </c>
      <c r="J58" s="446">
        <v>930</v>
      </c>
      <c r="K58" s="446">
        <v>13226.6</v>
      </c>
      <c r="L58" s="446">
        <v>0</v>
      </c>
      <c r="M58" s="446">
        <v>12020.6</v>
      </c>
      <c r="N58" s="446">
        <v>242.8</v>
      </c>
      <c r="O58" s="446">
        <v>329.9</v>
      </c>
      <c r="P58" s="447">
        <v>0.2</v>
      </c>
      <c r="Q58" s="446">
        <v>24.299999999999997</v>
      </c>
      <c r="R58" s="446">
        <v>0</v>
      </c>
      <c r="S58" s="446">
        <v>129.1</v>
      </c>
      <c r="T58" s="446">
        <v>12746.900000000001</v>
      </c>
      <c r="U58" s="448">
        <v>2109.9999999999986</v>
      </c>
    </row>
    <row r="59" spans="1:22" s="24" customFormat="1" ht="17.25" customHeight="1" thickBot="1" x14ac:dyDescent="0.4">
      <c r="A59" s="458"/>
      <c r="B59" s="921" t="s">
        <v>35</v>
      </c>
      <c r="C59" s="914"/>
      <c r="D59" s="467">
        <v>400</v>
      </c>
      <c r="E59" s="467">
        <v>390</v>
      </c>
      <c r="F59" s="468">
        <v>0.97499999999999998</v>
      </c>
      <c r="G59" s="469">
        <v>274616</v>
      </c>
      <c r="H59" s="469">
        <v>554085.00000000023</v>
      </c>
      <c r="I59" s="470">
        <v>417329.6</v>
      </c>
      <c r="J59" s="471">
        <v>36196.499999999993</v>
      </c>
      <c r="K59" s="469">
        <v>1007611.3000000002</v>
      </c>
      <c r="L59" s="469">
        <v>50984.700000000004</v>
      </c>
      <c r="M59" s="469">
        <v>340666.3</v>
      </c>
      <c r="N59" s="469">
        <v>214843.2</v>
      </c>
      <c r="O59" s="469">
        <v>251939.19999999998</v>
      </c>
      <c r="P59" s="469">
        <v>25703.500000000004</v>
      </c>
      <c r="Q59" s="469">
        <v>28781.7</v>
      </c>
      <c r="R59" s="469">
        <v>5459.5</v>
      </c>
      <c r="S59" s="469">
        <v>8415.1</v>
      </c>
      <c r="T59" s="469">
        <v>926792.90000000014</v>
      </c>
      <c r="U59" s="470">
        <v>355434.4</v>
      </c>
      <c r="V59" s="472"/>
    </row>
    <row r="60" spans="1:22" ht="15" customHeight="1" x14ac:dyDescent="0.35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128"/>
      <c r="R60" s="7"/>
      <c r="S60" s="7"/>
      <c r="T60" s="7"/>
      <c r="U60" s="128"/>
    </row>
    <row r="61" spans="1:22" ht="17.25" customHeight="1" x14ac:dyDescent="0.35">
      <c r="B61" s="907" t="s">
        <v>224</v>
      </c>
      <c r="C61" s="907"/>
      <c r="D61" s="907"/>
      <c r="E61" s="907"/>
      <c r="F61" s="907"/>
      <c r="G61" s="907"/>
      <c r="H61" s="907"/>
      <c r="I61" s="907"/>
      <c r="J61" s="907"/>
      <c r="K61" s="907"/>
      <c r="L61" s="907"/>
      <c r="M61" s="907"/>
      <c r="N61" s="907"/>
      <c r="O61" s="907"/>
      <c r="P61" s="907"/>
      <c r="Q61" s="907"/>
      <c r="R61" s="907"/>
      <c r="S61" s="907"/>
      <c r="T61" s="907"/>
      <c r="U61" s="907"/>
    </row>
    <row r="62" spans="1:22" ht="16.5" customHeight="1" x14ac:dyDescent="0.35">
      <c r="B62" s="907" t="s">
        <v>225</v>
      </c>
      <c r="C62" s="907"/>
      <c r="D62" s="907"/>
      <c r="E62" s="907"/>
      <c r="F62" s="907"/>
      <c r="G62" s="907"/>
      <c r="H62" s="907"/>
      <c r="I62" s="907"/>
      <c r="J62" s="907"/>
      <c r="K62" s="907"/>
      <c r="L62" s="907"/>
      <c r="M62" s="907"/>
      <c r="N62" s="907"/>
      <c r="O62" s="907"/>
      <c r="P62" s="907"/>
      <c r="Q62" s="907"/>
      <c r="R62" s="907"/>
      <c r="S62" s="907"/>
      <c r="T62" s="907"/>
      <c r="U62" s="907"/>
    </row>
    <row r="63" spans="1:22" ht="18.75" customHeight="1" x14ac:dyDescent="0.35">
      <c r="B63" s="907" t="s">
        <v>226</v>
      </c>
      <c r="C63" s="907"/>
      <c r="D63" s="907"/>
      <c r="E63" s="907"/>
      <c r="F63" s="907"/>
      <c r="G63" s="907"/>
      <c r="H63" s="907"/>
      <c r="I63" s="907"/>
      <c r="J63" s="907"/>
      <c r="K63" s="907"/>
      <c r="L63" s="907"/>
      <c r="M63" s="907"/>
      <c r="N63" s="907"/>
      <c r="O63" s="907"/>
      <c r="P63" s="907"/>
      <c r="Q63" s="907"/>
      <c r="R63" s="907"/>
      <c r="S63" s="907"/>
      <c r="T63" s="907"/>
      <c r="U63" s="907"/>
    </row>
    <row r="64" spans="1:22" ht="18.75" customHeight="1" x14ac:dyDescent="0.35">
      <c r="B64" s="907" t="s">
        <v>227</v>
      </c>
      <c r="C64" s="907"/>
      <c r="D64" s="907"/>
      <c r="E64" s="907"/>
      <c r="F64" s="907"/>
      <c r="G64" s="907"/>
      <c r="H64" s="907"/>
      <c r="I64" s="907"/>
      <c r="J64" s="907"/>
      <c r="K64" s="907"/>
      <c r="L64" s="907"/>
      <c r="M64" s="907"/>
      <c r="N64" s="907"/>
      <c r="O64" s="907"/>
      <c r="P64" s="907"/>
      <c r="Q64" s="907"/>
      <c r="R64" s="907"/>
      <c r="S64" s="907"/>
      <c r="T64" s="907"/>
      <c r="U64" s="907"/>
    </row>
    <row r="65" spans="2:21" ht="14.25" customHeight="1" x14ac:dyDescent="0.35">
      <c r="B65" s="791" t="s">
        <v>119</v>
      </c>
      <c r="C65" s="791"/>
      <c r="D65" s="791"/>
      <c r="E65" s="791"/>
      <c r="F65" s="791"/>
      <c r="G65" s="791"/>
      <c r="H65" s="791"/>
      <c r="I65" s="791"/>
      <c r="J65" s="791"/>
      <c r="K65" s="791"/>
      <c r="L65" s="791"/>
      <c r="M65" s="791"/>
      <c r="N65" s="791"/>
      <c r="O65" s="791"/>
      <c r="P65" s="791"/>
      <c r="Q65" s="791"/>
      <c r="R65" s="791"/>
      <c r="S65" s="791"/>
      <c r="T65" s="791"/>
      <c r="U65" s="791"/>
    </row>
  </sheetData>
  <customSheetViews>
    <customSheetView guid="{6654F670-CAA9-4C4A-B3D9-226402FC46BC}" scale="85" showPageBreaks="1" printArea="1" view="pageLayout" topLeftCell="A22">
      <selection activeCell="D14" sqref="D14:U59"/>
      <pageMargins left="0.70866141732283472" right="0.70866141732283472" top="0.74803149606299213" bottom="0.74803149606299213" header="0.31496062992125984" footer="0.31496062992125984"/>
      <pageSetup paperSize="9" scale="49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85" showPageBreaks="1" printArea="1" view="pageLayout" topLeftCell="A22">
      <selection activeCell="D14" sqref="D14:U59"/>
      <pageMargins left="0.70866141732283472" right="0.70866141732283472" top="0.74803149606299213" bottom="0.74803149606299213" header="0.31496062992125984" footer="0.31496062992125984"/>
      <pageSetup paperSize="9" scale="49" orientation="landscape"/>
      <headerFooter>
        <oddHeader>&amp;L&amp;G&amp;RCAMPAÑA: 2025/2026. MES: JULIO
Fecha de emisión de datos: 25/08/2026</oddHeader>
      </headerFooter>
    </customSheetView>
  </customSheetViews>
  <mergeCells count="38">
    <mergeCell ref="B5:U7"/>
    <mergeCell ref="B9:U9"/>
    <mergeCell ref="B11:B13"/>
    <mergeCell ref="C11:C13"/>
    <mergeCell ref="D11:F11"/>
    <mergeCell ref="G11:G13"/>
    <mergeCell ref="H11:K11"/>
    <mergeCell ref="L11:T11"/>
    <mergeCell ref="U11:U13"/>
    <mergeCell ref="D12:D13"/>
    <mergeCell ref="E12:E13"/>
    <mergeCell ref="F12:F13"/>
    <mergeCell ref="M12:S12"/>
    <mergeCell ref="T12:T13"/>
    <mergeCell ref="K12:K13"/>
    <mergeCell ref="L12:L13"/>
    <mergeCell ref="B43:B45"/>
    <mergeCell ref="H12:H13"/>
    <mergeCell ref="I12:J12"/>
    <mergeCell ref="B40:B42"/>
    <mergeCell ref="B46:B47"/>
    <mergeCell ref="B14:B22"/>
    <mergeCell ref="B30:B34"/>
    <mergeCell ref="B35:B39"/>
    <mergeCell ref="B28:B29"/>
    <mergeCell ref="B23:B25"/>
    <mergeCell ref="B26:B27"/>
    <mergeCell ref="B62:U62"/>
    <mergeCell ref="B63:U63"/>
    <mergeCell ref="B64:U64"/>
    <mergeCell ref="B48:B49"/>
    <mergeCell ref="B65:U65"/>
    <mergeCell ref="B50:B51"/>
    <mergeCell ref="B52:B53"/>
    <mergeCell ref="B54:B55"/>
    <mergeCell ref="B56:B58"/>
    <mergeCell ref="B59:C59"/>
    <mergeCell ref="B61:U61"/>
  </mergeCells>
  <pageMargins left="0.70866141732283472" right="0.70866141732283472" top="0.74803149606299213" bottom="0.74803149606299213" header="0.31496062992125984" footer="0.31496062992125984"/>
  <pageSetup paperSize="9" scale="49" orientation="landscape" r:id="rId1"/>
  <headerFooter>
    <oddHeader>&amp;L&amp;G&amp;RCAMPAÑA: 2025/2026. MES: JULIO
Fecha de emisión de datos: 25/08/2026</oddHeader>
  </headerFooter>
  <legacyDrawingHF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C1:P53"/>
  <sheetViews>
    <sheetView view="pageLayout" topLeftCell="B1" zoomScale="85" zoomScaleNormal="90" zoomScaleSheetLayoutView="70" zoomScalePageLayoutView="85" workbookViewId="0">
      <selection activeCell="I11" sqref="I11"/>
    </sheetView>
  </sheetViews>
  <sheetFormatPr baseColWidth="10" defaultColWidth="11.453125" defaultRowHeight="11.5" x14ac:dyDescent="0.35"/>
  <cols>
    <col min="1" max="1" width="11.453125" style="7"/>
    <col min="2" max="2" width="6.54296875" style="7" customWidth="1"/>
    <col min="3" max="3" width="11.453125" style="7"/>
    <col min="4" max="4" width="27.81640625" style="7" bestFit="1" customWidth="1"/>
    <col min="5" max="5" width="12.81640625" style="7" bestFit="1" customWidth="1"/>
    <col min="6" max="6" width="11.453125" style="7" customWidth="1"/>
    <col min="7" max="7" width="11.453125" style="7"/>
    <col min="8" max="9" width="11.26953125" style="7" customWidth="1"/>
    <col min="10" max="16384" width="11.453125" style="7"/>
  </cols>
  <sheetData>
    <row r="1" spans="3:16" ht="13.5" customHeight="1" x14ac:dyDescent="0.35"/>
    <row r="2" spans="3:16" ht="23.25" customHeight="1" x14ac:dyDescent="0.35">
      <c r="D2" s="761" t="s">
        <v>228</v>
      </c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" t="s">
        <v>146</v>
      </c>
    </row>
    <row r="3" spans="3:16" ht="15.75" customHeight="1" x14ac:dyDescent="0.35"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</row>
    <row r="4" spans="3:16" ht="4.5" customHeight="1" x14ac:dyDescent="0.35">
      <c r="D4" s="761"/>
      <c r="E4" s="761"/>
      <c r="F4" s="761"/>
      <c r="G4" s="761"/>
      <c r="H4" s="761"/>
      <c r="I4" s="761"/>
      <c r="J4" s="761"/>
      <c r="K4" s="761"/>
      <c r="L4" s="761"/>
      <c r="M4" s="761"/>
      <c r="N4" s="761"/>
      <c r="O4" s="761"/>
    </row>
    <row r="5" spans="3:16" ht="3" customHeight="1" thickBot="1" x14ac:dyDescent="0.4">
      <c r="D5" s="473"/>
      <c r="E5" s="473"/>
      <c r="F5" s="473"/>
      <c r="G5" s="473"/>
      <c r="H5" s="473"/>
      <c r="I5" s="473"/>
      <c r="J5" s="473"/>
      <c r="K5" s="473"/>
      <c r="L5" s="473"/>
      <c r="M5" s="473"/>
      <c r="N5" s="473"/>
      <c r="O5" s="473"/>
    </row>
    <row r="6" spans="3:16" ht="16" thickBot="1" x14ac:dyDescent="0.4">
      <c r="C6" s="392"/>
      <c r="D6" s="909" t="s">
        <v>229</v>
      </c>
      <c r="E6" s="910"/>
      <c r="F6" s="910"/>
      <c r="G6" s="910"/>
      <c r="H6" s="910"/>
      <c r="I6" s="910"/>
      <c r="J6" s="910"/>
      <c r="K6" s="910"/>
      <c r="L6" s="910"/>
      <c r="M6" s="910"/>
      <c r="N6" s="910"/>
      <c r="O6" s="911"/>
    </row>
    <row r="7" spans="3:16" ht="9.75" customHeight="1" thickBot="1" x14ac:dyDescent="0.4">
      <c r="I7" s="313"/>
      <c r="J7" s="313"/>
      <c r="K7" s="313"/>
      <c r="L7" s="313"/>
      <c r="O7" s="474"/>
    </row>
    <row r="8" spans="3:16" ht="12" thickBot="1" x14ac:dyDescent="0.4">
      <c r="D8" s="407" t="s">
        <v>54</v>
      </c>
      <c r="E8" s="407" t="s">
        <v>4</v>
      </c>
      <c r="F8" s="407" t="s">
        <v>58</v>
      </c>
      <c r="G8" s="407" t="s">
        <v>39</v>
      </c>
      <c r="H8" s="407" t="s">
        <v>40</v>
      </c>
      <c r="I8" s="407" t="s">
        <v>41</v>
      </c>
      <c r="J8" s="407" t="s">
        <v>42</v>
      </c>
      <c r="K8" s="407" t="s">
        <v>43</v>
      </c>
      <c r="L8" s="407" t="s">
        <v>44</v>
      </c>
      <c r="M8" s="407" t="s">
        <v>45</v>
      </c>
      <c r="N8" s="407" t="s">
        <v>46</v>
      </c>
      <c r="O8" s="475" t="s">
        <v>48</v>
      </c>
    </row>
    <row r="9" spans="3:16" ht="14.25" customHeight="1" x14ac:dyDescent="0.35">
      <c r="C9" s="392"/>
      <c r="D9" s="924" t="s">
        <v>74</v>
      </c>
      <c r="E9" s="476" t="s">
        <v>219</v>
      </c>
      <c r="F9" s="477">
        <v>0</v>
      </c>
      <c r="G9" s="477">
        <v>8.1</v>
      </c>
      <c r="H9" s="477">
        <v>0</v>
      </c>
      <c r="I9" s="477">
        <v>0</v>
      </c>
      <c r="J9" s="477">
        <v>528.20000000000005</v>
      </c>
      <c r="K9" s="477">
        <v>524</v>
      </c>
      <c r="L9" s="477">
        <v>203.2</v>
      </c>
      <c r="M9" s="477">
        <v>0</v>
      </c>
      <c r="N9" s="478">
        <v>0</v>
      </c>
      <c r="O9" s="428">
        <v>1263.4000000000001</v>
      </c>
      <c r="P9" s="128"/>
    </row>
    <row r="10" spans="3:16" ht="15" customHeight="1" x14ac:dyDescent="0.35">
      <c r="C10" s="392"/>
      <c r="D10" s="925"/>
      <c r="E10" s="392" t="s">
        <v>230</v>
      </c>
      <c r="F10" s="479">
        <v>9.5</v>
      </c>
      <c r="G10" s="479">
        <v>34.9</v>
      </c>
      <c r="H10" s="479">
        <v>14.9</v>
      </c>
      <c r="I10" s="479">
        <v>0</v>
      </c>
      <c r="J10" s="479">
        <v>0</v>
      </c>
      <c r="K10" s="479">
        <v>0</v>
      </c>
      <c r="L10" s="479">
        <v>0</v>
      </c>
      <c r="M10" s="479">
        <v>0</v>
      </c>
      <c r="N10" s="480">
        <v>0</v>
      </c>
      <c r="O10" s="435">
        <v>59.3</v>
      </c>
      <c r="P10" s="128"/>
    </row>
    <row r="11" spans="3:16" ht="15" customHeight="1" x14ac:dyDescent="0.35">
      <c r="C11" s="392"/>
      <c r="D11" s="925"/>
      <c r="E11" s="392" t="s">
        <v>82</v>
      </c>
      <c r="F11" s="479">
        <v>6220.4</v>
      </c>
      <c r="G11" s="479">
        <v>44468</v>
      </c>
      <c r="H11" s="479">
        <v>4985.8999999999996</v>
      </c>
      <c r="I11" s="479">
        <v>179.8</v>
      </c>
      <c r="J11" s="479">
        <v>0</v>
      </c>
      <c r="K11" s="479">
        <v>0</v>
      </c>
      <c r="L11" s="479">
        <v>0</v>
      </c>
      <c r="M11" s="479">
        <v>0</v>
      </c>
      <c r="N11" s="480">
        <v>0</v>
      </c>
      <c r="O11" s="435">
        <v>55854.1</v>
      </c>
      <c r="P11" s="128"/>
    </row>
    <row r="12" spans="3:16" ht="15" customHeight="1" x14ac:dyDescent="0.35">
      <c r="C12" s="392"/>
      <c r="D12" s="925"/>
      <c r="E12" s="392" t="s">
        <v>6</v>
      </c>
      <c r="F12" s="479">
        <v>0</v>
      </c>
      <c r="G12" s="479">
        <v>0</v>
      </c>
      <c r="H12" s="479">
        <v>0</v>
      </c>
      <c r="I12" s="479">
        <v>98.9</v>
      </c>
      <c r="J12" s="479">
        <v>0</v>
      </c>
      <c r="K12" s="479">
        <v>0</v>
      </c>
      <c r="L12" s="479">
        <v>0</v>
      </c>
      <c r="M12" s="479">
        <v>0</v>
      </c>
      <c r="N12" s="480">
        <v>0</v>
      </c>
      <c r="O12" s="435">
        <v>98.9</v>
      </c>
      <c r="P12" s="128"/>
    </row>
    <row r="13" spans="3:16" ht="15" customHeight="1" x14ac:dyDescent="0.35">
      <c r="C13" s="392"/>
      <c r="D13" s="925"/>
      <c r="E13" s="392" t="s">
        <v>7</v>
      </c>
      <c r="F13" s="479">
        <v>1135.8</v>
      </c>
      <c r="G13" s="479">
        <v>3777.2</v>
      </c>
      <c r="H13" s="479">
        <v>880.2</v>
      </c>
      <c r="I13" s="479">
        <v>0</v>
      </c>
      <c r="J13" s="479">
        <v>0</v>
      </c>
      <c r="K13" s="479">
        <v>0</v>
      </c>
      <c r="L13" s="479">
        <v>0</v>
      </c>
      <c r="M13" s="479">
        <v>0</v>
      </c>
      <c r="N13" s="480">
        <v>0</v>
      </c>
      <c r="O13" s="435">
        <v>5793.2</v>
      </c>
      <c r="P13" s="128"/>
    </row>
    <row r="14" spans="3:16" ht="15" customHeight="1" x14ac:dyDescent="0.35">
      <c r="C14" s="392"/>
      <c r="D14" s="925"/>
      <c r="E14" s="392" t="s">
        <v>83</v>
      </c>
      <c r="F14" s="479">
        <v>98.1</v>
      </c>
      <c r="G14" s="479">
        <v>311.8</v>
      </c>
      <c r="H14" s="479">
        <v>33.799999999999997</v>
      </c>
      <c r="I14" s="479">
        <v>3.5</v>
      </c>
      <c r="J14" s="479">
        <v>0</v>
      </c>
      <c r="K14" s="479">
        <v>0</v>
      </c>
      <c r="L14" s="479">
        <v>0</v>
      </c>
      <c r="M14" s="479">
        <v>0</v>
      </c>
      <c r="N14" s="480">
        <v>0</v>
      </c>
      <c r="O14" s="435">
        <v>447.1</v>
      </c>
      <c r="P14" s="128"/>
    </row>
    <row r="15" spans="3:16" ht="15" customHeight="1" x14ac:dyDescent="0.35">
      <c r="C15" s="392"/>
      <c r="D15" s="925"/>
      <c r="E15" s="392" t="s">
        <v>84</v>
      </c>
      <c r="F15" s="479">
        <v>4828.3</v>
      </c>
      <c r="G15" s="479">
        <v>36752.699999999997</v>
      </c>
      <c r="H15" s="479">
        <v>5590.6</v>
      </c>
      <c r="I15" s="479">
        <v>113.7</v>
      </c>
      <c r="J15" s="479">
        <v>0</v>
      </c>
      <c r="K15" s="479">
        <v>0</v>
      </c>
      <c r="L15" s="479">
        <v>0</v>
      </c>
      <c r="M15" s="479">
        <v>0</v>
      </c>
      <c r="N15" s="480">
        <v>0</v>
      </c>
      <c r="O15" s="435">
        <v>47285.3</v>
      </c>
      <c r="P15" s="128"/>
    </row>
    <row r="16" spans="3:16" ht="15" customHeight="1" x14ac:dyDescent="0.35">
      <c r="C16" s="392"/>
      <c r="D16" s="925"/>
      <c r="E16" s="449" t="s">
        <v>8</v>
      </c>
      <c r="F16" s="481">
        <v>82319.7</v>
      </c>
      <c r="G16" s="481">
        <v>180188.2</v>
      </c>
      <c r="H16" s="481">
        <v>23958.5</v>
      </c>
      <c r="I16" s="481">
        <v>212.2</v>
      </c>
      <c r="J16" s="481">
        <v>9.3000000000000007</v>
      </c>
      <c r="K16" s="481">
        <v>0</v>
      </c>
      <c r="L16" s="481">
        <v>4.4000000000000004</v>
      </c>
      <c r="M16" s="481">
        <v>0</v>
      </c>
      <c r="N16" s="482">
        <v>0</v>
      </c>
      <c r="O16" s="441">
        <v>286692.30000000005</v>
      </c>
      <c r="P16" s="128"/>
    </row>
    <row r="17" spans="3:16" s="64" customFormat="1" ht="15.75" customHeight="1" thickBot="1" x14ac:dyDescent="0.4">
      <c r="C17" s="483"/>
      <c r="D17" s="926"/>
      <c r="E17" s="269" t="s">
        <v>9</v>
      </c>
      <c r="F17" s="484">
        <v>94611.8</v>
      </c>
      <c r="G17" s="484">
        <v>265540.90000000002</v>
      </c>
      <c r="H17" s="484">
        <v>35463.9</v>
      </c>
      <c r="I17" s="484">
        <v>608.1</v>
      </c>
      <c r="J17" s="484">
        <v>537.5</v>
      </c>
      <c r="K17" s="484">
        <v>524</v>
      </c>
      <c r="L17" s="484">
        <v>207.6</v>
      </c>
      <c r="M17" s="484">
        <v>0</v>
      </c>
      <c r="N17" s="485">
        <v>0</v>
      </c>
      <c r="O17" s="456">
        <v>397493.6</v>
      </c>
      <c r="P17" s="486"/>
    </row>
    <row r="18" spans="3:16" ht="17.25" customHeight="1" x14ac:dyDescent="0.35">
      <c r="C18" s="392"/>
      <c r="D18" s="924" t="s">
        <v>75</v>
      </c>
      <c r="E18" s="392" t="s">
        <v>11</v>
      </c>
      <c r="F18" s="479">
        <v>54</v>
      </c>
      <c r="G18" s="479">
        <v>78.7</v>
      </c>
      <c r="H18" s="479">
        <v>320.10000000000002</v>
      </c>
      <c r="I18" s="479">
        <v>2380.6</v>
      </c>
      <c r="J18" s="479">
        <v>1462.5</v>
      </c>
      <c r="K18" s="479">
        <v>304.3</v>
      </c>
      <c r="L18" s="479">
        <v>220.4</v>
      </c>
      <c r="M18" s="479">
        <v>48.5</v>
      </c>
      <c r="N18" s="480">
        <v>0</v>
      </c>
      <c r="O18" s="435">
        <v>4869.3</v>
      </c>
      <c r="P18" s="128"/>
    </row>
    <row r="19" spans="3:16" ht="15" customHeight="1" x14ac:dyDescent="0.35">
      <c r="C19" s="392"/>
      <c r="D19" s="925"/>
      <c r="E19" s="449" t="s">
        <v>12</v>
      </c>
      <c r="F19" s="481">
        <v>178.4</v>
      </c>
      <c r="G19" s="481">
        <v>239</v>
      </c>
      <c r="H19" s="481">
        <v>55.6</v>
      </c>
      <c r="I19" s="481">
        <v>287.7</v>
      </c>
      <c r="J19" s="481">
        <v>41.2</v>
      </c>
      <c r="K19" s="481">
        <v>7.8</v>
      </c>
      <c r="L19" s="481">
        <v>0</v>
      </c>
      <c r="M19" s="481">
        <v>0</v>
      </c>
      <c r="N19" s="482">
        <v>0</v>
      </c>
      <c r="O19" s="441">
        <v>809.7</v>
      </c>
      <c r="P19" s="128"/>
    </row>
    <row r="20" spans="3:16" s="64" customFormat="1" ht="15.75" customHeight="1" thickBot="1" x14ac:dyDescent="0.4">
      <c r="C20" s="483"/>
      <c r="D20" s="926"/>
      <c r="E20" s="269" t="s">
        <v>9</v>
      </c>
      <c r="F20" s="484">
        <v>232.4</v>
      </c>
      <c r="G20" s="484">
        <v>317.7</v>
      </c>
      <c r="H20" s="484">
        <v>375.70000000000005</v>
      </c>
      <c r="I20" s="484">
        <v>2668.2999999999997</v>
      </c>
      <c r="J20" s="484">
        <v>1503.7</v>
      </c>
      <c r="K20" s="484">
        <v>312.10000000000002</v>
      </c>
      <c r="L20" s="484">
        <v>220.4</v>
      </c>
      <c r="M20" s="484">
        <v>48.5</v>
      </c>
      <c r="N20" s="485">
        <v>0</v>
      </c>
      <c r="O20" s="456">
        <v>5679</v>
      </c>
      <c r="P20" s="486"/>
    </row>
    <row r="21" spans="3:16" ht="14.25" customHeight="1" x14ac:dyDescent="0.35">
      <c r="C21" s="392"/>
      <c r="D21" s="924" t="s">
        <v>13</v>
      </c>
      <c r="E21" s="459" t="s">
        <v>13</v>
      </c>
      <c r="F21" s="487">
        <v>4.5999999999999996</v>
      </c>
      <c r="G21" s="487">
        <v>13.7</v>
      </c>
      <c r="H21" s="487">
        <v>0</v>
      </c>
      <c r="I21" s="487">
        <v>0.2</v>
      </c>
      <c r="J21" s="487">
        <v>4.5999999999999996</v>
      </c>
      <c r="K21" s="487">
        <v>2</v>
      </c>
      <c r="L21" s="487">
        <v>0</v>
      </c>
      <c r="M21" s="487">
        <v>0</v>
      </c>
      <c r="N21" s="488">
        <v>0</v>
      </c>
      <c r="O21" s="465">
        <v>25.1</v>
      </c>
      <c r="P21" s="128"/>
    </row>
    <row r="22" spans="3:16" s="64" customFormat="1" ht="15.75" customHeight="1" thickBot="1" x14ac:dyDescent="0.4">
      <c r="C22" s="483"/>
      <c r="D22" s="926"/>
      <c r="E22" s="269" t="s">
        <v>9</v>
      </c>
      <c r="F22" s="484">
        <v>4.5999999999999996</v>
      </c>
      <c r="G22" s="484">
        <v>13.7</v>
      </c>
      <c r="H22" s="484">
        <v>0</v>
      </c>
      <c r="I22" s="484">
        <v>0.2</v>
      </c>
      <c r="J22" s="484">
        <v>4.5999999999999996</v>
      </c>
      <c r="K22" s="484">
        <v>2</v>
      </c>
      <c r="L22" s="484">
        <v>0</v>
      </c>
      <c r="M22" s="484">
        <v>0</v>
      </c>
      <c r="N22" s="485">
        <v>0</v>
      </c>
      <c r="O22" s="448">
        <v>25.1</v>
      </c>
      <c r="P22" s="486"/>
    </row>
    <row r="23" spans="3:16" s="64" customFormat="1" ht="15.75" customHeight="1" x14ac:dyDescent="0.35">
      <c r="C23" s="483"/>
      <c r="D23" s="924" t="s">
        <v>151</v>
      </c>
      <c r="E23" s="459" t="s">
        <v>152</v>
      </c>
      <c r="F23" s="487">
        <v>0.9</v>
      </c>
      <c r="G23" s="487">
        <v>0</v>
      </c>
      <c r="H23" s="487">
        <v>0</v>
      </c>
      <c r="I23" s="487">
        <v>0</v>
      </c>
      <c r="J23" s="487">
        <v>0</v>
      </c>
      <c r="K23" s="487">
        <v>0</v>
      </c>
      <c r="L23" s="487">
        <v>0</v>
      </c>
      <c r="M23" s="487">
        <v>0</v>
      </c>
      <c r="N23" s="488">
        <v>0</v>
      </c>
      <c r="O23" s="465">
        <v>0.9</v>
      </c>
      <c r="P23" s="486"/>
    </row>
    <row r="24" spans="3:16" s="64" customFormat="1" ht="15.75" customHeight="1" thickBot="1" x14ac:dyDescent="0.4">
      <c r="C24" s="483"/>
      <c r="D24" s="926"/>
      <c r="E24" s="269" t="s">
        <v>9</v>
      </c>
      <c r="F24" s="484">
        <v>0.9</v>
      </c>
      <c r="G24" s="484">
        <v>0</v>
      </c>
      <c r="H24" s="484">
        <v>0</v>
      </c>
      <c r="I24" s="484">
        <v>0</v>
      </c>
      <c r="J24" s="484">
        <v>0</v>
      </c>
      <c r="K24" s="484">
        <v>0</v>
      </c>
      <c r="L24" s="484">
        <v>0</v>
      </c>
      <c r="M24" s="484">
        <v>0</v>
      </c>
      <c r="N24" s="485">
        <v>0</v>
      </c>
      <c r="O24" s="448">
        <v>0.9</v>
      </c>
      <c r="P24" s="486"/>
    </row>
    <row r="25" spans="3:16" ht="15" customHeight="1" x14ac:dyDescent="0.35">
      <c r="C25" s="392"/>
      <c r="D25" s="924" t="s">
        <v>73</v>
      </c>
      <c r="E25" s="392" t="s">
        <v>16</v>
      </c>
      <c r="F25" s="479">
        <v>0</v>
      </c>
      <c r="G25" s="479">
        <v>0</v>
      </c>
      <c r="H25" s="479">
        <v>59.5</v>
      </c>
      <c r="I25" s="479">
        <v>19.899999999999999</v>
      </c>
      <c r="J25" s="479">
        <v>0</v>
      </c>
      <c r="K25" s="479">
        <v>0</v>
      </c>
      <c r="L25" s="479">
        <v>0</v>
      </c>
      <c r="M25" s="479">
        <v>0</v>
      </c>
      <c r="N25" s="480">
        <v>0</v>
      </c>
      <c r="O25" s="435">
        <v>79.400000000000006</v>
      </c>
      <c r="P25" s="128"/>
    </row>
    <row r="26" spans="3:16" ht="15" customHeight="1" x14ac:dyDescent="0.35">
      <c r="C26" s="392"/>
      <c r="D26" s="925"/>
      <c r="E26" s="392" t="s">
        <v>17</v>
      </c>
      <c r="F26" s="479">
        <v>0</v>
      </c>
      <c r="G26" s="479">
        <v>19.100000000000001</v>
      </c>
      <c r="H26" s="479">
        <v>0</v>
      </c>
      <c r="I26" s="479">
        <v>0</v>
      </c>
      <c r="J26" s="479">
        <v>0</v>
      </c>
      <c r="K26" s="479">
        <v>0</v>
      </c>
      <c r="L26" s="479">
        <v>0</v>
      </c>
      <c r="M26" s="479">
        <v>0</v>
      </c>
      <c r="N26" s="480">
        <v>0</v>
      </c>
      <c r="O26" s="435">
        <v>19.100000000000001</v>
      </c>
      <c r="P26" s="128"/>
    </row>
    <row r="27" spans="3:16" ht="15" customHeight="1" x14ac:dyDescent="0.35">
      <c r="C27" s="392"/>
      <c r="D27" s="925"/>
      <c r="E27" s="392" t="s">
        <v>19</v>
      </c>
      <c r="F27" s="479">
        <v>0</v>
      </c>
      <c r="G27" s="479">
        <v>664.3</v>
      </c>
      <c r="H27" s="479">
        <v>0</v>
      </c>
      <c r="I27" s="479">
        <v>0</v>
      </c>
      <c r="J27" s="479">
        <v>0</v>
      </c>
      <c r="K27" s="479">
        <v>0</v>
      </c>
      <c r="L27" s="479">
        <v>0</v>
      </c>
      <c r="M27" s="479">
        <v>0</v>
      </c>
      <c r="N27" s="480">
        <v>0</v>
      </c>
      <c r="O27" s="435">
        <v>664.3</v>
      </c>
      <c r="P27" s="128"/>
    </row>
    <row r="28" spans="3:16" ht="15" customHeight="1" x14ac:dyDescent="0.35">
      <c r="C28" s="392"/>
      <c r="D28" s="925"/>
      <c r="E28" s="449" t="s">
        <v>21</v>
      </c>
      <c r="F28" s="481">
        <v>0</v>
      </c>
      <c r="G28" s="481">
        <v>25.2</v>
      </c>
      <c r="H28" s="481">
        <v>28.4</v>
      </c>
      <c r="I28" s="481">
        <v>27</v>
      </c>
      <c r="J28" s="481">
        <v>0</v>
      </c>
      <c r="K28" s="481">
        <v>0</v>
      </c>
      <c r="L28" s="481">
        <v>0</v>
      </c>
      <c r="M28" s="481">
        <v>0</v>
      </c>
      <c r="N28" s="482">
        <v>0</v>
      </c>
      <c r="O28" s="441">
        <v>80.599999999999994</v>
      </c>
      <c r="P28" s="128"/>
    </row>
    <row r="29" spans="3:16" s="64" customFormat="1" ht="15.75" customHeight="1" thickBot="1" x14ac:dyDescent="0.4">
      <c r="C29" s="483"/>
      <c r="D29" s="926"/>
      <c r="E29" s="450" t="s">
        <v>9</v>
      </c>
      <c r="F29" s="484">
        <v>0</v>
      </c>
      <c r="G29" s="484">
        <v>708.6</v>
      </c>
      <c r="H29" s="484">
        <v>87.9</v>
      </c>
      <c r="I29" s="484">
        <v>46.9</v>
      </c>
      <c r="J29" s="484">
        <v>0</v>
      </c>
      <c r="K29" s="484">
        <v>0</v>
      </c>
      <c r="L29" s="484">
        <v>0</v>
      </c>
      <c r="M29" s="484">
        <v>0</v>
      </c>
      <c r="N29" s="485">
        <v>0</v>
      </c>
      <c r="O29" s="456">
        <v>843.4</v>
      </c>
      <c r="P29" s="486"/>
    </row>
    <row r="30" spans="3:16" s="64" customFormat="1" ht="15.75" customHeight="1" x14ac:dyDescent="0.35">
      <c r="C30" s="483"/>
      <c r="D30" s="924" t="s">
        <v>76</v>
      </c>
      <c r="E30" s="392" t="s">
        <v>154</v>
      </c>
      <c r="F30" s="479">
        <v>0</v>
      </c>
      <c r="G30" s="479">
        <v>0.1</v>
      </c>
      <c r="H30" s="479">
        <v>0</v>
      </c>
      <c r="I30" s="479">
        <v>0</v>
      </c>
      <c r="J30" s="479">
        <v>0</v>
      </c>
      <c r="K30" s="479">
        <v>0</v>
      </c>
      <c r="L30" s="479">
        <v>0</v>
      </c>
      <c r="M30" s="479">
        <v>0</v>
      </c>
      <c r="N30" s="480">
        <v>0</v>
      </c>
      <c r="O30" s="435">
        <v>0.1</v>
      </c>
      <c r="P30" s="486"/>
    </row>
    <row r="31" spans="3:16" ht="15" customHeight="1" x14ac:dyDescent="0.35">
      <c r="C31" s="392"/>
      <c r="D31" s="925"/>
      <c r="E31" s="449" t="s">
        <v>20</v>
      </c>
      <c r="F31" s="481">
        <v>28.4</v>
      </c>
      <c r="G31" s="481">
        <v>130.30000000000001</v>
      </c>
      <c r="H31" s="481">
        <v>0</v>
      </c>
      <c r="I31" s="481">
        <v>0</v>
      </c>
      <c r="J31" s="481">
        <v>0</v>
      </c>
      <c r="K31" s="481">
        <v>0</v>
      </c>
      <c r="L31" s="481">
        <v>0</v>
      </c>
      <c r="M31" s="481">
        <v>0</v>
      </c>
      <c r="N31" s="482">
        <v>0</v>
      </c>
      <c r="O31" s="441">
        <v>158.69999999999999</v>
      </c>
      <c r="P31" s="128"/>
    </row>
    <row r="32" spans="3:16" s="64" customFormat="1" ht="15.75" customHeight="1" thickBot="1" x14ac:dyDescent="0.4">
      <c r="C32" s="483"/>
      <c r="D32" s="926"/>
      <c r="E32" s="442" t="s">
        <v>9</v>
      </c>
      <c r="F32" s="489">
        <v>28.4</v>
      </c>
      <c r="G32" s="489">
        <v>130.4</v>
      </c>
      <c r="H32" s="489">
        <v>0</v>
      </c>
      <c r="I32" s="489">
        <v>0</v>
      </c>
      <c r="J32" s="489">
        <v>0</v>
      </c>
      <c r="K32" s="489">
        <v>0</v>
      </c>
      <c r="L32" s="489">
        <v>0</v>
      </c>
      <c r="M32" s="489">
        <v>0</v>
      </c>
      <c r="N32" s="490">
        <v>0</v>
      </c>
      <c r="O32" s="456">
        <v>158.79999999999998</v>
      </c>
      <c r="P32" s="486"/>
    </row>
    <row r="33" spans="3:16" ht="16.5" customHeight="1" x14ac:dyDescent="0.35">
      <c r="C33" s="392"/>
      <c r="D33" s="924" t="s">
        <v>22</v>
      </c>
      <c r="E33" s="392" t="s">
        <v>26</v>
      </c>
      <c r="F33" s="479">
        <v>91.5</v>
      </c>
      <c r="G33" s="479">
        <v>568</v>
      </c>
      <c r="H33" s="479">
        <v>102.1</v>
      </c>
      <c r="I33" s="479">
        <v>121.2</v>
      </c>
      <c r="J33" s="479">
        <v>120</v>
      </c>
      <c r="K33" s="479">
        <v>2.8</v>
      </c>
      <c r="L33" s="479">
        <v>0</v>
      </c>
      <c r="M33" s="479">
        <v>0</v>
      </c>
      <c r="N33" s="480">
        <v>0</v>
      </c>
      <c r="O33" s="435">
        <v>1005.5</v>
      </c>
      <c r="P33" s="128"/>
    </row>
    <row r="34" spans="3:16" ht="15" customHeight="1" x14ac:dyDescent="0.35">
      <c r="C34" s="392"/>
      <c r="D34" s="925"/>
      <c r="E34" s="449" t="s">
        <v>21</v>
      </c>
      <c r="F34" s="481">
        <v>0</v>
      </c>
      <c r="G34" s="481">
        <v>9</v>
      </c>
      <c r="H34" s="481">
        <v>33.5</v>
      </c>
      <c r="I34" s="481">
        <v>15.4</v>
      </c>
      <c r="J34" s="481">
        <v>8.8000000000000007</v>
      </c>
      <c r="K34" s="481">
        <v>3.2</v>
      </c>
      <c r="L34" s="481">
        <v>0</v>
      </c>
      <c r="M34" s="481">
        <v>0</v>
      </c>
      <c r="N34" s="482">
        <v>0</v>
      </c>
      <c r="O34" s="441">
        <v>69.900000000000006</v>
      </c>
      <c r="P34" s="128"/>
    </row>
    <row r="35" spans="3:16" s="64" customFormat="1" ht="15.75" customHeight="1" thickBot="1" x14ac:dyDescent="0.4">
      <c r="C35" s="483"/>
      <c r="D35" s="926"/>
      <c r="E35" s="450" t="s">
        <v>9</v>
      </c>
      <c r="F35" s="484">
        <v>91.5</v>
      </c>
      <c r="G35" s="484">
        <v>577</v>
      </c>
      <c r="H35" s="484">
        <v>135.6</v>
      </c>
      <c r="I35" s="484">
        <v>136.6</v>
      </c>
      <c r="J35" s="484">
        <v>128.80000000000001</v>
      </c>
      <c r="K35" s="484">
        <v>6</v>
      </c>
      <c r="L35" s="484">
        <v>0</v>
      </c>
      <c r="M35" s="484">
        <v>0</v>
      </c>
      <c r="N35" s="485">
        <v>0</v>
      </c>
      <c r="O35" s="448">
        <v>1075.4000000000001</v>
      </c>
      <c r="P35" s="486"/>
    </row>
    <row r="36" spans="3:16" ht="15" customHeight="1" x14ac:dyDescent="0.35">
      <c r="C36" s="392"/>
      <c r="D36" s="924" t="s">
        <v>27</v>
      </c>
      <c r="E36" s="429" t="s">
        <v>28</v>
      </c>
      <c r="F36" s="479">
        <v>11857.5</v>
      </c>
      <c r="G36" s="479">
        <v>38183.699999999997</v>
      </c>
      <c r="H36" s="479">
        <v>2369.1999999999998</v>
      </c>
      <c r="I36" s="479">
        <v>168</v>
      </c>
      <c r="J36" s="479">
        <v>0</v>
      </c>
      <c r="K36" s="479">
        <v>0</v>
      </c>
      <c r="L36" s="479">
        <v>0</v>
      </c>
      <c r="M36" s="479">
        <v>0</v>
      </c>
      <c r="N36" s="480">
        <v>0</v>
      </c>
      <c r="O36" s="435">
        <v>52578.5</v>
      </c>
      <c r="P36" s="128"/>
    </row>
    <row r="37" spans="3:16" ht="15" customHeight="1" x14ac:dyDescent="0.35">
      <c r="C37" s="392"/>
      <c r="D37" s="925"/>
      <c r="E37" s="449" t="s">
        <v>79</v>
      </c>
      <c r="F37" s="481">
        <v>1192.5</v>
      </c>
      <c r="G37" s="481">
        <v>23660.5</v>
      </c>
      <c r="H37" s="481">
        <v>16522.900000000001</v>
      </c>
      <c r="I37" s="481">
        <v>122.3</v>
      </c>
      <c r="J37" s="481">
        <v>0</v>
      </c>
      <c r="K37" s="481">
        <v>0</v>
      </c>
      <c r="L37" s="481">
        <v>0</v>
      </c>
      <c r="M37" s="481">
        <v>0</v>
      </c>
      <c r="N37" s="482">
        <v>0</v>
      </c>
      <c r="O37" s="441">
        <v>41498.199999999997</v>
      </c>
      <c r="P37" s="128"/>
    </row>
    <row r="38" spans="3:16" s="64" customFormat="1" ht="15.75" customHeight="1" thickBot="1" x14ac:dyDescent="0.4">
      <c r="C38" s="483"/>
      <c r="D38" s="926"/>
      <c r="E38" s="450" t="s">
        <v>9</v>
      </c>
      <c r="F38" s="484">
        <v>13050</v>
      </c>
      <c r="G38" s="484">
        <v>61844.2</v>
      </c>
      <c r="H38" s="484">
        <v>18892.100000000002</v>
      </c>
      <c r="I38" s="484">
        <v>290.3</v>
      </c>
      <c r="J38" s="484">
        <v>0</v>
      </c>
      <c r="K38" s="484">
        <v>0</v>
      </c>
      <c r="L38" s="484">
        <v>0</v>
      </c>
      <c r="M38" s="484">
        <v>0</v>
      </c>
      <c r="N38" s="485">
        <v>0</v>
      </c>
      <c r="O38" s="456">
        <v>94076.7</v>
      </c>
      <c r="P38" s="486"/>
    </row>
    <row r="39" spans="3:16" ht="15.75" customHeight="1" x14ac:dyDescent="0.35">
      <c r="C39" s="392"/>
      <c r="D39" s="924" t="s">
        <v>32</v>
      </c>
      <c r="E39" s="459" t="s">
        <v>32</v>
      </c>
      <c r="F39" s="487">
        <v>98.2</v>
      </c>
      <c r="G39" s="487">
        <v>559.79999999999995</v>
      </c>
      <c r="H39" s="487">
        <v>0</v>
      </c>
      <c r="I39" s="487">
        <v>0</v>
      </c>
      <c r="J39" s="487">
        <v>0</v>
      </c>
      <c r="K39" s="487">
        <v>0</v>
      </c>
      <c r="L39" s="487">
        <v>0</v>
      </c>
      <c r="M39" s="487">
        <v>0</v>
      </c>
      <c r="N39" s="488">
        <v>0</v>
      </c>
      <c r="O39" s="465">
        <v>657.9</v>
      </c>
      <c r="P39" s="128"/>
    </row>
    <row r="40" spans="3:16" s="64" customFormat="1" ht="15.75" customHeight="1" thickBot="1" x14ac:dyDescent="0.4">
      <c r="C40" s="483"/>
      <c r="D40" s="926"/>
      <c r="E40" s="450" t="s">
        <v>9</v>
      </c>
      <c r="F40" s="489">
        <v>98.2</v>
      </c>
      <c r="G40" s="489">
        <v>559.79999999999995</v>
      </c>
      <c r="H40" s="489">
        <v>0</v>
      </c>
      <c r="I40" s="489">
        <v>0</v>
      </c>
      <c r="J40" s="489">
        <v>0</v>
      </c>
      <c r="K40" s="489">
        <v>0</v>
      </c>
      <c r="L40" s="489">
        <v>0</v>
      </c>
      <c r="M40" s="489">
        <v>0</v>
      </c>
      <c r="N40" s="490">
        <v>0</v>
      </c>
      <c r="O40" s="456">
        <v>657.9</v>
      </c>
      <c r="P40" s="486"/>
    </row>
    <row r="41" spans="3:16" ht="17.25" customHeight="1" x14ac:dyDescent="0.35">
      <c r="C41" s="392"/>
      <c r="D41" s="924" t="s">
        <v>33</v>
      </c>
      <c r="E41" s="459" t="s">
        <v>33</v>
      </c>
      <c r="F41" s="487">
        <v>49.1</v>
      </c>
      <c r="G41" s="487">
        <v>493.1</v>
      </c>
      <c r="H41" s="487">
        <v>200.4</v>
      </c>
      <c r="I41" s="487">
        <v>258</v>
      </c>
      <c r="J41" s="487">
        <v>458.4</v>
      </c>
      <c r="K41" s="487">
        <v>141.30000000000001</v>
      </c>
      <c r="L41" s="487">
        <v>61.1</v>
      </c>
      <c r="M41" s="487">
        <v>39.4</v>
      </c>
      <c r="N41" s="488">
        <v>0</v>
      </c>
      <c r="O41" s="465">
        <v>1700.8000000000002</v>
      </c>
      <c r="P41" s="128"/>
    </row>
    <row r="42" spans="3:16" s="64" customFormat="1" ht="15.75" customHeight="1" thickBot="1" x14ac:dyDescent="0.4">
      <c r="C42" s="483"/>
      <c r="D42" s="926"/>
      <c r="E42" s="450" t="s">
        <v>9</v>
      </c>
      <c r="F42" s="489">
        <v>49.1</v>
      </c>
      <c r="G42" s="489">
        <v>493.1</v>
      </c>
      <c r="H42" s="489">
        <v>200.4</v>
      </c>
      <c r="I42" s="489">
        <v>258</v>
      </c>
      <c r="J42" s="489">
        <v>458.4</v>
      </c>
      <c r="K42" s="489">
        <v>141.30000000000001</v>
      </c>
      <c r="L42" s="489">
        <v>61.1</v>
      </c>
      <c r="M42" s="489">
        <v>39.4</v>
      </c>
      <c r="N42" s="490">
        <v>0</v>
      </c>
      <c r="O42" s="456">
        <v>1700.8000000000002</v>
      </c>
      <c r="P42" s="486"/>
    </row>
    <row r="43" spans="3:16" ht="17.25" customHeight="1" x14ac:dyDescent="0.35">
      <c r="C43" s="392"/>
      <c r="D43" s="924" t="s">
        <v>34</v>
      </c>
      <c r="E43" s="459" t="s">
        <v>34</v>
      </c>
      <c r="F43" s="487">
        <v>0</v>
      </c>
      <c r="G43" s="487">
        <v>0</v>
      </c>
      <c r="H43" s="487">
        <v>0</v>
      </c>
      <c r="I43" s="487">
        <v>0</v>
      </c>
      <c r="J43" s="487">
        <v>0</v>
      </c>
      <c r="K43" s="487">
        <v>0</v>
      </c>
      <c r="L43" s="487">
        <v>0</v>
      </c>
      <c r="M43" s="487">
        <v>0</v>
      </c>
      <c r="N43" s="488">
        <v>0</v>
      </c>
      <c r="O43" s="465">
        <v>0</v>
      </c>
      <c r="P43" s="128"/>
    </row>
    <row r="44" spans="3:16" s="64" customFormat="1" ht="15.75" customHeight="1" thickBot="1" x14ac:dyDescent="0.4">
      <c r="C44" s="483"/>
      <c r="D44" s="926"/>
      <c r="E44" s="450" t="s">
        <v>9</v>
      </c>
      <c r="F44" s="489">
        <v>0</v>
      </c>
      <c r="G44" s="489">
        <v>0</v>
      </c>
      <c r="H44" s="489">
        <v>0</v>
      </c>
      <c r="I44" s="489">
        <v>0</v>
      </c>
      <c r="J44" s="489">
        <v>0</v>
      </c>
      <c r="K44" s="489">
        <v>0</v>
      </c>
      <c r="L44" s="489">
        <v>0</v>
      </c>
      <c r="M44" s="489">
        <v>0</v>
      </c>
      <c r="N44" s="490">
        <v>0</v>
      </c>
      <c r="O44" s="456">
        <v>0</v>
      </c>
      <c r="P44" s="486"/>
    </row>
    <row r="45" spans="3:16" ht="17.25" customHeight="1" x14ac:dyDescent="0.35">
      <c r="C45" s="392"/>
      <c r="D45" s="924" t="s">
        <v>87</v>
      </c>
      <c r="E45" s="429" t="s">
        <v>14</v>
      </c>
      <c r="F45" s="479">
        <v>92.5</v>
      </c>
      <c r="G45" s="479">
        <v>49.1</v>
      </c>
      <c r="H45" s="479">
        <v>46.5</v>
      </c>
      <c r="I45" s="479">
        <v>67.3</v>
      </c>
      <c r="J45" s="479">
        <v>153.69999999999999</v>
      </c>
      <c r="K45" s="479">
        <v>65.8</v>
      </c>
      <c r="L45" s="479">
        <v>19.5</v>
      </c>
      <c r="M45" s="479">
        <v>15</v>
      </c>
      <c r="N45" s="480">
        <v>0</v>
      </c>
      <c r="O45" s="435">
        <v>509.4</v>
      </c>
      <c r="P45" s="128"/>
    </row>
    <row r="46" spans="3:16" ht="14.25" customHeight="1" x14ac:dyDescent="0.35">
      <c r="C46" s="392"/>
      <c r="D46" s="925"/>
      <c r="E46" s="449" t="s">
        <v>21</v>
      </c>
      <c r="F46" s="481">
        <v>0</v>
      </c>
      <c r="G46" s="481">
        <v>630.20000000000005</v>
      </c>
      <c r="H46" s="481">
        <v>224.9</v>
      </c>
      <c r="I46" s="481">
        <v>0</v>
      </c>
      <c r="J46" s="481">
        <v>0</v>
      </c>
      <c r="K46" s="481">
        <v>0</v>
      </c>
      <c r="L46" s="481">
        <v>24.4</v>
      </c>
      <c r="M46" s="481">
        <v>0</v>
      </c>
      <c r="N46" s="482">
        <v>0</v>
      </c>
      <c r="O46" s="441">
        <v>879.4</v>
      </c>
      <c r="P46" s="128"/>
    </row>
    <row r="47" spans="3:16" s="64" customFormat="1" ht="14.5" thickBot="1" x14ac:dyDescent="0.4">
      <c r="C47" s="483"/>
      <c r="D47" s="925"/>
      <c r="E47" s="450" t="s">
        <v>9</v>
      </c>
      <c r="F47" s="484">
        <v>92.5</v>
      </c>
      <c r="G47" s="484">
        <v>679.30000000000007</v>
      </c>
      <c r="H47" s="484">
        <v>271.39999999999998</v>
      </c>
      <c r="I47" s="484">
        <v>67.3</v>
      </c>
      <c r="J47" s="484">
        <v>153.69999999999999</v>
      </c>
      <c r="K47" s="484">
        <v>65.8</v>
      </c>
      <c r="L47" s="484">
        <v>43.9</v>
      </c>
      <c r="M47" s="484">
        <v>15</v>
      </c>
      <c r="N47" s="485">
        <v>0</v>
      </c>
      <c r="O47" s="448">
        <v>1388.8</v>
      </c>
      <c r="P47" s="486"/>
    </row>
    <row r="48" spans="3:16" s="64" customFormat="1" ht="17.25" customHeight="1" thickBot="1" x14ac:dyDescent="0.4">
      <c r="C48" s="483"/>
      <c r="D48" s="407" t="s">
        <v>231</v>
      </c>
      <c r="E48" s="406"/>
      <c r="F48" s="491">
        <v>108259.4</v>
      </c>
      <c r="G48" s="491">
        <v>330864.7</v>
      </c>
      <c r="H48" s="491">
        <v>55427</v>
      </c>
      <c r="I48" s="491">
        <v>4075.7</v>
      </c>
      <c r="J48" s="491">
        <v>2786.7</v>
      </c>
      <c r="K48" s="491">
        <v>1051.2</v>
      </c>
      <c r="L48" s="491">
        <v>533</v>
      </c>
      <c r="M48" s="491">
        <v>102.9</v>
      </c>
      <c r="N48" s="492">
        <v>0</v>
      </c>
      <c r="O48" s="493">
        <v>503100.40000000008</v>
      </c>
      <c r="P48" s="486"/>
    </row>
    <row r="49" spans="4:15" ht="5.25" customHeight="1" x14ac:dyDescent="0.35"/>
    <row r="50" spans="4:15" ht="15.5" x14ac:dyDescent="0.35">
      <c r="D50" s="907" t="s">
        <v>232</v>
      </c>
      <c r="E50" s="907"/>
      <c r="F50" s="907"/>
      <c r="G50" s="907"/>
      <c r="H50" s="907"/>
      <c r="I50" s="907"/>
      <c r="J50" s="907"/>
      <c r="K50" s="907"/>
      <c r="L50" s="907"/>
      <c r="M50" s="907"/>
      <c r="N50" s="907"/>
      <c r="O50" s="907"/>
    </row>
    <row r="51" spans="4:15" ht="15.5" x14ac:dyDescent="0.35">
      <c r="D51" s="907" t="s">
        <v>233</v>
      </c>
      <c r="E51" s="907"/>
      <c r="F51" s="907"/>
      <c r="G51" s="907"/>
      <c r="H51" s="907"/>
      <c r="I51" s="907"/>
      <c r="J51" s="907"/>
      <c r="K51" s="907"/>
      <c r="L51" s="907"/>
      <c r="M51" s="907"/>
      <c r="N51" s="907"/>
      <c r="O51" s="907"/>
    </row>
    <row r="52" spans="4:15" ht="15.5" x14ac:dyDescent="0.35">
      <c r="D52" s="907" t="s">
        <v>234</v>
      </c>
      <c r="E52" s="907"/>
      <c r="F52" s="907"/>
      <c r="G52" s="907"/>
      <c r="H52" s="907"/>
      <c r="I52" s="907"/>
      <c r="J52" s="907"/>
      <c r="K52" s="907"/>
      <c r="L52" s="907"/>
      <c r="M52" s="907"/>
      <c r="N52" s="907"/>
      <c r="O52" s="907"/>
    </row>
    <row r="53" spans="4:15" ht="15.5" x14ac:dyDescent="0.35">
      <c r="D53" s="791" t="s">
        <v>119</v>
      </c>
      <c r="E53" s="791"/>
      <c r="F53" s="791"/>
      <c r="G53" s="791"/>
      <c r="H53" s="791"/>
      <c r="I53" s="791"/>
      <c r="J53" s="791"/>
      <c r="K53" s="791"/>
      <c r="L53" s="791"/>
      <c r="M53" s="791"/>
      <c r="N53" s="791"/>
      <c r="O53" s="791"/>
    </row>
  </sheetData>
  <customSheetViews>
    <customSheetView guid="{6654F670-CAA9-4C4A-B3D9-226402FC46BC}" scale="85" showPageBreaks="1" printArea="1" view="pageLayout" topLeftCell="B4">
      <selection activeCell="F9" sqref="F9:O48"/>
      <pageMargins left="0.70866141732283472" right="0.70866141732283472" top="0.74803149606299213" bottom="0.6692913385826772" header="0.31496062992125984" footer="0.35433070866141736"/>
      <pageSetup paperSize="9" scale="64" orientation="landscape"/>
      <headerFooter>
        <oddHeader>&amp;L&amp;G&amp;RCAMPAÑA: 2025/2026. MES: JULIO
Fecha de emisión de datos: 25/08/2026</oddHeader>
      </headerFooter>
    </customSheetView>
    <customSheetView guid="{89192556-592D-44A9-BA8C-EA83608B5C0F}" scale="85" showPageBreaks="1" printArea="1" view="pageLayout" topLeftCell="B4">
      <selection activeCell="F9" sqref="F9:O48"/>
      <pageMargins left="0.70866141732283472" right="0.70866141732283472" top="0.74803149606299213" bottom="0.6692913385826772" header="0.31496062992125984" footer="0.35433070866141736"/>
      <pageSetup paperSize="9" scale="64" orientation="landscape"/>
      <headerFooter>
        <oddHeader>&amp;L&amp;G&amp;RCAMPAÑA: 2025/2026. MES: JULIO
Fecha de emisión de datos: 25/08/2026</oddHeader>
      </headerFooter>
    </customSheetView>
  </customSheetViews>
  <mergeCells count="18">
    <mergeCell ref="D23:D24"/>
    <mergeCell ref="D2:O4"/>
    <mergeCell ref="D6:O6"/>
    <mergeCell ref="D9:D17"/>
    <mergeCell ref="D18:D20"/>
    <mergeCell ref="D21:D22"/>
    <mergeCell ref="D53:O53"/>
    <mergeCell ref="D25:D29"/>
    <mergeCell ref="D30:D32"/>
    <mergeCell ref="D33:D35"/>
    <mergeCell ref="D36:D38"/>
    <mergeCell ref="D39:D40"/>
    <mergeCell ref="D41:D42"/>
    <mergeCell ref="D43:D44"/>
    <mergeCell ref="D45:D47"/>
    <mergeCell ref="D50:O50"/>
    <mergeCell ref="D51:O51"/>
    <mergeCell ref="D52:O52"/>
  </mergeCells>
  <pageMargins left="0.70866141732283472" right="0.70866141732283472" top="0.74803149606299213" bottom="0.6692913385826772" header="0.31496062992125984" footer="0.35433070866141736"/>
  <pageSetup paperSize="9" scale="64" orientation="landscape" r:id="rId1"/>
  <headerFooter>
    <oddHeader>&amp;L&amp;G&amp;RCAMPAÑA: 2025/2026. MES: JULIO
Fecha de emisión de datos: 25/08/2026</oddHeader>
  </headerFooter>
  <legacyDrawingHF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2:T129"/>
  <sheetViews>
    <sheetView view="pageLayout" zoomScale="90" zoomScaleNormal="100" zoomScaleSheetLayoutView="100" zoomScalePageLayoutView="90" workbookViewId="0">
      <selection activeCell="B2" sqref="B2:M4"/>
    </sheetView>
  </sheetViews>
  <sheetFormatPr baseColWidth="10" defaultColWidth="11.453125" defaultRowHeight="14.5" x14ac:dyDescent="0.35"/>
  <cols>
    <col min="1" max="1" width="5.81640625" customWidth="1"/>
    <col min="2" max="2" width="29" customWidth="1"/>
    <col min="3" max="3" width="15.54296875" customWidth="1"/>
    <col min="4" max="4" width="6.54296875" bestFit="1" customWidth="1"/>
    <col min="5" max="6" width="6.453125" customWidth="1"/>
    <col min="7" max="7" width="6.26953125" customWidth="1"/>
    <col min="8" max="8" width="6.453125" customWidth="1"/>
    <col min="9" max="9" width="8.7265625" customWidth="1"/>
    <col min="10" max="10" width="9" bestFit="1" customWidth="1"/>
    <col min="11" max="11" width="6.54296875" customWidth="1"/>
    <col min="12" max="12" width="8.81640625" customWidth="1"/>
    <col min="13" max="13" width="6.54296875" customWidth="1"/>
    <col min="14" max="14" width="5.81640625" customWidth="1"/>
  </cols>
  <sheetData>
    <row r="2" spans="1:20" ht="15" customHeight="1" x14ac:dyDescent="0.35">
      <c r="B2" s="761" t="s">
        <v>235</v>
      </c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</row>
    <row r="3" spans="1:20" ht="18" customHeight="1" x14ac:dyDescent="0.35"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</row>
    <row r="4" spans="1:20" ht="21" customHeight="1" x14ac:dyDescent="0.35">
      <c r="B4" s="761"/>
      <c r="C4" s="761"/>
      <c r="D4" s="761"/>
      <c r="E4" s="761"/>
      <c r="F4" s="761"/>
      <c r="G4" s="761"/>
      <c r="H4" s="761"/>
      <c r="I4" s="761"/>
      <c r="J4" s="761"/>
      <c r="K4" s="761"/>
      <c r="L4" s="761"/>
      <c r="M4" s="761"/>
    </row>
    <row r="5" spans="1:20" ht="15" thickBot="1" x14ac:dyDescent="0.4">
      <c r="B5" s="494"/>
      <c r="C5" s="494"/>
      <c r="D5" s="494"/>
      <c r="E5" s="494"/>
      <c r="F5" s="494"/>
      <c r="G5" s="494"/>
      <c r="H5" s="494"/>
      <c r="I5" s="494"/>
      <c r="J5" s="494"/>
      <c r="K5" s="494"/>
      <c r="L5" s="494"/>
      <c r="M5" s="494"/>
    </row>
    <row r="6" spans="1:20" ht="16" thickBot="1" x14ac:dyDescent="0.4">
      <c r="A6" s="6"/>
      <c r="B6" s="495"/>
      <c r="C6" s="496"/>
      <c r="D6" s="910" t="s">
        <v>229</v>
      </c>
      <c r="E6" s="910"/>
      <c r="F6" s="910"/>
      <c r="G6" s="910"/>
      <c r="H6" s="910"/>
      <c r="I6" s="497"/>
      <c r="J6" s="497"/>
      <c r="K6" s="497"/>
      <c r="L6" s="497"/>
      <c r="M6" s="498"/>
      <c r="O6" s="7"/>
      <c r="P6" s="7"/>
      <c r="Q6" s="7"/>
      <c r="R6" s="7"/>
      <c r="S6" s="7"/>
      <c r="T6" s="7"/>
    </row>
    <row r="7" spans="1:20" ht="15" thickBot="1" x14ac:dyDescent="0.4">
      <c r="B7" s="7"/>
      <c r="C7" s="7"/>
      <c r="D7" s="313"/>
      <c r="E7" s="313"/>
      <c r="F7" s="313"/>
      <c r="G7" s="313"/>
      <c r="H7" s="313"/>
      <c r="I7" s="313"/>
      <c r="J7" s="313"/>
      <c r="K7" s="313"/>
      <c r="L7" s="313"/>
      <c r="M7" s="494"/>
      <c r="O7" s="7"/>
      <c r="P7" s="7"/>
      <c r="Q7" s="7"/>
      <c r="R7" s="7"/>
      <c r="S7" s="7"/>
      <c r="T7" s="7"/>
    </row>
    <row r="8" spans="1:20" s="1" customFormat="1" ht="19.5" customHeight="1" thickBot="1" x14ac:dyDescent="0.25">
      <c r="B8" s="64"/>
      <c r="C8" s="64"/>
      <c r="D8" s="934" t="s">
        <v>201</v>
      </c>
      <c r="E8" s="935"/>
      <c r="F8" s="935"/>
      <c r="G8" s="935"/>
      <c r="H8" s="936"/>
      <c r="I8" s="913" t="s">
        <v>236</v>
      </c>
      <c r="J8" s="921"/>
      <c r="K8" s="921"/>
      <c r="L8" s="921"/>
      <c r="M8" s="914"/>
    </row>
    <row r="9" spans="1:20" s="1" customFormat="1" ht="18.75" customHeight="1" thickBot="1" x14ac:dyDescent="0.25">
      <c r="B9" s="499" t="s">
        <v>54</v>
      </c>
      <c r="C9" s="407" t="s">
        <v>4</v>
      </c>
      <c r="D9" s="500" t="s">
        <v>48</v>
      </c>
      <c r="E9" s="937" t="s">
        <v>237</v>
      </c>
      <c r="F9" s="938"/>
      <c r="G9" s="937" t="s">
        <v>98</v>
      </c>
      <c r="H9" s="938"/>
      <c r="I9" s="501" t="s">
        <v>48</v>
      </c>
      <c r="J9" s="937" t="s">
        <v>237</v>
      </c>
      <c r="K9" s="938"/>
      <c r="L9" s="937" t="s">
        <v>98</v>
      </c>
      <c r="M9" s="938"/>
    </row>
    <row r="10" spans="1:20" s="1" customFormat="1" ht="18.75" customHeight="1" thickBot="1" x14ac:dyDescent="0.25">
      <c r="B10" s="502"/>
      <c r="C10" s="395"/>
      <c r="D10" s="501" t="s">
        <v>129</v>
      </c>
      <c r="E10" s="501" t="s">
        <v>129</v>
      </c>
      <c r="F10" s="501" t="s">
        <v>97</v>
      </c>
      <c r="G10" s="501" t="s">
        <v>129</v>
      </c>
      <c r="H10" s="501" t="s">
        <v>97</v>
      </c>
      <c r="I10" s="501" t="s">
        <v>136</v>
      </c>
      <c r="J10" s="501" t="s">
        <v>136</v>
      </c>
      <c r="K10" s="501" t="s">
        <v>97</v>
      </c>
      <c r="L10" s="501" t="s">
        <v>136</v>
      </c>
      <c r="M10" s="501" t="s">
        <v>97</v>
      </c>
    </row>
    <row r="11" spans="1:20" s="1" customFormat="1" ht="13.5" customHeight="1" x14ac:dyDescent="0.2">
      <c r="B11" s="924" t="s">
        <v>74</v>
      </c>
      <c r="C11" s="420" t="s">
        <v>219</v>
      </c>
      <c r="D11" s="503">
        <v>2</v>
      </c>
      <c r="E11" s="504">
        <v>0</v>
      </c>
      <c r="F11" s="505">
        <v>0</v>
      </c>
      <c r="G11" s="504">
        <v>2</v>
      </c>
      <c r="H11" s="235">
        <v>1</v>
      </c>
      <c r="I11" s="72">
        <v>1263.4000000000001</v>
      </c>
      <c r="J11" s="71">
        <v>0</v>
      </c>
      <c r="K11" s="505">
        <v>0</v>
      </c>
      <c r="L11" s="72">
        <v>1263.4000000000001</v>
      </c>
      <c r="M11" s="506">
        <v>1</v>
      </c>
      <c r="O11" s="507"/>
    </row>
    <row r="12" spans="1:20" s="1" customFormat="1" ht="15" customHeight="1" x14ac:dyDescent="0.2">
      <c r="B12" s="925"/>
      <c r="C12" s="429" t="s">
        <v>230</v>
      </c>
      <c r="D12" s="198">
        <v>1</v>
      </c>
      <c r="E12" s="199">
        <v>0</v>
      </c>
      <c r="F12" s="200">
        <v>0</v>
      </c>
      <c r="G12" s="199">
        <v>1</v>
      </c>
      <c r="H12" s="186">
        <v>1</v>
      </c>
      <c r="I12" s="74">
        <v>59.3</v>
      </c>
      <c r="J12" s="73">
        <v>0</v>
      </c>
      <c r="K12" s="200">
        <v>0</v>
      </c>
      <c r="L12" s="74">
        <v>59.3</v>
      </c>
      <c r="M12" s="196">
        <v>1</v>
      </c>
      <c r="O12" s="507"/>
    </row>
    <row r="13" spans="1:20" s="1" customFormat="1" ht="15" customHeight="1" x14ac:dyDescent="0.2">
      <c r="B13" s="925"/>
      <c r="C13" s="429" t="s">
        <v>82</v>
      </c>
      <c r="D13" s="198">
        <v>36</v>
      </c>
      <c r="E13" s="199">
        <v>14</v>
      </c>
      <c r="F13" s="200">
        <v>0.3888888888888889</v>
      </c>
      <c r="G13" s="199">
        <v>22</v>
      </c>
      <c r="H13" s="186">
        <v>0.61111111111111116</v>
      </c>
      <c r="I13" s="74">
        <v>55854.1</v>
      </c>
      <c r="J13" s="73">
        <v>33489.199999999997</v>
      </c>
      <c r="K13" s="200">
        <v>0.59958355787668227</v>
      </c>
      <c r="L13" s="74">
        <v>22364.9</v>
      </c>
      <c r="M13" s="196">
        <v>0.40041644212331773</v>
      </c>
      <c r="O13" s="507"/>
    </row>
    <row r="14" spans="1:20" s="1" customFormat="1" ht="15" customHeight="1" x14ac:dyDescent="0.2">
      <c r="B14" s="925"/>
      <c r="C14" s="429" t="s">
        <v>6</v>
      </c>
      <c r="D14" s="198">
        <v>1</v>
      </c>
      <c r="E14" s="199">
        <v>0</v>
      </c>
      <c r="F14" s="200">
        <v>0</v>
      </c>
      <c r="G14" s="199">
        <v>1</v>
      </c>
      <c r="H14" s="186">
        <v>1</v>
      </c>
      <c r="I14" s="74">
        <v>98.9</v>
      </c>
      <c r="J14" s="73">
        <v>0</v>
      </c>
      <c r="K14" s="200">
        <v>0</v>
      </c>
      <c r="L14" s="74">
        <v>98.9</v>
      </c>
      <c r="M14" s="196">
        <v>1</v>
      </c>
      <c r="O14" s="507"/>
    </row>
    <row r="15" spans="1:20" s="1" customFormat="1" ht="15" customHeight="1" x14ac:dyDescent="0.2">
      <c r="B15" s="925"/>
      <c r="C15" s="429" t="s">
        <v>7</v>
      </c>
      <c r="D15" s="198">
        <v>3</v>
      </c>
      <c r="E15" s="199">
        <v>1</v>
      </c>
      <c r="F15" s="200">
        <v>0.33333333333333331</v>
      </c>
      <c r="G15" s="199">
        <v>2</v>
      </c>
      <c r="H15" s="186">
        <v>0.66666666666666663</v>
      </c>
      <c r="I15" s="74">
        <v>5793.2</v>
      </c>
      <c r="J15" s="73">
        <v>2.2000000000000002</v>
      </c>
      <c r="K15" s="200">
        <v>3.7975557550231308E-4</v>
      </c>
      <c r="L15" s="74">
        <v>5791</v>
      </c>
      <c r="M15" s="196">
        <v>0.99962024442449771</v>
      </c>
      <c r="O15" s="507"/>
    </row>
    <row r="16" spans="1:20" s="1" customFormat="1" ht="15" customHeight="1" x14ac:dyDescent="0.2">
      <c r="B16" s="925"/>
      <c r="C16" s="429" t="s">
        <v>83</v>
      </c>
      <c r="D16" s="198">
        <v>7</v>
      </c>
      <c r="E16" s="199">
        <v>1</v>
      </c>
      <c r="F16" s="200">
        <v>0.14285714285714285</v>
      </c>
      <c r="G16" s="199">
        <v>6</v>
      </c>
      <c r="H16" s="186">
        <v>0.8571428571428571</v>
      </c>
      <c r="I16" s="74">
        <v>447.1</v>
      </c>
      <c r="J16" s="73">
        <v>3.5</v>
      </c>
      <c r="K16" s="200">
        <v>7.8282263475732486E-3</v>
      </c>
      <c r="L16" s="74">
        <v>443.6</v>
      </c>
      <c r="M16" s="196">
        <v>0.9921717736524267</v>
      </c>
      <c r="O16" s="507"/>
    </row>
    <row r="17" spans="1:15" s="1" customFormat="1" ht="15" customHeight="1" x14ac:dyDescent="0.2">
      <c r="B17" s="925"/>
      <c r="C17" s="429" t="s">
        <v>84</v>
      </c>
      <c r="D17" s="198">
        <v>29</v>
      </c>
      <c r="E17" s="199">
        <v>12</v>
      </c>
      <c r="F17" s="200">
        <v>0.41379310344827586</v>
      </c>
      <c r="G17" s="199">
        <v>17</v>
      </c>
      <c r="H17" s="186">
        <v>0.58620689655172409</v>
      </c>
      <c r="I17" s="74">
        <v>47285.3</v>
      </c>
      <c r="J17" s="73">
        <v>25096.5</v>
      </c>
      <c r="K17" s="200">
        <v>0.53074634188637904</v>
      </c>
      <c r="L17" s="74">
        <v>22188.799999999999</v>
      </c>
      <c r="M17" s="196">
        <v>0.46925365811362091</v>
      </c>
      <c r="O17" s="507"/>
    </row>
    <row r="18" spans="1:15" s="1" customFormat="1" ht="15" customHeight="1" x14ac:dyDescent="0.2">
      <c r="B18" s="925"/>
      <c r="C18" s="449" t="s">
        <v>8</v>
      </c>
      <c r="D18" s="508">
        <v>134</v>
      </c>
      <c r="E18" s="236">
        <v>37</v>
      </c>
      <c r="F18" s="509">
        <v>0.27611940298507465</v>
      </c>
      <c r="G18" s="236">
        <v>97</v>
      </c>
      <c r="H18" s="204">
        <v>0.72388059701492535</v>
      </c>
      <c r="I18" s="77">
        <v>286692.30000000005</v>
      </c>
      <c r="J18" s="76">
        <v>135656.6</v>
      </c>
      <c r="K18" s="509">
        <v>0.47317838672332668</v>
      </c>
      <c r="L18" s="77">
        <v>151035.70000000001</v>
      </c>
      <c r="M18" s="197">
        <v>0.52682161327667321</v>
      </c>
      <c r="O18" s="507"/>
    </row>
    <row r="19" spans="1:15" s="331" customFormat="1" ht="15.75" customHeight="1" thickBot="1" x14ac:dyDescent="0.25">
      <c r="B19" s="926"/>
      <c r="C19" s="450" t="s">
        <v>238</v>
      </c>
      <c r="D19" s="78">
        <v>213</v>
      </c>
      <c r="E19" s="84">
        <v>65</v>
      </c>
      <c r="F19" s="205">
        <v>0.30516431924882631</v>
      </c>
      <c r="G19" s="84">
        <v>148</v>
      </c>
      <c r="H19" s="510">
        <v>0.69483568075117375</v>
      </c>
      <c r="I19" s="86">
        <v>397493.60000000003</v>
      </c>
      <c r="J19" s="181">
        <v>194248</v>
      </c>
      <c r="K19" s="205">
        <v>0.48868208192534418</v>
      </c>
      <c r="L19" s="86">
        <v>203245.6</v>
      </c>
      <c r="M19" s="83">
        <v>0.51131791807465576</v>
      </c>
      <c r="O19" s="511"/>
    </row>
    <row r="20" spans="1:15" s="1" customFormat="1" ht="16.5" customHeight="1" x14ac:dyDescent="0.2">
      <c r="B20" s="924" t="s">
        <v>75</v>
      </c>
      <c r="C20" s="429" t="s">
        <v>11</v>
      </c>
      <c r="D20" s="198">
        <v>21</v>
      </c>
      <c r="E20" s="199">
        <v>9</v>
      </c>
      <c r="F20" s="200">
        <v>0.42857142857142855</v>
      </c>
      <c r="G20" s="199">
        <v>12</v>
      </c>
      <c r="H20" s="186">
        <v>0.5714285714285714</v>
      </c>
      <c r="I20" s="74">
        <v>4869.3</v>
      </c>
      <c r="J20" s="73">
        <v>3066.5</v>
      </c>
      <c r="K20" s="200">
        <v>0.62976197810773615</v>
      </c>
      <c r="L20" s="74">
        <v>1802.8</v>
      </c>
      <c r="M20" s="196">
        <v>0.37023802189226374</v>
      </c>
      <c r="O20" s="507"/>
    </row>
    <row r="21" spans="1:15" s="1" customFormat="1" ht="15" customHeight="1" x14ac:dyDescent="0.2">
      <c r="B21" s="925"/>
      <c r="C21" s="449" t="s">
        <v>12</v>
      </c>
      <c r="D21" s="508">
        <v>11</v>
      </c>
      <c r="E21" s="236">
        <v>5</v>
      </c>
      <c r="F21" s="509">
        <v>0.45454545454545453</v>
      </c>
      <c r="G21" s="236">
        <v>6</v>
      </c>
      <c r="H21" s="204">
        <v>0.54545454545454541</v>
      </c>
      <c r="I21" s="77">
        <v>809.7</v>
      </c>
      <c r="J21" s="76">
        <v>388.6</v>
      </c>
      <c r="K21" s="509">
        <v>0.47993083858219093</v>
      </c>
      <c r="L21" s="77">
        <v>421.1</v>
      </c>
      <c r="M21" s="197">
        <v>0.52006916141780901</v>
      </c>
      <c r="O21" s="507"/>
    </row>
    <row r="22" spans="1:15" s="331" customFormat="1" ht="15.75" customHeight="1" thickBot="1" x14ac:dyDescent="0.25">
      <c r="B22" s="926"/>
      <c r="C22" s="450" t="s">
        <v>238</v>
      </c>
      <c r="D22" s="78">
        <v>32</v>
      </c>
      <c r="E22" s="84">
        <v>14</v>
      </c>
      <c r="F22" s="205">
        <v>0.4375</v>
      </c>
      <c r="G22" s="84">
        <v>18</v>
      </c>
      <c r="H22" s="510">
        <v>0.5625</v>
      </c>
      <c r="I22" s="86">
        <v>5679</v>
      </c>
      <c r="J22" s="181">
        <v>3455.1</v>
      </c>
      <c r="K22" s="205">
        <v>0.60839936608557843</v>
      </c>
      <c r="L22" s="86">
        <v>2223.9</v>
      </c>
      <c r="M22" s="83">
        <v>0.39160063391442157</v>
      </c>
      <c r="O22" s="511"/>
    </row>
    <row r="23" spans="1:15" s="1" customFormat="1" ht="13.5" customHeight="1" x14ac:dyDescent="0.2">
      <c r="B23" s="924" t="s">
        <v>13</v>
      </c>
      <c r="C23" s="429" t="s">
        <v>13</v>
      </c>
      <c r="D23" s="198">
        <v>6</v>
      </c>
      <c r="E23" s="199">
        <v>1</v>
      </c>
      <c r="F23" s="200">
        <v>0.16666666666666666</v>
      </c>
      <c r="G23" s="199">
        <v>5</v>
      </c>
      <c r="H23" s="186">
        <v>0.83333333333333337</v>
      </c>
      <c r="I23" s="74">
        <v>25.1</v>
      </c>
      <c r="J23" s="73">
        <v>16.100000000000001</v>
      </c>
      <c r="K23" s="200">
        <v>0.64143426294820716</v>
      </c>
      <c r="L23" s="74">
        <v>9</v>
      </c>
      <c r="M23" s="196">
        <v>0.35856573705179279</v>
      </c>
      <c r="O23" s="507"/>
    </row>
    <row r="24" spans="1:15" s="331" customFormat="1" ht="15.75" customHeight="1" thickBot="1" x14ac:dyDescent="0.25">
      <c r="B24" s="926"/>
      <c r="C24" s="442" t="s">
        <v>238</v>
      </c>
      <c r="D24" s="206">
        <v>6</v>
      </c>
      <c r="E24" s="79">
        <v>1</v>
      </c>
      <c r="F24" s="512">
        <v>0.16666666666666666</v>
      </c>
      <c r="G24" s="79">
        <v>5</v>
      </c>
      <c r="H24" s="81">
        <v>0.83333333333333337</v>
      </c>
      <c r="I24" s="82">
        <v>25.1</v>
      </c>
      <c r="J24" s="218">
        <v>16.100000000000001</v>
      </c>
      <c r="K24" s="512">
        <v>0.64143426294820716</v>
      </c>
      <c r="L24" s="82">
        <v>9</v>
      </c>
      <c r="M24" s="212">
        <v>0.35856573705179279</v>
      </c>
      <c r="O24" s="511"/>
    </row>
    <row r="25" spans="1:15" s="1" customFormat="1" ht="13.5" customHeight="1" x14ac:dyDescent="0.2">
      <c r="B25" s="924" t="s">
        <v>151</v>
      </c>
      <c r="C25" s="429" t="s">
        <v>152</v>
      </c>
      <c r="D25" s="198">
        <v>3</v>
      </c>
      <c r="E25" s="199">
        <v>0</v>
      </c>
      <c r="F25" s="200">
        <v>0</v>
      </c>
      <c r="G25" s="199">
        <v>3</v>
      </c>
      <c r="H25" s="186">
        <v>1</v>
      </c>
      <c r="I25" s="74">
        <v>0.9</v>
      </c>
      <c r="J25" s="73">
        <v>0</v>
      </c>
      <c r="K25" s="200">
        <v>0</v>
      </c>
      <c r="L25" s="74">
        <v>0.9</v>
      </c>
      <c r="M25" s="196">
        <v>1</v>
      </c>
      <c r="O25" s="507"/>
    </row>
    <row r="26" spans="1:15" s="331" customFormat="1" ht="15.75" customHeight="1" thickBot="1" x14ac:dyDescent="0.25">
      <c r="B26" s="926"/>
      <c r="C26" s="442" t="s">
        <v>238</v>
      </c>
      <c r="D26" s="206">
        <v>3</v>
      </c>
      <c r="E26" s="79">
        <v>0</v>
      </c>
      <c r="F26" s="512">
        <v>0</v>
      </c>
      <c r="G26" s="79">
        <v>3</v>
      </c>
      <c r="H26" s="81">
        <v>1</v>
      </c>
      <c r="I26" s="82">
        <v>0.9</v>
      </c>
      <c r="J26" s="218">
        <v>0</v>
      </c>
      <c r="K26" s="512">
        <v>0</v>
      </c>
      <c r="L26" s="82">
        <v>0.9</v>
      </c>
      <c r="M26" s="212">
        <v>1</v>
      </c>
      <c r="O26" s="511"/>
    </row>
    <row r="27" spans="1:15" s="1" customFormat="1" ht="16.5" customHeight="1" x14ac:dyDescent="0.2">
      <c r="B27" s="924" t="s">
        <v>73</v>
      </c>
      <c r="C27" s="429" t="s">
        <v>16</v>
      </c>
      <c r="D27" s="198">
        <v>3</v>
      </c>
      <c r="E27" s="199">
        <v>0</v>
      </c>
      <c r="F27" s="200">
        <v>0</v>
      </c>
      <c r="G27" s="199">
        <v>3</v>
      </c>
      <c r="H27" s="186">
        <v>1</v>
      </c>
      <c r="I27" s="74">
        <v>79.400000000000006</v>
      </c>
      <c r="J27" s="73">
        <v>0</v>
      </c>
      <c r="K27" s="200">
        <v>0</v>
      </c>
      <c r="L27" s="74">
        <v>79.400000000000006</v>
      </c>
      <c r="M27" s="196">
        <v>1</v>
      </c>
      <c r="O27" s="507"/>
    </row>
    <row r="28" spans="1:15" s="1" customFormat="1" ht="15" customHeight="1" x14ac:dyDescent="0.2">
      <c r="B28" s="925"/>
      <c r="C28" s="429" t="s">
        <v>17</v>
      </c>
      <c r="D28" s="198">
        <v>4</v>
      </c>
      <c r="E28" s="199">
        <v>0</v>
      </c>
      <c r="F28" s="200">
        <v>0</v>
      </c>
      <c r="G28" s="199">
        <v>4</v>
      </c>
      <c r="H28" s="186">
        <v>1</v>
      </c>
      <c r="I28" s="74">
        <v>19.100000000000001</v>
      </c>
      <c r="J28" s="73">
        <v>0</v>
      </c>
      <c r="K28" s="200">
        <v>0</v>
      </c>
      <c r="L28" s="74">
        <v>19.100000000000001</v>
      </c>
      <c r="M28" s="196">
        <v>1</v>
      </c>
      <c r="O28" s="507"/>
    </row>
    <row r="29" spans="1:15" s="1" customFormat="1" ht="15" customHeight="1" x14ac:dyDescent="0.2">
      <c r="B29" s="925"/>
      <c r="C29" s="429" t="s">
        <v>19</v>
      </c>
      <c r="D29" s="198">
        <v>2</v>
      </c>
      <c r="E29" s="199">
        <v>0</v>
      </c>
      <c r="F29" s="200">
        <v>0</v>
      </c>
      <c r="G29" s="199">
        <v>2</v>
      </c>
      <c r="H29" s="186">
        <v>1</v>
      </c>
      <c r="I29" s="74">
        <v>664.3</v>
      </c>
      <c r="J29" s="73">
        <v>0</v>
      </c>
      <c r="K29" s="200">
        <v>0</v>
      </c>
      <c r="L29" s="74">
        <v>664.3</v>
      </c>
      <c r="M29" s="196">
        <v>1</v>
      </c>
      <c r="O29" s="507"/>
    </row>
    <row r="30" spans="1:15" s="1" customFormat="1" ht="15" customHeight="1" x14ac:dyDescent="0.2">
      <c r="B30" s="925"/>
      <c r="C30" s="449" t="s">
        <v>21</v>
      </c>
      <c r="D30" s="508">
        <v>1</v>
      </c>
      <c r="E30" s="236">
        <v>0</v>
      </c>
      <c r="F30" s="509">
        <v>0</v>
      </c>
      <c r="G30" s="236">
        <v>1</v>
      </c>
      <c r="H30" s="204">
        <v>1</v>
      </c>
      <c r="I30" s="77">
        <v>80.599999999999994</v>
      </c>
      <c r="J30" s="76">
        <v>0</v>
      </c>
      <c r="K30" s="509">
        <v>0</v>
      </c>
      <c r="L30" s="77">
        <v>80.599999999999994</v>
      </c>
      <c r="M30" s="197">
        <v>1</v>
      </c>
      <c r="O30" s="507"/>
    </row>
    <row r="31" spans="1:15" s="331" customFormat="1" ht="15.75" customHeight="1" thickBot="1" x14ac:dyDescent="0.25">
      <c r="B31" s="926"/>
      <c r="C31" s="450" t="s">
        <v>99</v>
      </c>
      <c r="D31" s="78">
        <v>10</v>
      </c>
      <c r="E31" s="84">
        <v>0</v>
      </c>
      <c r="F31" s="205">
        <v>0</v>
      </c>
      <c r="G31" s="84">
        <v>10</v>
      </c>
      <c r="H31" s="510">
        <v>1</v>
      </c>
      <c r="I31" s="86">
        <v>843.4</v>
      </c>
      <c r="J31" s="181">
        <v>0</v>
      </c>
      <c r="K31" s="205">
        <v>0</v>
      </c>
      <c r="L31" s="86">
        <v>843.4</v>
      </c>
      <c r="M31" s="212">
        <v>1</v>
      </c>
      <c r="O31" s="511"/>
    </row>
    <row r="32" spans="1:15" s="1" customFormat="1" ht="16.5" customHeight="1" x14ac:dyDescent="0.2">
      <c r="A32" s="312"/>
      <c r="B32" s="919" t="s">
        <v>76</v>
      </c>
      <c r="C32" s="429" t="s">
        <v>154</v>
      </c>
      <c r="D32" s="198">
        <v>1</v>
      </c>
      <c r="E32" s="199">
        <v>0</v>
      </c>
      <c r="F32" s="235">
        <v>0</v>
      </c>
      <c r="G32" s="199">
        <v>1</v>
      </c>
      <c r="H32" s="186">
        <v>1</v>
      </c>
      <c r="I32" s="74">
        <v>0.1</v>
      </c>
      <c r="J32" s="73">
        <v>0</v>
      </c>
      <c r="K32" s="200">
        <v>0</v>
      </c>
      <c r="L32" s="74">
        <v>0.1</v>
      </c>
      <c r="M32" s="187">
        <v>1</v>
      </c>
      <c r="O32" s="507"/>
    </row>
    <row r="33" spans="1:15" s="1" customFormat="1" ht="15" customHeight="1" x14ac:dyDescent="0.2">
      <c r="A33" s="312"/>
      <c r="B33" s="920"/>
      <c r="C33" s="429" t="s">
        <v>20</v>
      </c>
      <c r="D33" s="198">
        <v>3</v>
      </c>
      <c r="E33" s="199">
        <v>0</v>
      </c>
      <c r="F33" s="186">
        <v>0</v>
      </c>
      <c r="G33" s="199">
        <v>3</v>
      </c>
      <c r="H33" s="186">
        <v>1</v>
      </c>
      <c r="I33" s="74">
        <v>158.69999999999999</v>
      </c>
      <c r="J33" s="73">
        <v>0</v>
      </c>
      <c r="K33" s="200">
        <v>0</v>
      </c>
      <c r="L33" s="74">
        <v>158.69999999999999</v>
      </c>
      <c r="M33" s="191">
        <v>1</v>
      </c>
      <c r="O33" s="507"/>
    </row>
    <row r="34" spans="1:15" s="1" customFormat="1" ht="15" customHeight="1" x14ac:dyDescent="0.2">
      <c r="A34" s="312"/>
      <c r="B34" s="920"/>
      <c r="C34" s="429" t="s">
        <v>221</v>
      </c>
      <c r="D34" s="198">
        <v>0</v>
      </c>
      <c r="E34" s="199">
        <v>0</v>
      </c>
      <c r="F34" s="186">
        <v>0</v>
      </c>
      <c r="G34" s="88">
        <v>0</v>
      </c>
      <c r="H34" s="186">
        <v>0</v>
      </c>
      <c r="I34" s="74">
        <v>0</v>
      </c>
      <c r="J34" s="74">
        <v>0</v>
      </c>
      <c r="K34" s="200">
        <v>0</v>
      </c>
      <c r="L34" s="74">
        <v>0</v>
      </c>
      <c r="M34" s="191">
        <v>0</v>
      </c>
      <c r="O34" s="507"/>
    </row>
    <row r="35" spans="1:15" s="1" customFormat="1" ht="15" customHeight="1" x14ac:dyDescent="0.2">
      <c r="A35" s="312"/>
      <c r="B35" s="920"/>
      <c r="C35" s="449" t="s">
        <v>21</v>
      </c>
      <c r="D35" s="508">
        <v>0</v>
      </c>
      <c r="E35" s="236">
        <v>0</v>
      </c>
      <c r="F35" s="204">
        <v>0</v>
      </c>
      <c r="G35" s="513">
        <v>0</v>
      </c>
      <c r="H35" s="204">
        <v>0</v>
      </c>
      <c r="I35" s="77">
        <v>0</v>
      </c>
      <c r="J35" s="77">
        <v>0</v>
      </c>
      <c r="K35" s="204">
        <v>0</v>
      </c>
      <c r="L35" s="77">
        <v>0</v>
      </c>
      <c r="M35" s="195">
        <v>0</v>
      </c>
      <c r="O35" s="507"/>
    </row>
    <row r="36" spans="1:15" s="331" customFormat="1" ht="15.75" customHeight="1" thickBot="1" x14ac:dyDescent="0.25">
      <c r="A36" s="322"/>
      <c r="B36" s="776"/>
      <c r="C36" s="450" t="s">
        <v>238</v>
      </c>
      <c r="D36" s="78">
        <v>4</v>
      </c>
      <c r="E36" s="84">
        <v>0</v>
      </c>
      <c r="F36" s="510">
        <v>0</v>
      </c>
      <c r="G36" s="85">
        <v>4</v>
      </c>
      <c r="H36" s="510">
        <v>1</v>
      </c>
      <c r="I36" s="86">
        <v>158.79999999999998</v>
      </c>
      <c r="J36" s="86">
        <v>0</v>
      </c>
      <c r="K36" s="510">
        <v>0</v>
      </c>
      <c r="L36" s="86">
        <v>158.79999999999998</v>
      </c>
      <c r="M36" s="83">
        <v>1</v>
      </c>
      <c r="O36" s="511"/>
    </row>
    <row r="37" spans="1:15" s="1" customFormat="1" ht="15" customHeight="1" x14ac:dyDescent="0.2">
      <c r="A37" s="312"/>
      <c r="B37" s="919" t="s">
        <v>22</v>
      </c>
      <c r="C37" s="392" t="s">
        <v>26</v>
      </c>
      <c r="D37" s="198">
        <v>11</v>
      </c>
      <c r="E37" s="199">
        <v>5</v>
      </c>
      <c r="F37" s="186">
        <v>0.45454545454545453</v>
      </c>
      <c r="G37" s="88">
        <v>6</v>
      </c>
      <c r="H37" s="186">
        <v>0.54545454545454541</v>
      </c>
      <c r="I37" s="74">
        <v>1005.5</v>
      </c>
      <c r="J37" s="74">
        <v>20.6</v>
      </c>
      <c r="K37" s="186">
        <v>2.0487319741422181E-2</v>
      </c>
      <c r="L37" s="74">
        <v>984.9</v>
      </c>
      <c r="M37" s="506">
        <v>0.97951268025857785</v>
      </c>
      <c r="O37" s="507"/>
    </row>
    <row r="38" spans="1:15" s="1" customFormat="1" ht="15" customHeight="1" x14ac:dyDescent="0.2">
      <c r="A38" s="312"/>
      <c r="B38" s="920"/>
      <c r="C38" s="392" t="s">
        <v>21</v>
      </c>
      <c r="D38" s="198">
        <v>2</v>
      </c>
      <c r="E38" s="199">
        <v>1</v>
      </c>
      <c r="F38" s="186">
        <v>0.5</v>
      </c>
      <c r="G38" s="88">
        <v>1</v>
      </c>
      <c r="H38" s="186">
        <v>0.5</v>
      </c>
      <c r="I38" s="74">
        <v>69.900000000000006</v>
      </c>
      <c r="J38" s="74">
        <v>69.900000000000006</v>
      </c>
      <c r="K38" s="186">
        <v>1</v>
      </c>
      <c r="L38" s="74">
        <v>0</v>
      </c>
      <c r="M38" s="196">
        <v>0</v>
      </c>
      <c r="O38" s="507"/>
    </row>
    <row r="39" spans="1:15" s="331" customFormat="1" ht="15.75" customHeight="1" thickBot="1" x14ac:dyDescent="0.25">
      <c r="A39" s="322"/>
      <c r="B39" s="776"/>
      <c r="C39" s="442" t="s">
        <v>238</v>
      </c>
      <c r="D39" s="206">
        <v>13</v>
      </c>
      <c r="E39" s="79">
        <v>6</v>
      </c>
      <c r="F39" s="81">
        <v>0.46153846153846156</v>
      </c>
      <c r="G39" s="80">
        <v>7</v>
      </c>
      <c r="H39" s="81">
        <v>0.53846153846153844</v>
      </c>
      <c r="I39" s="82">
        <v>1075.4000000000001</v>
      </c>
      <c r="J39" s="82">
        <v>90.5</v>
      </c>
      <c r="K39" s="81">
        <v>8.4154733122559042E-2</v>
      </c>
      <c r="L39" s="82">
        <v>984.9</v>
      </c>
      <c r="M39" s="212">
        <v>0.91584526687744083</v>
      </c>
      <c r="O39" s="511"/>
    </row>
    <row r="40" spans="1:15" s="1" customFormat="1" ht="13.5" customHeight="1" x14ac:dyDescent="0.2">
      <c r="A40" s="312"/>
      <c r="B40" s="919" t="s">
        <v>27</v>
      </c>
      <c r="C40" s="429" t="s">
        <v>28</v>
      </c>
      <c r="D40" s="198">
        <v>59</v>
      </c>
      <c r="E40" s="199">
        <v>21</v>
      </c>
      <c r="F40" s="186">
        <v>0.3559322033898305</v>
      </c>
      <c r="G40" s="88">
        <v>38</v>
      </c>
      <c r="H40" s="186">
        <v>0.64406779661016944</v>
      </c>
      <c r="I40" s="74">
        <v>52578.5</v>
      </c>
      <c r="J40" s="74">
        <v>27267.1</v>
      </c>
      <c r="K40" s="186">
        <v>0.51859790598818911</v>
      </c>
      <c r="L40" s="74">
        <v>25311.4</v>
      </c>
      <c r="M40" s="196">
        <v>0.48140209401181094</v>
      </c>
      <c r="O40" s="507"/>
    </row>
    <row r="41" spans="1:15" s="1" customFormat="1" ht="15" customHeight="1" x14ac:dyDescent="0.2">
      <c r="A41" s="312"/>
      <c r="B41" s="920"/>
      <c r="C41" s="429" t="s">
        <v>79</v>
      </c>
      <c r="D41" s="198">
        <v>35</v>
      </c>
      <c r="E41" s="199">
        <v>13</v>
      </c>
      <c r="F41" s="186">
        <v>0.37142857142857144</v>
      </c>
      <c r="G41" s="88">
        <v>22</v>
      </c>
      <c r="H41" s="186">
        <v>0.62857142857142856</v>
      </c>
      <c r="I41" s="74">
        <v>41498.199999999997</v>
      </c>
      <c r="J41" s="74">
        <v>12307.8</v>
      </c>
      <c r="K41" s="186">
        <v>0.29658635796251404</v>
      </c>
      <c r="L41" s="74">
        <v>29190.400000000001</v>
      </c>
      <c r="M41" s="196">
        <v>0.70341364203748602</v>
      </c>
      <c r="O41" s="507"/>
    </row>
    <row r="42" spans="1:15" s="331" customFormat="1" ht="15.75" customHeight="1" thickBot="1" x14ac:dyDescent="0.25">
      <c r="A42" s="322"/>
      <c r="B42" s="932"/>
      <c r="C42" s="442" t="s">
        <v>238</v>
      </c>
      <c r="D42" s="206">
        <v>94</v>
      </c>
      <c r="E42" s="79">
        <v>34</v>
      </c>
      <c r="F42" s="81">
        <v>0.36170212765957449</v>
      </c>
      <c r="G42" s="80">
        <v>60</v>
      </c>
      <c r="H42" s="81">
        <v>0.63829787234042556</v>
      </c>
      <c r="I42" s="82">
        <v>94076.7</v>
      </c>
      <c r="J42" s="82">
        <v>39574.899999999994</v>
      </c>
      <c r="K42" s="81">
        <v>0.4206663286446059</v>
      </c>
      <c r="L42" s="82">
        <v>54501.8</v>
      </c>
      <c r="M42" s="212">
        <v>0.57933367135539415</v>
      </c>
      <c r="O42" s="511"/>
    </row>
    <row r="43" spans="1:15" s="1" customFormat="1" ht="15" customHeight="1" x14ac:dyDescent="0.2">
      <c r="A43" s="312"/>
      <c r="B43" s="919" t="s">
        <v>32</v>
      </c>
      <c r="C43" s="449" t="s">
        <v>32</v>
      </c>
      <c r="D43" s="508">
        <v>3</v>
      </c>
      <c r="E43" s="236">
        <v>0</v>
      </c>
      <c r="F43" s="204">
        <v>0</v>
      </c>
      <c r="G43" s="513">
        <v>3</v>
      </c>
      <c r="H43" s="204">
        <v>1</v>
      </c>
      <c r="I43" s="77">
        <v>657.9</v>
      </c>
      <c r="J43" s="77">
        <v>0</v>
      </c>
      <c r="K43" s="204">
        <v>0</v>
      </c>
      <c r="L43" s="77">
        <v>657.9</v>
      </c>
      <c r="M43" s="197">
        <v>1</v>
      </c>
      <c r="O43" s="507"/>
    </row>
    <row r="44" spans="1:15" s="331" customFormat="1" ht="15.75" customHeight="1" thickBot="1" x14ac:dyDescent="0.25">
      <c r="A44" s="322"/>
      <c r="B44" s="776"/>
      <c r="C44" s="450" t="s">
        <v>238</v>
      </c>
      <c r="D44" s="78">
        <v>3</v>
      </c>
      <c r="E44" s="84">
        <v>0</v>
      </c>
      <c r="F44" s="510">
        <v>0</v>
      </c>
      <c r="G44" s="85">
        <v>3</v>
      </c>
      <c r="H44" s="510">
        <v>1</v>
      </c>
      <c r="I44" s="86">
        <v>657.9</v>
      </c>
      <c r="J44" s="86">
        <v>0</v>
      </c>
      <c r="K44" s="510">
        <v>0</v>
      </c>
      <c r="L44" s="86">
        <v>657.9</v>
      </c>
      <c r="M44" s="83">
        <v>1</v>
      </c>
      <c r="O44" s="511"/>
    </row>
    <row r="45" spans="1:15" s="1" customFormat="1" ht="13.5" customHeight="1" x14ac:dyDescent="0.2">
      <c r="A45" s="312"/>
      <c r="B45" s="919" t="s">
        <v>33</v>
      </c>
      <c r="C45" s="459" t="s">
        <v>33</v>
      </c>
      <c r="D45" s="514">
        <v>13</v>
      </c>
      <c r="E45" s="237">
        <v>2</v>
      </c>
      <c r="F45" s="211">
        <v>0.15384615384615385</v>
      </c>
      <c r="G45" s="515">
        <v>11</v>
      </c>
      <c r="H45" s="211">
        <v>0.84615384615384615</v>
      </c>
      <c r="I45" s="89">
        <v>1700.8000000000002</v>
      </c>
      <c r="J45" s="89">
        <v>61.4</v>
      </c>
      <c r="K45" s="211">
        <v>3.6100658513640638E-2</v>
      </c>
      <c r="L45" s="89">
        <v>1639.4</v>
      </c>
      <c r="M45" s="209">
        <v>0.96389934148635936</v>
      </c>
      <c r="O45" s="507"/>
    </row>
    <row r="46" spans="1:15" s="331" customFormat="1" ht="15.75" customHeight="1" thickBot="1" x14ac:dyDescent="0.25">
      <c r="A46" s="322"/>
      <c r="B46" s="776"/>
      <c r="C46" s="450" t="s">
        <v>238</v>
      </c>
      <c r="D46" s="78">
        <v>13</v>
      </c>
      <c r="E46" s="84">
        <v>2</v>
      </c>
      <c r="F46" s="510">
        <v>0.15384615384615385</v>
      </c>
      <c r="G46" s="85">
        <v>11</v>
      </c>
      <c r="H46" s="510">
        <v>0.84615384615384615</v>
      </c>
      <c r="I46" s="86">
        <v>1700.8000000000002</v>
      </c>
      <c r="J46" s="86">
        <v>61.4</v>
      </c>
      <c r="K46" s="510">
        <v>3.6100658513640638E-2</v>
      </c>
      <c r="L46" s="86">
        <v>1639.4</v>
      </c>
      <c r="M46" s="83">
        <v>0.96389934148635936</v>
      </c>
      <c r="O46" s="511"/>
    </row>
    <row r="47" spans="1:15" s="1" customFormat="1" ht="13.5" customHeight="1" x14ac:dyDescent="0.2">
      <c r="A47" s="312"/>
      <c r="B47" s="924" t="s">
        <v>34</v>
      </c>
      <c r="C47" s="459" t="s">
        <v>34</v>
      </c>
      <c r="D47" s="514">
        <v>2</v>
      </c>
      <c r="E47" s="237">
        <v>0</v>
      </c>
      <c r="F47" s="211">
        <v>0</v>
      </c>
      <c r="G47" s="515">
        <v>2</v>
      </c>
      <c r="H47" s="211">
        <v>1</v>
      </c>
      <c r="I47" s="89">
        <v>0</v>
      </c>
      <c r="J47" s="89">
        <v>0</v>
      </c>
      <c r="K47" s="211">
        <v>0</v>
      </c>
      <c r="L47" s="89">
        <v>0</v>
      </c>
      <c r="M47" s="209">
        <v>0</v>
      </c>
      <c r="O47" s="507"/>
    </row>
    <row r="48" spans="1:15" s="331" customFormat="1" ht="15.75" customHeight="1" thickBot="1" x14ac:dyDescent="0.25">
      <c r="A48" s="322"/>
      <c r="B48" s="926"/>
      <c r="C48" s="450" t="s">
        <v>238</v>
      </c>
      <c r="D48" s="78">
        <v>2</v>
      </c>
      <c r="E48" s="84">
        <v>0</v>
      </c>
      <c r="F48" s="510">
        <v>0</v>
      </c>
      <c r="G48" s="85">
        <v>2</v>
      </c>
      <c r="H48" s="510">
        <v>1</v>
      </c>
      <c r="I48" s="86">
        <v>0</v>
      </c>
      <c r="J48" s="86">
        <v>0</v>
      </c>
      <c r="K48" s="510">
        <v>0</v>
      </c>
      <c r="L48" s="86">
        <v>0</v>
      </c>
      <c r="M48" s="83">
        <v>0</v>
      </c>
      <c r="O48" s="511"/>
    </row>
    <row r="49" spans="1:15" s="1" customFormat="1" ht="13.5" customHeight="1" x14ac:dyDescent="0.2">
      <c r="A49" s="312"/>
      <c r="B49" s="924" t="s">
        <v>222</v>
      </c>
      <c r="C49" s="459" t="s">
        <v>223</v>
      </c>
      <c r="D49" s="514">
        <v>0</v>
      </c>
      <c r="E49" s="237">
        <v>0</v>
      </c>
      <c r="F49" s="211">
        <v>0</v>
      </c>
      <c r="G49" s="515">
        <v>0</v>
      </c>
      <c r="H49" s="211">
        <v>0</v>
      </c>
      <c r="I49" s="89">
        <v>0</v>
      </c>
      <c r="J49" s="89">
        <v>0</v>
      </c>
      <c r="K49" s="211">
        <v>0</v>
      </c>
      <c r="L49" s="89">
        <v>0</v>
      </c>
      <c r="M49" s="209">
        <v>0</v>
      </c>
      <c r="O49" s="507"/>
    </row>
    <row r="50" spans="1:15" s="331" customFormat="1" ht="15.75" customHeight="1" thickBot="1" x14ac:dyDescent="0.25">
      <c r="A50" s="322"/>
      <c r="B50" s="926"/>
      <c r="C50" s="450" t="s">
        <v>238</v>
      </c>
      <c r="D50" s="78">
        <v>0</v>
      </c>
      <c r="E50" s="84">
        <v>0</v>
      </c>
      <c r="F50" s="510">
        <v>0</v>
      </c>
      <c r="G50" s="85">
        <v>0</v>
      </c>
      <c r="H50" s="510">
        <v>0</v>
      </c>
      <c r="I50" s="86">
        <v>0</v>
      </c>
      <c r="J50" s="86">
        <v>0</v>
      </c>
      <c r="K50" s="510">
        <v>0</v>
      </c>
      <c r="L50" s="86">
        <v>0</v>
      </c>
      <c r="M50" s="83">
        <v>0</v>
      </c>
      <c r="O50" s="511"/>
    </row>
    <row r="51" spans="1:15" s="1" customFormat="1" ht="13.5" customHeight="1" x14ac:dyDescent="0.2">
      <c r="A51" s="312"/>
      <c r="B51" s="924" t="s">
        <v>31</v>
      </c>
      <c r="C51" s="459" t="s">
        <v>31</v>
      </c>
      <c r="D51" s="514">
        <v>0</v>
      </c>
      <c r="E51" s="237">
        <v>0</v>
      </c>
      <c r="F51" s="211">
        <v>0</v>
      </c>
      <c r="G51" s="515">
        <v>0</v>
      </c>
      <c r="H51" s="211">
        <v>0</v>
      </c>
      <c r="I51" s="89">
        <v>0</v>
      </c>
      <c r="J51" s="89">
        <v>0</v>
      </c>
      <c r="K51" s="211">
        <v>0</v>
      </c>
      <c r="L51" s="89">
        <v>0</v>
      </c>
      <c r="M51" s="209">
        <v>0</v>
      </c>
      <c r="O51" s="507"/>
    </row>
    <row r="52" spans="1:15" s="331" customFormat="1" ht="15.75" customHeight="1" thickBot="1" x14ac:dyDescent="0.25">
      <c r="A52" s="322"/>
      <c r="B52" s="926"/>
      <c r="C52" s="450" t="s">
        <v>238</v>
      </c>
      <c r="D52" s="78">
        <v>0</v>
      </c>
      <c r="E52" s="84">
        <v>0</v>
      </c>
      <c r="F52" s="510">
        <v>0</v>
      </c>
      <c r="G52" s="85">
        <v>0</v>
      </c>
      <c r="H52" s="510">
        <v>0</v>
      </c>
      <c r="I52" s="86">
        <v>0</v>
      </c>
      <c r="J52" s="86">
        <v>0</v>
      </c>
      <c r="K52" s="510">
        <v>0</v>
      </c>
      <c r="L52" s="86">
        <v>0</v>
      </c>
      <c r="M52" s="83">
        <v>0</v>
      </c>
      <c r="O52" s="511"/>
    </row>
    <row r="53" spans="1:15" s="1" customFormat="1" ht="12.75" customHeight="1" x14ac:dyDescent="0.2">
      <c r="A53" s="312"/>
      <c r="B53" s="919" t="s">
        <v>87</v>
      </c>
      <c r="C53" s="429" t="s">
        <v>14</v>
      </c>
      <c r="D53" s="198">
        <v>3</v>
      </c>
      <c r="E53" s="199">
        <v>0</v>
      </c>
      <c r="F53" s="186">
        <v>0</v>
      </c>
      <c r="G53" s="88">
        <v>3</v>
      </c>
      <c r="H53" s="186">
        <v>1</v>
      </c>
      <c r="I53" s="74">
        <v>509.4</v>
      </c>
      <c r="J53" s="74">
        <v>0</v>
      </c>
      <c r="K53" s="186">
        <v>0</v>
      </c>
      <c r="L53" s="74">
        <v>509.4</v>
      </c>
      <c r="M53" s="196">
        <v>1</v>
      </c>
      <c r="O53" s="507"/>
    </row>
    <row r="54" spans="1:15" s="1" customFormat="1" ht="15" customHeight="1" x14ac:dyDescent="0.2">
      <c r="A54" s="312"/>
      <c r="B54" s="920"/>
      <c r="C54" s="429" t="s">
        <v>21</v>
      </c>
      <c r="D54" s="198">
        <v>5</v>
      </c>
      <c r="E54" s="199">
        <v>0</v>
      </c>
      <c r="F54" s="186">
        <v>0</v>
      </c>
      <c r="G54" s="88">
        <v>5</v>
      </c>
      <c r="H54" s="186">
        <v>1</v>
      </c>
      <c r="I54" s="74">
        <v>879.4</v>
      </c>
      <c r="J54" s="74">
        <v>0</v>
      </c>
      <c r="K54" s="186">
        <v>0</v>
      </c>
      <c r="L54" s="74">
        <v>879.4</v>
      </c>
      <c r="M54" s="196">
        <v>1</v>
      </c>
      <c r="O54" s="507"/>
    </row>
    <row r="55" spans="1:15" s="331" customFormat="1" ht="15.75" customHeight="1" thickBot="1" x14ac:dyDescent="0.25">
      <c r="A55" s="322"/>
      <c r="B55" s="932"/>
      <c r="C55" s="442" t="s">
        <v>238</v>
      </c>
      <c r="D55" s="206">
        <v>8</v>
      </c>
      <c r="E55" s="79">
        <v>0</v>
      </c>
      <c r="F55" s="81">
        <v>0</v>
      </c>
      <c r="G55" s="80">
        <v>8</v>
      </c>
      <c r="H55" s="81">
        <v>1</v>
      </c>
      <c r="I55" s="82">
        <v>1388.8</v>
      </c>
      <c r="J55" s="82">
        <v>0</v>
      </c>
      <c r="K55" s="81">
        <v>0</v>
      </c>
      <c r="L55" s="82">
        <v>1388.8</v>
      </c>
      <c r="M55" s="212">
        <v>1</v>
      </c>
    </row>
    <row r="56" spans="1:15" s="331" customFormat="1" ht="12.75" customHeight="1" thickBot="1" x14ac:dyDescent="0.25">
      <c r="A56" s="322"/>
      <c r="B56" s="913" t="s">
        <v>35</v>
      </c>
      <c r="C56" s="914"/>
      <c r="D56" s="516">
        <v>401</v>
      </c>
      <c r="E56" s="516">
        <v>122</v>
      </c>
      <c r="F56" s="517">
        <v>0.30423940149625933</v>
      </c>
      <c r="G56" s="516">
        <v>279</v>
      </c>
      <c r="H56" s="517">
        <v>0.69576059850374061</v>
      </c>
      <c r="I56" s="518">
        <v>503100.40000000008</v>
      </c>
      <c r="J56" s="518">
        <v>237446</v>
      </c>
      <c r="K56" s="517">
        <v>0.47196543671998664</v>
      </c>
      <c r="L56" s="518">
        <v>265654.40000000002</v>
      </c>
      <c r="M56" s="517">
        <v>0.5280345632800133</v>
      </c>
      <c r="N56" s="519"/>
    </row>
    <row r="57" spans="1:15" s="1" customFormat="1" ht="9" x14ac:dyDescent="0.2"/>
    <row r="58" spans="1:15" s="1" customFormat="1" ht="15.5" x14ac:dyDescent="0.2">
      <c r="B58" s="907" t="s">
        <v>239</v>
      </c>
      <c r="C58" s="907"/>
      <c r="D58" s="907"/>
      <c r="E58" s="907"/>
      <c r="F58" s="907"/>
      <c r="G58" s="907"/>
      <c r="H58" s="907"/>
      <c r="I58" s="907"/>
      <c r="J58" s="907"/>
      <c r="K58" s="907"/>
      <c r="L58" s="907"/>
      <c r="M58" s="907"/>
    </row>
    <row r="59" spans="1:15" s="1" customFormat="1" ht="15.5" x14ac:dyDescent="0.2">
      <c r="B59" s="933" t="s">
        <v>240</v>
      </c>
      <c r="C59" s="933"/>
      <c r="D59" s="933"/>
      <c r="E59" s="933"/>
      <c r="F59" s="933"/>
      <c r="G59" s="933"/>
      <c r="H59" s="933"/>
      <c r="I59" s="933"/>
      <c r="J59" s="933"/>
      <c r="K59" s="933"/>
      <c r="L59" s="933"/>
      <c r="M59" s="933"/>
    </row>
    <row r="60" spans="1:15" s="1" customFormat="1" ht="15.5" x14ac:dyDescent="0.2">
      <c r="B60" s="907" t="s">
        <v>233</v>
      </c>
      <c r="C60" s="907"/>
      <c r="D60" s="907"/>
      <c r="E60" s="907"/>
      <c r="F60" s="907"/>
      <c r="G60" s="907"/>
      <c r="H60" s="907"/>
      <c r="I60" s="907"/>
      <c r="J60" s="907"/>
      <c r="K60" s="907"/>
      <c r="L60" s="907"/>
      <c r="M60" s="907"/>
    </row>
    <row r="61" spans="1:15" s="1" customFormat="1" ht="15.5" x14ac:dyDescent="0.2">
      <c r="B61" s="907" t="s">
        <v>241</v>
      </c>
      <c r="C61" s="907"/>
      <c r="D61" s="907"/>
      <c r="E61" s="907"/>
      <c r="F61" s="907"/>
      <c r="G61" s="907"/>
      <c r="H61" s="907"/>
      <c r="I61" s="907"/>
      <c r="J61" s="907"/>
      <c r="K61" s="907"/>
      <c r="L61" s="907"/>
      <c r="M61" s="907"/>
    </row>
    <row r="62" spans="1:15" s="1" customFormat="1" ht="15.5" x14ac:dyDescent="0.2">
      <c r="B62" s="791" t="s">
        <v>119</v>
      </c>
      <c r="C62" s="791"/>
      <c r="D62" s="791"/>
      <c r="E62" s="791"/>
      <c r="F62" s="791"/>
      <c r="G62" s="791"/>
      <c r="H62" s="791"/>
      <c r="I62" s="791"/>
      <c r="J62" s="791"/>
      <c r="K62" s="791"/>
      <c r="L62" s="791"/>
      <c r="M62" s="791"/>
    </row>
    <row r="63" spans="1:15" s="1" customFormat="1" ht="9" x14ac:dyDescent="0.2"/>
    <row r="64" spans="1:15" s="1" customFormat="1" ht="9" x14ac:dyDescent="0.2"/>
    <row r="65" s="1" customFormat="1" ht="9" x14ac:dyDescent="0.2"/>
    <row r="66" s="1" customFormat="1" ht="9" x14ac:dyDescent="0.2"/>
    <row r="67" s="1" customFormat="1" ht="9" x14ac:dyDescent="0.2"/>
    <row r="68" s="1" customFormat="1" ht="9" x14ac:dyDescent="0.2"/>
    <row r="69" s="1" customFormat="1" ht="9" x14ac:dyDescent="0.2"/>
    <row r="70" s="1" customFormat="1" ht="9" x14ac:dyDescent="0.2"/>
    <row r="71" s="1" customFormat="1" ht="9" x14ac:dyDescent="0.2"/>
    <row r="72" s="1" customFormat="1" ht="9" x14ac:dyDescent="0.2"/>
    <row r="73" s="1" customFormat="1" ht="9" x14ac:dyDescent="0.2"/>
    <row r="74" s="1" customFormat="1" ht="9" x14ac:dyDescent="0.2"/>
    <row r="75" s="1" customFormat="1" ht="9" x14ac:dyDescent="0.2"/>
    <row r="76" s="1" customFormat="1" ht="9" x14ac:dyDescent="0.2"/>
    <row r="77" s="1" customFormat="1" ht="9" x14ac:dyDescent="0.2"/>
    <row r="78" s="1" customFormat="1" ht="9" x14ac:dyDescent="0.2"/>
    <row r="79" s="1" customFormat="1" ht="9" x14ac:dyDescent="0.2"/>
    <row r="80" s="1" customFormat="1" ht="9" x14ac:dyDescent="0.2"/>
    <row r="81" s="1" customFormat="1" ht="9" x14ac:dyDescent="0.2"/>
    <row r="82" s="1" customFormat="1" ht="9" x14ac:dyDescent="0.2"/>
    <row r="83" s="1" customFormat="1" ht="9" x14ac:dyDescent="0.2"/>
    <row r="84" s="1" customFormat="1" ht="9" x14ac:dyDescent="0.2"/>
    <row r="85" s="1" customFormat="1" ht="9" x14ac:dyDescent="0.2"/>
    <row r="86" s="1" customFormat="1" ht="9" x14ac:dyDescent="0.2"/>
    <row r="87" s="1" customFormat="1" ht="9" x14ac:dyDescent="0.2"/>
    <row r="88" s="1" customFormat="1" ht="9" x14ac:dyDescent="0.2"/>
    <row r="89" s="1" customFormat="1" ht="9" x14ac:dyDescent="0.2"/>
    <row r="90" s="1" customFormat="1" ht="9" x14ac:dyDescent="0.2"/>
    <row r="91" s="1" customFormat="1" ht="9" x14ac:dyDescent="0.2"/>
    <row r="92" s="1" customFormat="1" ht="9" x14ac:dyDescent="0.2"/>
    <row r="93" s="1" customFormat="1" ht="9" x14ac:dyDescent="0.2"/>
    <row r="94" s="1" customFormat="1" ht="9" x14ac:dyDescent="0.2"/>
    <row r="95" s="1" customFormat="1" ht="9" x14ac:dyDescent="0.2"/>
    <row r="96" s="1" customFormat="1" ht="9" x14ac:dyDescent="0.2"/>
    <row r="97" s="1" customFormat="1" ht="9" x14ac:dyDescent="0.2"/>
    <row r="98" s="1" customFormat="1" ht="9" x14ac:dyDescent="0.2"/>
    <row r="99" s="1" customFormat="1" ht="9" x14ac:dyDescent="0.2"/>
    <row r="100" s="1" customFormat="1" ht="9" x14ac:dyDescent="0.2"/>
    <row r="101" s="1" customFormat="1" ht="9" x14ac:dyDescent="0.2"/>
    <row r="102" s="1" customFormat="1" ht="9" x14ac:dyDescent="0.2"/>
    <row r="103" s="1" customFormat="1" ht="9" x14ac:dyDescent="0.2"/>
    <row r="104" s="1" customFormat="1" ht="9" x14ac:dyDescent="0.2"/>
    <row r="105" s="1" customFormat="1" ht="9" x14ac:dyDescent="0.2"/>
    <row r="106" s="1" customFormat="1" ht="9" x14ac:dyDescent="0.2"/>
    <row r="107" s="1" customFormat="1" ht="9" x14ac:dyDescent="0.2"/>
    <row r="108" s="1" customFormat="1" ht="9" x14ac:dyDescent="0.2"/>
    <row r="109" s="1" customFormat="1" ht="9" x14ac:dyDescent="0.2"/>
    <row r="110" s="1" customFormat="1" ht="9" x14ac:dyDescent="0.2"/>
    <row r="111" s="1" customFormat="1" ht="9" x14ac:dyDescent="0.2"/>
    <row r="112" s="1" customFormat="1" ht="9" x14ac:dyDescent="0.2"/>
    <row r="113" s="1" customFormat="1" ht="9" x14ac:dyDescent="0.2"/>
    <row r="114" s="1" customFormat="1" ht="9" x14ac:dyDescent="0.2"/>
    <row r="115" s="1" customFormat="1" ht="9" x14ac:dyDescent="0.2"/>
    <row r="116" s="1" customFormat="1" ht="9" x14ac:dyDescent="0.2"/>
    <row r="117" s="1" customFormat="1" ht="9" x14ac:dyDescent="0.2"/>
    <row r="118" s="1" customFormat="1" ht="9" x14ac:dyDescent="0.2"/>
    <row r="119" s="1" customFormat="1" ht="9" x14ac:dyDescent="0.2"/>
    <row r="120" s="1" customFormat="1" ht="9" x14ac:dyDescent="0.2"/>
    <row r="121" s="1" customFormat="1" ht="9" x14ac:dyDescent="0.2"/>
    <row r="122" s="1" customFormat="1" ht="9" x14ac:dyDescent="0.2"/>
    <row r="123" s="1" customFormat="1" ht="9" x14ac:dyDescent="0.2"/>
    <row r="124" s="1" customFormat="1" ht="9" x14ac:dyDescent="0.2"/>
    <row r="125" s="1" customFormat="1" ht="9" x14ac:dyDescent="0.2"/>
    <row r="126" s="1" customFormat="1" ht="9" x14ac:dyDescent="0.2"/>
    <row r="127" s="1" customFormat="1" ht="9" x14ac:dyDescent="0.2"/>
    <row r="128" s="1" customFormat="1" ht="9" x14ac:dyDescent="0.2"/>
    <row r="129" s="1" customFormat="1" ht="9" x14ac:dyDescent="0.2"/>
  </sheetData>
  <customSheetViews>
    <customSheetView guid="{6654F670-CAA9-4C4A-B3D9-226402FC46BC}" scale="90" showPageBreaks="1" printArea="1" view="pageLayout">
      <selection activeCell="D11" sqref="D11:M56"/>
      <pageMargins left="0.70866141732283472" right="0.70866141732283472" top="0.78740157480314965" bottom="0.74803149606299213" header="0.31496062992125984" footer="0.31496062992125984"/>
      <pageSetup paperSize="9" scale="67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cale="90" showPageBreaks="1" printArea="1" view="pageLayout">
      <selection activeCell="D11" sqref="D11:M56"/>
      <pageMargins left="0.70866141732283472" right="0.70866141732283472" top="0.78740157480314965" bottom="0.74803149606299213" header="0.31496062992125984" footer="0.31496062992125984"/>
      <pageSetup paperSize="9" scale="67" orientation="portrait"/>
      <headerFooter>
        <oddHeader>&amp;L&amp;G&amp;RCAMPAÑA: 2025/2026. MES: JULIO
Fecha de emisión de datos: 25/08/2026</oddHeader>
      </headerFooter>
    </customSheetView>
  </customSheetViews>
  <mergeCells count="28">
    <mergeCell ref="B2:M4"/>
    <mergeCell ref="D6:H6"/>
    <mergeCell ref="D8:H8"/>
    <mergeCell ref="I8:M8"/>
    <mergeCell ref="E9:F9"/>
    <mergeCell ref="G9:H9"/>
    <mergeCell ref="J9:K9"/>
    <mergeCell ref="L9:M9"/>
    <mergeCell ref="B49:B50"/>
    <mergeCell ref="B11:B19"/>
    <mergeCell ref="B20:B22"/>
    <mergeCell ref="B23:B24"/>
    <mergeCell ref="B25:B26"/>
    <mergeCell ref="B27:B31"/>
    <mergeCell ref="B32:B36"/>
    <mergeCell ref="B37:B39"/>
    <mergeCell ref="B40:B42"/>
    <mergeCell ref="B43:B44"/>
    <mergeCell ref="B45:B46"/>
    <mergeCell ref="B47:B48"/>
    <mergeCell ref="B61:M61"/>
    <mergeCell ref="B62:M62"/>
    <mergeCell ref="B51:B52"/>
    <mergeCell ref="B53:B55"/>
    <mergeCell ref="B56:C56"/>
    <mergeCell ref="B58:M58"/>
    <mergeCell ref="B59:M59"/>
    <mergeCell ref="B60:M60"/>
  </mergeCells>
  <pageMargins left="0.70866141732283472" right="0.70866141732283472" top="0.78740157480314965" bottom="0.74803149606299213" header="0.31496062992125984" footer="0.31496062992125984"/>
  <pageSetup paperSize="9" scale="67" orientation="portrait" r:id="rId1"/>
  <headerFooter>
    <oddHeader>&amp;L&amp;G&amp;RCAMPAÑA: 2025/2026. MES: JULIO
Fecha de emisión de datos: 25/08/2026</oddHeader>
  </headerFooter>
  <legacyDrawingHF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3:I31"/>
  <sheetViews>
    <sheetView view="pageLayout" zoomScale="80" zoomScaleNormal="100" zoomScaleSheetLayoutView="100" zoomScalePageLayoutView="80" workbookViewId="0">
      <selection activeCell="B3" sqref="B3:E5"/>
    </sheetView>
  </sheetViews>
  <sheetFormatPr baseColWidth="10" defaultColWidth="11.453125" defaultRowHeight="14.5" x14ac:dyDescent="0.35"/>
  <cols>
    <col min="1" max="1" width="6.54296875" customWidth="1"/>
    <col min="3" max="3" width="24.7265625" customWidth="1"/>
    <col min="4" max="4" width="26.81640625" customWidth="1"/>
    <col min="5" max="5" width="30.7265625" customWidth="1"/>
    <col min="6" max="6" width="3" customWidth="1"/>
  </cols>
  <sheetData>
    <row r="3" spans="1:9" x14ac:dyDescent="0.35">
      <c r="B3" s="761" t="s">
        <v>242</v>
      </c>
      <c r="C3" s="761"/>
      <c r="D3" s="761"/>
      <c r="E3" s="761"/>
    </row>
    <row r="4" spans="1:9" ht="18.75" customHeight="1" x14ac:dyDescent="0.35">
      <c r="B4" s="761"/>
      <c r="C4" s="761"/>
      <c r="D4" s="761"/>
      <c r="E4" s="761"/>
    </row>
    <row r="5" spans="1:9" ht="24" customHeight="1" x14ac:dyDescent="0.35">
      <c r="B5" s="761"/>
      <c r="C5" s="761"/>
      <c r="D5" s="761"/>
      <c r="E5" s="761"/>
    </row>
    <row r="6" spans="1:9" ht="15" thickBot="1" x14ac:dyDescent="0.4">
      <c r="B6" s="494"/>
      <c r="C6" s="494"/>
      <c r="D6" s="494"/>
      <c r="E6" s="494"/>
    </row>
    <row r="7" spans="1:9" ht="16" thickBot="1" x14ac:dyDescent="0.4">
      <c r="B7" s="949" t="s">
        <v>261</v>
      </c>
      <c r="C7" s="950"/>
      <c r="D7" s="950"/>
      <c r="E7" s="951"/>
    </row>
    <row r="8" spans="1:9" ht="15" thickBot="1" x14ac:dyDescent="0.4">
      <c r="B8" s="520"/>
      <c r="C8" s="520"/>
      <c r="D8" s="520"/>
      <c r="E8" s="521"/>
    </row>
    <row r="9" spans="1:9" ht="15" thickBot="1" x14ac:dyDescent="0.4">
      <c r="B9" s="952" t="s">
        <v>243</v>
      </c>
      <c r="C9" s="953"/>
      <c r="D9" s="522" t="s">
        <v>244</v>
      </c>
      <c r="E9" s="523" t="s">
        <v>245</v>
      </c>
      <c r="F9" s="1"/>
      <c r="G9" s="1"/>
      <c r="H9" s="1"/>
      <c r="I9" s="1"/>
    </row>
    <row r="10" spans="1:9" s="10" customFormat="1" x14ac:dyDescent="0.35">
      <c r="A10" s="12"/>
      <c r="B10" s="939" t="s">
        <v>191</v>
      </c>
      <c r="C10" s="940"/>
      <c r="D10" s="524">
        <v>982703</v>
      </c>
      <c r="E10" s="525">
        <v>139582521</v>
      </c>
      <c r="F10" s="331"/>
      <c r="G10" s="331"/>
      <c r="H10" s="331"/>
      <c r="I10" s="331"/>
    </row>
    <row r="11" spans="1:9" x14ac:dyDescent="0.35">
      <c r="A11" s="6"/>
      <c r="B11" s="941" t="s">
        <v>192</v>
      </c>
      <c r="C11" s="954"/>
      <c r="D11" s="526">
        <v>982703</v>
      </c>
      <c r="E11" s="527">
        <v>135314179</v>
      </c>
      <c r="F11" s="1"/>
      <c r="G11" s="1"/>
      <c r="H11" s="1"/>
      <c r="I11" s="1"/>
    </row>
    <row r="12" spans="1:9" ht="15" thickBot="1" x14ac:dyDescent="0.4">
      <c r="A12" s="6"/>
      <c r="B12" s="942" t="s">
        <v>246</v>
      </c>
      <c r="C12" s="943"/>
      <c r="D12" s="528">
        <v>0</v>
      </c>
      <c r="E12" s="529">
        <v>4268342</v>
      </c>
      <c r="F12" s="1"/>
      <c r="G12" s="1"/>
      <c r="H12" s="1"/>
      <c r="I12" s="1"/>
    </row>
    <row r="13" spans="1:9" s="10" customFormat="1" x14ac:dyDescent="0.35">
      <c r="A13" s="12"/>
      <c r="B13" s="939" t="s">
        <v>194</v>
      </c>
      <c r="C13" s="940"/>
      <c r="D13" s="524">
        <v>7707</v>
      </c>
      <c r="E13" s="525">
        <v>23364524</v>
      </c>
      <c r="F13" s="331"/>
      <c r="G13" s="331"/>
      <c r="H13" s="331"/>
      <c r="I13" s="331"/>
    </row>
    <row r="14" spans="1:9" x14ac:dyDescent="0.35">
      <c r="A14" s="6"/>
      <c r="B14" s="941" t="s">
        <v>192</v>
      </c>
      <c r="C14" s="954"/>
      <c r="D14" s="526">
        <v>7707</v>
      </c>
      <c r="E14" s="527">
        <v>23173077</v>
      </c>
      <c r="F14" s="1"/>
      <c r="G14" s="1"/>
      <c r="H14" s="1"/>
      <c r="I14" s="1"/>
    </row>
    <row r="15" spans="1:9" ht="15" thickBot="1" x14ac:dyDescent="0.4">
      <c r="A15" s="6"/>
      <c r="B15" s="942" t="s">
        <v>246</v>
      </c>
      <c r="C15" s="942"/>
      <c r="D15" s="528">
        <v>0</v>
      </c>
      <c r="E15" s="529">
        <v>191447</v>
      </c>
      <c r="F15" s="1"/>
      <c r="G15" s="1"/>
      <c r="H15" s="1"/>
      <c r="I15" s="1"/>
    </row>
    <row r="16" spans="1:9" s="10" customFormat="1" x14ac:dyDescent="0.35">
      <c r="A16" s="12"/>
      <c r="B16" s="939" t="s">
        <v>195</v>
      </c>
      <c r="C16" s="940"/>
      <c r="D16" s="524">
        <v>8667433</v>
      </c>
      <c r="E16" s="525">
        <v>243014657</v>
      </c>
      <c r="F16" s="331"/>
      <c r="G16" s="331"/>
      <c r="H16" s="331"/>
      <c r="I16" s="331"/>
    </row>
    <row r="17" spans="1:9" x14ac:dyDescent="0.35">
      <c r="A17" s="6"/>
      <c r="B17" s="941" t="s">
        <v>192</v>
      </c>
      <c r="C17" s="954"/>
      <c r="D17" s="526">
        <v>1404704</v>
      </c>
      <c r="E17" s="527">
        <v>110260661</v>
      </c>
      <c r="F17" s="1"/>
      <c r="G17" s="1"/>
      <c r="H17" s="1"/>
      <c r="I17" s="1"/>
    </row>
    <row r="18" spans="1:9" ht="15" thickBot="1" x14ac:dyDescent="0.4">
      <c r="A18" s="6"/>
      <c r="B18" s="942" t="s">
        <v>246</v>
      </c>
      <c r="C18" s="942"/>
      <c r="D18" s="528">
        <v>7262729</v>
      </c>
      <c r="E18" s="529">
        <v>132753996</v>
      </c>
      <c r="F18" s="1"/>
      <c r="G18" s="1"/>
      <c r="H18" s="1"/>
      <c r="I18" s="1"/>
    </row>
    <row r="19" spans="1:9" s="10" customFormat="1" x14ac:dyDescent="0.35">
      <c r="A19" s="12"/>
      <c r="B19" s="939" t="s">
        <v>196</v>
      </c>
      <c r="C19" s="940"/>
      <c r="D19" s="530">
        <v>5937814</v>
      </c>
      <c r="E19" s="525">
        <v>41181470</v>
      </c>
      <c r="F19" s="331"/>
      <c r="G19" s="331"/>
      <c r="H19" s="331"/>
      <c r="I19" s="331"/>
    </row>
    <row r="20" spans="1:9" x14ac:dyDescent="0.35">
      <c r="A20" s="6"/>
      <c r="B20" s="941" t="s">
        <v>192</v>
      </c>
      <c r="C20" s="941"/>
      <c r="D20" s="531">
        <v>1543973</v>
      </c>
      <c r="E20" s="527">
        <v>9068353</v>
      </c>
      <c r="F20" s="1"/>
      <c r="G20" s="1"/>
      <c r="H20" s="1"/>
      <c r="I20" s="1"/>
    </row>
    <row r="21" spans="1:9" ht="15" thickBot="1" x14ac:dyDescent="0.4">
      <c r="A21" s="6"/>
      <c r="B21" s="942" t="s">
        <v>246</v>
      </c>
      <c r="C21" s="942"/>
      <c r="D21" s="528">
        <v>4393841</v>
      </c>
      <c r="E21" s="529">
        <v>32113117</v>
      </c>
      <c r="F21" s="1"/>
      <c r="G21" s="1"/>
      <c r="H21" s="1"/>
      <c r="I21" s="1"/>
    </row>
    <row r="22" spans="1:9" s="10" customFormat="1" x14ac:dyDescent="0.35">
      <c r="A22" s="12"/>
      <c r="B22" s="939" t="s">
        <v>197</v>
      </c>
      <c r="C22" s="940"/>
      <c r="D22" s="530">
        <v>164820</v>
      </c>
      <c r="E22" s="532">
        <v>13993244</v>
      </c>
      <c r="F22" s="331"/>
      <c r="G22" s="331"/>
      <c r="H22" s="331"/>
      <c r="I22" s="331"/>
    </row>
    <row r="23" spans="1:9" x14ac:dyDescent="0.35">
      <c r="A23" s="6"/>
      <c r="B23" s="941" t="s">
        <v>192</v>
      </c>
      <c r="C23" s="941"/>
      <c r="D23" s="531">
        <v>0</v>
      </c>
      <c r="E23" s="533">
        <v>13877698</v>
      </c>
      <c r="F23" s="1"/>
      <c r="G23" s="1"/>
      <c r="H23" s="1"/>
      <c r="I23" s="1"/>
    </row>
    <row r="24" spans="1:9" ht="15" thickBot="1" x14ac:dyDescent="0.4">
      <c r="A24" s="6"/>
      <c r="B24" s="942" t="s">
        <v>246</v>
      </c>
      <c r="C24" s="943"/>
      <c r="D24" s="528">
        <v>164820</v>
      </c>
      <c r="E24" s="529">
        <v>115546</v>
      </c>
      <c r="F24" s="1"/>
      <c r="G24" s="1"/>
      <c r="H24" s="1"/>
      <c r="I24" s="1"/>
    </row>
    <row r="25" spans="1:9" s="10" customFormat="1" x14ac:dyDescent="0.35">
      <c r="A25" s="12"/>
      <c r="B25" s="944" t="s">
        <v>21</v>
      </c>
      <c r="C25" s="944"/>
      <c r="D25" s="524">
        <v>1660962</v>
      </c>
      <c r="E25" s="532">
        <v>24542632</v>
      </c>
      <c r="F25" s="331"/>
      <c r="G25" s="331"/>
      <c r="H25" s="331"/>
      <c r="I25" s="331"/>
    </row>
    <row r="26" spans="1:9" x14ac:dyDescent="0.35">
      <c r="A26" s="6"/>
      <c r="B26" s="945" t="s">
        <v>192</v>
      </c>
      <c r="C26" s="946"/>
      <c r="D26" s="526">
        <v>1612602</v>
      </c>
      <c r="E26" s="533">
        <v>15736545</v>
      </c>
      <c r="F26" s="1"/>
      <c r="G26" s="1"/>
      <c r="H26" s="1"/>
      <c r="I26" s="1"/>
    </row>
    <row r="27" spans="1:9" ht="15" thickBot="1" x14ac:dyDescent="0.4">
      <c r="A27" s="6"/>
      <c r="B27" s="942" t="s">
        <v>246</v>
      </c>
      <c r="C27" s="942"/>
      <c r="D27" s="528">
        <v>48360</v>
      </c>
      <c r="E27" s="529">
        <v>8806087</v>
      </c>
      <c r="F27" s="1"/>
      <c r="G27" s="1"/>
      <c r="H27" s="1"/>
      <c r="I27" s="1"/>
    </row>
    <row r="28" spans="1:9" s="10" customFormat="1" ht="15" thickBot="1" x14ac:dyDescent="0.4">
      <c r="A28" s="12"/>
      <c r="B28" s="947" t="s">
        <v>247</v>
      </c>
      <c r="C28" s="947"/>
      <c r="D28" s="534">
        <v>17421439</v>
      </c>
      <c r="E28" s="535">
        <v>485679048</v>
      </c>
      <c r="F28" s="331"/>
      <c r="G28" s="331"/>
      <c r="H28" s="331"/>
      <c r="I28" s="331"/>
    </row>
    <row r="30" spans="1:9" ht="27.75" customHeight="1" x14ac:dyDescent="0.35">
      <c r="B30" s="948" t="s">
        <v>248</v>
      </c>
      <c r="C30" s="948"/>
      <c r="D30" s="948"/>
      <c r="E30" s="948"/>
    </row>
    <row r="31" spans="1:9" ht="15.5" x14ac:dyDescent="0.35">
      <c r="B31" s="797" t="s">
        <v>119</v>
      </c>
      <c r="C31" s="797"/>
      <c r="D31" s="797"/>
      <c r="E31" s="797"/>
    </row>
  </sheetData>
  <customSheetViews>
    <customSheetView guid="{6654F670-CAA9-4C4A-B3D9-226402FC46BC}" scale="80" showPageBreaks="1" printArea="1" view="pageLayout">
      <selection activeCell="D10" sqref="D10:E28"/>
      <pageMargins left="0.70866141732283472" right="0.70866141732283472" top="0.9055118110236221" bottom="0.74803149606299213" header="0.31496062992125984" footer="0.31496062992125984"/>
      <pageSetup paperSize="9" scale="80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cale="80" showPageBreaks="1" printArea="1" view="pageLayout">
      <selection activeCell="D10" sqref="D10:E28"/>
      <pageMargins left="0.70866141732283472" right="0.70866141732283472" top="0.9055118110236221" bottom="0.74803149606299213" header="0.31496062992125984" footer="0.31496062992125984"/>
      <pageSetup paperSize="9" scale="80" orientation="portrait"/>
      <headerFooter>
        <oddHeader>&amp;L&amp;G&amp;RCAMPAÑA: 2025/2026. MES: JULIO
Fecha de emisión de datos: 25/08/2026</oddHeader>
      </headerFooter>
    </customSheetView>
  </customSheetViews>
  <mergeCells count="24">
    <mergeCell ref="B18:C18"/>
    <mergeCell ref="B3:E5"/>
    <mergeCell ref="B7:E7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1:E31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30:E30"/>
  </mergeCells>
  <pageMargins left="0.70866141732283472" right="0.70866141732283472" top="0.9055118110236221" bottom="0.74803149606299213" header="0.31496062992125984" footer="0.31496062992125984"/>
  <pageSetup paperSize="9" scale="80" orientation="portrait" r:id="rId1"/>
  <headerFooter>
    <oddHeader>&amp;L&amp;G&amp;RCAMPAÑA: 2025/2026. MES: JULIO
Fecha de emisión de datos: 25/08/2026</oddHeader>
  </headerFooter>
  <legacyDrawingHF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J55"/>
  <sheetViews>
    <sheetView view="pageLayout" zoomScale="80" zoomScaleNormal="100" zoomScalePageLayoutView="80" workbookViewId="0">
      <selection activeCell="B2" sqref="B2:I4"/>
    </sheetView>
  </sheetViews>
  <sheetFormatPr baseColWidth="10" defaultColWidth="11.453125" defaultRowHeight="14.5" x14ac:dyDescent="0.35"/>
  <cols>
    <col min="1" max="1" width="8.7265625" customWidth="1"/>
    <col min="2" max="2" width="25" bestFit="1" customWidth="1"/>
    <col min="3" max="3" width="12.54296875" customWidth="1"/>
    <col min="4" max="4" width="10.26953125" customWidth="1"/>
    <col min="5" max="5" width="10.453125" customWidth="1"/>
    <col min="6" max="6" width="9.26953125" customWidth="1"/>
    <col min="7" max="7" width="12.54296875" customWidth="1"/>
    <col min="8" max="8" width="12.453125" customWidth="1"/>
    <col min="9" max="9" width="10" customWidth="1"/>
    <col min="10" max="10" width="9.26953125" customWidth="1"/>
  </cols>
  <sheetData>
    <row r="2" spans="1:10" ht="15" customHeight="1" x14ac:dyDescent="0.35">
      <c r="B2" s="761" t="s">
        <v>249</v>
      </c>
      <c r="C2" s="761"/>
      <c r="D2" s="761"/>
      <c r="E2" s="761"/>
      <c r="F2" s="761"/>
      <c r="G2" s="761"/>
      <c r="H2" s="761"/>
      <c r="I2" s="761"/>
    </row>
    <row r="3" spans="1:10" ht="15" customHeight="1" x14ac:dyDescent="0.35">
      <c r="B3" s="761"/>
      <c r="C3" s="761"/>
      <c r="D3" s="761"/>
      <c r="E3" s="761"/>
      <c r="F3" s="761"/>
      <c r="G3" s="761"/>
      <c r="H3" s="761"/>
      <c r="I3" s="761"/>
    </row>
    <row r="4" spans="1:10" ht="25.5" customHeight="1" x14ac:dyDescent="0.35">
      <c r="B4" s="761"/>
      <c r="C4" s="761"/>
      <c r="D4" s="761"/>
      <c r="E4" s="761"/>
      <c r="F4" s="761"/>
      <c r="G4" s="761"/>
      <c r="H4" s="761"/>
      <c r="I4" s="761"/>
    </row>
    <row r="5" spans="1:10" ht="15" thickBot="1" x14ac:dyDescent="0.4">
      <c r="B5" s="494"/>
      <c r="C5" s="494"/>
      <c r="D5" s="494"/>
      <c r="E5" s="494"/>
      <c r="F5" s="494"/>
      <c r="G5" s="494"/>
      <c r="H5" s="494"/>
      <c r="I5" s="494"/>
    </row>
    <row r="6" spans="1:10" ht="16" thickBot="1" x14ac:dyDescent="0.4">
      <c r="B6" s="909" t="s">
        <v>250</v>
      </c>
      <c r="C6" s="910"/>
      <c r="D6" s="910"/>
      <c r="E6" s="910"/>
      <c r="F6" s="910"/>
      <c r="G6" s="910"/>
      <c r="H6" s="910"/>
      <c r="I6" s="911"/>
    </row>
    <row r="7" spans="1:10" ht="15" thickBot="1" x14ac:dyDescent="0.4">
      <c r="B7" s="7"/>
      <c r="C7" s="7"/>
      <c r="D7" s="536"/>
      <c r="E7" s="536"/>
      <c r="F7" s="536"/>
      <c r="G7" s="313"/>
      <c r="H7" s="313"/>
    </row>
    <row r="8" spans="1:10" ht="15" thickBot="1" x14ac:dyDescent="0.4">
      <c r="B8" s="537"/>
      <c r="C8" s="538"/>
      <c r="D8" s="958" t="s">
        <v>251</v>
      </c>
      <c r="E8" s="960"/>
      <c r="F8" s="959"/>
      <c r="G8" s="961" t="s">
        <v>252</v>
      </c>
      <c r="H8" s="961"/>
      <c r="I8" s="962"/>
    </row>
    <row r="9" spans="1:10" ht="15" thickBot="1" x14ac:dyDescent="0.4">
      <c r="A9" s="6"/>
      <c r="B9" s="539" t="s">
        <v>54</v>
      </c>
      <c r="C9" s="539" t="s">
        <v>4</v>
      </c>
      <c r="D9" s="540" t="s">
        <v>161</v>
      </c>
      <c r="E9" s="541" t="s">
        <v>162</v>
      </c>
      <c r="F9" s="540" t="s">
        <v>97</v>
      </c>
      <c r="G9" s="540" t="s">
        <v>161</v>
      </c>
      <c r="H9" s="541" t="s">
        <v>162</v>
      </c>
      <c r="I9" s="540" t="s">
        <v>97</v>
      </c>
    </row>
    <row r="10" spans="1:10" x14ac:dyDescent="0.35">
      <c r="A10" s="6"/>
      <c r="B10" s="955" t="s">
        <v>74</v>
      </c>
      <c r="C10" s="542" t="s">
        <v>219</v>
      </c>
      <c r="D10" s="421">
        <v>2</v>
      </c>
      <c r="E10" s="543">
        <v>2</v>
      </c>
      <c r="F10" s="423">
        <v>0</v>
      </c>
      <c r="G10" s="424">
        <v>1263.4000000000001</v>
      </c>
      <c r="H10" s="424">
        <v>124.4</v>
      </c>
      <c r="I10" s="544">
        <v>9.155948553054662</v>
      </c>
      <c r="J10" s="4"/>
    </row>
    <row r="11" spans="1:10" x14ac:dyDescent="0.35">
      <c r="A11" s="6"/>
      <c r="B11" s="957"/>
      <c r="C11" s="545" t="s">
        <v>230</v>
      </c>
      <c r="D11" s="430">
        <v>1</v>
      </c>
      <c r="E11" s="546">
        <v>1</v>
      </c>
      <c r="F11" s="432">
        <v>0</v>
      </c>
      <c r="G11" s="433">
        <v>59.3</v>
      </c>
      <c r="H11" s="433">
        <v>74.2</v>
      </c>
      <c r="I11" s="544">
        <v>-0.20080862533692728</v>
      </c>
    </row>
    <row r="12" spans="1:10" x14ac:dyDescent="0.35">
      <c r="A12" s="6"/>
      <c r="B12" s="957"/>
      <c r="C12" s="545" t="s">
        <v>82</v>
      </c>
      <c r="D12" s="430">
        <v>36</v>
      </c>
      <c r="E12" s="546">
        <v>36</v>
      </c>
      <c r="F12" s="432">
        <v>0</v>
      </c>
      <c r="G12" s="433">
        <v>55854.1</v>
      </c>
      <c r="H12" s="433">
        <v>70965.100000000006</v>
      </c>
      <c r="I12" s="544">
        <v>-0.21293565428640285</v>
      </c>
    </row>
    <row r="13" spans="1:10" x14ac:dyDescent="0.35">
      <c r="A13" s="6"/>
      <c r="B13" s="957"/>
      <c r="C13" s="545" t="s">
        <v>6</v>
      </c>
      <c r="D13" s="430">
        <v>1</v>
      </c>
      <c r="E13" s="546">
        <v>1</v>
      </c>
      <c r="F13" s="432">
        <v>0</v>
      </c>
      <c r="G13" s="433">
        <v>98.9</v>
      </c>
      <c r="H13" s="433">
        <v>0</v>
      </c>
      <c r="I13" s="544">
        <v>98.9</v>
      </c>
    </row>
    <row r="14" spans="1:10" x14ac:dyDescent="0.35">
      <c r="A14" s="6"/>
      <c r="B14" s="957"/>
      <c r="C14" s="545" t="s">
        <v>7</v>
      </c>
      <c r="D14" s="430">
        <v>3</v>
      </c>
      <c r="E14" s="546">
        <v>2</v>
      </c>
      <c r="F14" s="432">
        <v>0.5</v>
      </c>
      <c r="G14" s="433">
        <v>5793.2</v>
      </c>
      <c r="H14" s="433">
        <v>3768.4</v>
      </c>
      <c r="I14" s="544">
        <v>0.53731026430315243</v>
      </c>
    </row>
    <row r="15" spans="1:10" x14ac:dyDescent="0.35">
      <c r="A15" s="6"/>
      <c r="B15" s="957"/>
      <c r="C15" s="545" t="s">
        <v>83</v>
      </c>
      <c r="D15" s="430">
        <v>7</v>
      </c>
      <c r="E15" s="546">
        <v>6</v>
      </c>
      <c r="F15" s="432">
        <v>0.16666666666666666</v>
      </c>
      <c r="G15" s="433">
        <v>447.1</v>
      </c>
      <c r="H15" s="433">
        <v>452.9</v>
      </c>
      <c r="I15" s="544">
        <v>-1.2806359019651038E-2</v>
      </c>
    </row>
    <row r="16" spans="1:10" x14ac:dyDescent="0.35">
      <c r="A16" s="6"/>
      <c r="B16" s="957"/>
      <c r="C16" s="545" t="s">
        <v>84</v>
      </c>
      <c r="D16" s="430">
        <v>29</v>
      </c>
      <c r="E16" s="546">
        <v>31</v>
      </c>
      <c r="F16" s="432">
        <v>-6.4516129032258063E-2</v>
      </c>
      <c r="G16" s="433">
        <v>47285.3</v>
      </c>
      <c r="H16" s="433">
        <v>49875.199999999997</v>
      </c>
      <c r="I16" s="544">
        <v>-5.1927611317849239E-2</v>
      </c>
    </row>
    <row r="17" spans="1:9" x14ac:dyDescent="0.35">
      <c r="A17" s="6"/>
      <c r="B17" s="957"/>
      <c r="C17" s="547" t="s">
        <v>8</v>
      </c>
      <c r="D17" s="436">
        <v>134</v>
      </c>
      <c r="E17" s="548">
        <v>136</v>
      </c>
      <c r="F17" s="438">
        <v>-1.4705882352941176E-2</v>
      </c>
      <c r="G17" s="439">
        <v>286692.30000000005</v>
      </c>
      <c r="H17" s="439">
        <v>318912.2</v>
      </c>
      <c r="I17" s="549">
        <v>-0.10103062849273255</v>
      </c>
    </row>
    <row r="18" spans="1:9" s="10" customFormat="1" ht="15" thickBot="1" x14ac:dyDescent="0.4">
      <c r="A18" s="12"/>
      <c r="B18" s="956"/>
      <c r="C18" s="550" t="s">
        <v>9</v>
      </c>
      <c r="D18" s="443">
        <v>213</v>
      </c>
      <c r="E18" s="551">
        <v>215</v>
      </c>
      <c r="F18" s="445">
        <v>-9.3023255813953487E-3</v>
      </c>
      <c r="G18" s="446">
        <v>397493.60000000003</v>
      </c>
      <c r="H18" s="446">
        <v>444172.4</v>
      </c>
      <c r="I18" s="552">
        <v>-0.10509162658463256</v>
      </c>
    </row>
    <row r="19" spans="1:9" x14ac:dyDescent="0.35">
      <c r="A19" s="6"/>
      <c r="B19" s="955" t="s">
        <v>75</v>
      </c>
      <c r="C19" s="545" t="s">
        <v>11</v>
      </c>
      <c r="D19" s="430">
        <v>21</v>
      </c>
      <c r="E19" s="546">
        <v>21</v>
      </c>
      <c r="F19" s="432">
        <v>0</v>
      </c>
      <c r="G19" s="433">
        <v>4869.3</v>
      </c>
      <c r="H19" s="433">
        <v>610.20000000000005</v>
      </c>
      <c r="I19" s="544">
        <v>6.9798426745329403</v>
      </c>
    </row>
    <row r="20" spans="1:9" x14ac:dyDescent="0.35">
      <c r="A20" s="6"/>
      <c r="B20" s="957"/>
      <c r="C20" s="547" t="s">
        <v>12</v>
      </c>
      <c r="D20" s="436">
        <v>11</v>
      </c>
      <c r="E20" s="548">
        <v>11</v>
      </c>
      <c r="F20" s="438">
        <v>0</v>
      </c>
      <c r="G20" s="439">
        <v>809.7</v>
      </c>
      <c r="H20" s="439">
        <v>217.8</v>
      </c>
      <c r="I20" s="549">
        <v>2.7176308539944904</v>
      </c>
    </row>
    <row r="21" spans="1:9" s="10" customFormat="1" ht="15" thickBot="1" x14ac:dyDescent="0.4">
      <c r="A21" s="12"/>
      <c r="B21" s="956"/>
      <c r="C21" s="550" t="s">
        <v>9</v>
      </c>
      <c r="D21" s="443">
        <v>32</v>
      </c>
      <c r="E21" s="551">
        <v>32</v>
      </c>
      <c r="F21" s="445">
        <v>0</v>
      </c>
      <c r="G21" s="446">
        <v>5679</v>
      </c>
      <c r="H21" s="446">
        <v>828</v>
      </c>
      <c r="I21" s="552">
        <v>5.8586956521739131</v>
      </c>
    </row>
    <row r="22" spans="1:9" x14ac:dyDescent="0.35">
      <c r="A22" s="6"/>
      <c r="B22" s="955" t="s">
        <v>13</v>
      </c>
      <c r="C22" s="553" t="s">
        <v>13</v>
      </c>
      <c r="D22" s="460">
        <v>6</v>
      </c>
      <c r="E22" s="554">
        <v>5</v>
      </c>
      <c r="F22" s="462">
        <v>0.2</v>
      </c>
      <c r="G22" s="463">
        <v>25.1</v>
      </c>
      <c r="H22" s="463">
        <v>0.4</v>
      </c>
      <c r="I22" s="555">
        <v>61.750000000000007</v>
      </c>
    </row>
    <row r="23" spans="1:9" s="10" customFormat="1" ht="15" thickBot="1" x14ac:dyDescent="0.4">
      <c r="A23" s="12"/>
      <c r="B23" s="956"/>
      <c r="C23" s="550" t="s">
        <v>9</v>
      </c>
      <c r="D23" s="443">
        <v>6</v>
      </c>
      <c r="E23" s="551">
        <v>5</v>
      </c>
      <c r="F23" s="445">
        <v>0.2</v>
      </c>
      <c r="G23" s="446">
        <v>25.1</v>
      </c>
      <c r="H23" s="446">
        <v>0.4</v>
      </c>
      <c r="I23" s="552">
        <v>61.750000000000007</v>
      </c>
    </row>
    <row r="24" spans="1:9" s="10" customFormat="1" x14ac:dyDescent="0.35">
      <c r="A24" s="12"/>
      <c r="B24" s="955" t="s">
        <v>151</v>
      </c>
      <c r="C24" s="553" t="s">
        <v>152</v>
      </c>
      <c r="D24" s="460">
        <v>3</v>
      </c>
      <c r="E24" s="554">
        <v>2</v>
      </c>
      <c r="F24" s="462">
        <v>0.5</v>
      </c>
      <c r="G24" s="463">
        <v>0.9</v>
      </c>
      <c r="H24" s="463">
        <v>0</v>
      </c>
      <c r="I24" s="555">
        <v>0.9</v>
      </c>
    </row>
    <row r="25" spans="1:9" s="10" customFormat="1" ht="15" thickBot="1" x14ac:dyDescent="0.4">
      <c r="A25" s="12"/>
      <c r="B25" s="956"/>
      <c r="C25" s="550" t="s">
        <v>9</v>
      </c>
      <c r="D25" s="443">
        <v>3</v>
      </c>
      <c r="E25" s="551">
        <v>2</v>
      </c>
      <c r="F25" s="445">
        <v>0.5</v>
      </c>
      <c r="G25" s="446">
        <v>0.9</v>
      </c>
      <c r="H25" s="446">
        <v>0</v>
      </c>
      <c r="I25" s="552">
        <v>0.9</v>
      </c>
    </row>
    <row r="26" spans="1:9" x14ac:dyDescent="0.35">
      <c r="A26" s="6"/>
      <c r="B26" s="955" t="s">
        <v>73</v>
      </c>
      <c r="C26" s="545" t="s">
        <v>16</v>
      </c>
      <c r="D26" s="430">
        <v>3</v>
      </c>
      <c r="E26" s="546">
        <v>3</v>
      </c>
      <c r="F26" s="432">
        <v>0</v>
      </c>
      <c r="G26" s="433">
        <v>79.400000000000006</v>
      </c>
      <c r="H26" s="433">
        <v>303</v>
      </c>
      <c r="I26" s="544">
        <v>-0.73795379537953798</v>
      </c>
    </row>
    <row r="27" spans="1:9" x14ac:dyDescent="0.35">
      <c r="A27" s="6"/>
      <c r="B27" s="957"/>
      <c r="C27" s="545" t="s">
        <v>17</v>
      </c>
      <c r="D27" s="430">
        <v>4</v>
      </c>
      <c r="E27" s="546">
        <v>4</v>
      </c>
      <c r="F27" s="432">
        <v>0</v>
      </c>
      <c r="G27" s="433">
        <v>19.100000000000001</v>
      </c>
      <c r="H27" s="433">
        <v>0</v>
      </c>
      <c r="I27" s="544">
        <v>19.100000000000001</v>
      </c>
    </row>
    <row r="28" spans="1:9" x14ac:dyDescent="0.35">
      <c r="A28" s="6"/>
      <c r="B28" s="957"/>
      <c r="C28" s="545" t="s">
        <v>19</v>
      </c>
      <c r="D28" s="430">
        <v>2</v>
      </c>
      <c r="E28" s="546">
        <v>2</v>
      </c>
      <c r="F28" s="432">
        <v>0</v>
      </c>
      <c r="G28" s="433">
        <v>664.3</v>
      </c>
      <c r="H28" s="433">
        <v>586</v>
      </c>
      <c r="I28" s="544">
        <v>0.13361774744027297</v>
      </c>
    </row>
    <row r="29" spans="1:9" x14ac:dyDescent="0.35">
      <c r="A29" s="6"/>
      <c r="B29" s="957"/>
      <c r="C29" s="547" t="s">
        <v>21</v>
      </c>
      <c r="D29" s="436">
        <v>1</v>
      </c>
      <c r="E29" s="548">
        <v>1</v>
      </c>
      <c r="F29" s="438">
        <v>0</v>
      </c>
      <c r="G29" s="439">
        <v>80.599999999999994</v>
      </c>
      <c r="H29" s="439">
        <v>0</v>
      </c>
      <c r="I29" s="549">
        <v>80.599999999999994</v>
      </c>
    </row>
    <row r="30" spans="1:9" s="10" customFormat="1" ht="15" thickBot="1" x14ac:dyDescent="0.4">
      <c r="A30" s="12"/>
      <c r="B30" s="956"/>
      <c r="C30" s="550" t="s">
        <v>9</v>
      </c>
      <c r="D30" s="443">
        <v>10</v>
      </c>
      <c r="E30" s="551">
        <v>10</v>
      </c>
      <c r="F30" s="445">
        <v>0</v>
      </c>
      <c r="G30" s="446">
        <v>843.4</v>
      </c>
      <c r="H30" s="446">
        <v>889</v>
      </c>
      <c r="I30" s="552">
        <v>-5.1293588301462342E-2</v>
      </c>
    </row>
    <row r="31" spans="1:9" s="10" customFormat="1" x14ac:dyDescent="0.35">
      <c r="A31" s="12"/>
      <c r="B31" s="963" t="s">
        <v>76</v>
      </c>
      <c r="C31" s="545" t="s">
        <v>154</v>
      </c>
      <c r="D31" s="430">
        <v>1</v>
      </c>
      <c r="E31" s="546">
        <v>1</v>
      </c>
      <c r="F31" s="432">
        <v>0</v>
      </c>
      <c r="G31" s="433">
        <v>0.1</v>
      </c>
      <c r="H31" s="433">
        <v>0.2</v>
      </c>
      <c r="I31" s="544">
        <v>-0.5</v>
      </c>
    </row>
    <row r="32" spans="1:9" x14ac:dyDescent="0.35">
      <c r="A32" s="6"/>
      <c r="B32" s="964"/>
      <c r="C32" s="547" t="s">
        <v>20</v>
      </c>
      <c r="D32" s="436">
        <v>3</v>
      </c>
      <c r="E32" s="548">
        <v>3</v>
      </c>
      <c r="F32" s="438">
        <v>0</v>
      </c>
      <c r="G32" s="439">
        <v>158.69999999999999</v>
      </c>
      <c r="H32" s="439">
        <v>221.5</v>
      </c>
      <c r="I32" s="549">
        <v>-0.28352144469525964</v>
      </c>
    </row>
    <row r="33" spans="1:9" s="10" customFormat="1" ht="15" thickBot="1" x14ac:dyDescent="0.4">
      <c r="A33" s="12"/>
      <c r="B33" s="965"/>
      <c r="C33" s="550" t="s">
        <v>9</v>
      </c>
      <c r="D33" s="443">
        <v>4</v>
      </c>
      <c r="E33" s="551">
        <v>4</v>
      </c>
      <c r="F33" s="445">
        <v>0</v>
      </c>
      <c r="G33" s="446">
        <v>158.79999999999998</v>
      </c>
      <c r="H33" s="446">
        <v>221.7</v>
      </c>
      <c r="I33" s="552">
        <v>-0.28371673432566535</v>
      </c>
    </row>
    <row r="34" spans="1:9" x14ac:dyDescent="0.35">
      <c r="A34" s="6"/>
      <c r="B34" s="955" t="s">
        <v>22</v>
      </c>
      <c r="C34" s="545" t="s">
        <v>26</v>
      </c>
      <c r="D34" s="430">
        <v>11</v>
      </c>
      <c r="E34" s="546">
        <v>11</v>
      </c>
      <c r="F34" s="432">
        <v>0</v>
      </c>
      <c r="G34" s="433">
        <v>1005.5</v>
      </c>
      <c r="H34" s="433">
        <v>600</v>
      </c>
      <c r="I34" s="544">
        <v>0.67583333333333329</v>
      </c>
    </row>
    <row r="35" spans="1:9" x14ac:dyDescent="0.35">
      <c r="A35" s="6"/>
      <c r="B35" s="957"/>
      <c r="C35" s="547" t="s">
        <v>21</v>
      </c>
      <c r="D35" s="436">
        <v>2</v>
      </c>
      <c r="E35" s="548">
        <v>2</v>
      </c>
      <c r="F35" s="438">
        <v>0</v>
      </c>
      <c r="G35" s="439">
        <v>69.900000000000006</v>
      </c>
      <c r="H35" s="439">
        <v>21.4</v>
      </c>
      <c r="I35" s="549">
        <v>2.2663551401869162</v>
      </c>
    </row>
    <row r="36" spans="1:9" s="10" customFormat="1" ht="15" thickBot="1" x14ac:dyDescent="0.4">
      <c r="A36" s="12"/>
      <c r="B36" s="956"/>
      <c r="C36" s="550" t="s">
        <v>9</v>
      </c>
      <c r="D36" s="443">
        <v>13</v>
      </c>
      <c r="E36" s="551">
        <v>13</v>
      </c>
      <c r="F36" s="445">
        <v>0</v>
      </c>
      <c r="G36" s="446">
        <v>1075.4000000000001</v>
      </c>
      <c r="H36" s="446">
        <v>621.4</v>
      </c>
      <c r="I36" s="552">
        <v>0.73060830383006137</v>
      </c>
    </row>
    <row r="37" spans="1:9" x14ac:dyDescent="0.35">
      <c r="A37" s="6"/>
      <c r="B37" s="955" t="s">
        <v>27</v>
      </c>
      <c r="C37" s="545" t="s">
        <v>28</v>
      </c>
      <c r="D37" s="430">
        <v>59</v>
      </c>
      <c r="E37" s="546">
        <v>60</v>
      </c>
      <c r="F37" s="432">
        <v>-1.6666666666666666E-2</v>
      </c>
      <c r="G37" s="433">
        <v>52578.5</v>
      </c>
      <c r="H37" s="433">
        <v>46328.2</v>
      </c>
      <c r="I37" s="544">
        <v>0.13491350840308933</v>
      </c>
    </row>
    <row r="38" spans="1:9" x14ac:dyDescent="0.35">
      <c r="A38" s="6"/>
      <c r="B38" s="957"/>
      <c r="C38" s="547" t="s">
        <v>79</v>
      </c>
      <c r="D38" s="436">
        <v>35</v>
      </c>
      <c r="E38" s="548">
        <v>35</v>
      </c>
      <c r="F38" s="438">
        <v>0</v>
      </c>
      <c r="G38" s="439">
        <v>41498.199999999997</v>
      </c>
      <c r="H38" s="439">
        <v>37767.9</v>
      </c>
      <c r="I38" s="549">
        <v>9.8769060498465511E-2</v>
      </c>
    </row>
    <row r="39" spans="1:9" s="10" customFormat="1" ht="15" thickBot="1" x14ac:dyDescent="0.4">
      <c r="A39" s="12"/>
      <c r="B39" s="956"/>
      <c r="C39" s="550" t="s">
        <v>9</v>
      </c>
      <c r="D39" s="443">
        <v>94</v>
      </c>
      <c r="E39" s="551">
        <v>95</v>
      </c>
      <c r="F39" s="445">
        <v>-1.0526315789473684E-2</v>
      </c>
      <c r="G39" s="446">
        <v>94076.7</v>
      </c>
      <c r="H39" s="446">
        <v>84096.1</v>
      </c>
      <c r="I39" s="552">
        <v>0.11868089007694757</v>
      </c>
    </row>
    <row r="40" spans="1:9" x14ac:dyDescent="0.35">
      <c r="A40" s="6"/>
      <c r="B40" s="955" t="s">
        <v>32</v>
      </c>
      <c r="C40" s="553" t="s">
        <v>32</v>
      </c>
      <c r="D40" s="460">
        <v>3</v>
      </c>
      <c r="E40" s="554">
        <v>3</v>
      </c>
      <c r="F40" s="462">
        <v>0</v>
      </c>
      <c r="G40" s="463">
        <v>657.9</v>
      </c>
      <c r="H40" s="463">
        <v>986.8</v>
      </c>
      <c r="I40" s="555">
        <v>-0.33329955411430889</v>
      </c>
    </row>
    <row r="41" spans="1:9" s="10" customFormat="1" ht="15" thickBot="1" x14ac:dyDescent="0.4">
      <c r="A41" s="12"/>
      <c r="B41" s="956"/>
      <c r="C41" s="550" t="s">
        <v>9</v>
      </c>
      <c r="D41" s="443">
        <v>3</v>
      </c>
      <c r="E41" s="551">
        <v>3</v>
      </c>
      <c r="F41" s="445">
        <v>0</v>
      </c>
      <c r="G41" s="446">
        <v>657.9</v>
      </c>
      <c r="H41" s="446">
        <v>986.8</v>
      </c>
      <c r="I41" s="552">
        <v>-0.33329955411430889</v>
      </c>
    </row>
    <row r="42" spans="1:9" x14ac:dyDescent="0.35">
      <c r="A42" s="6"/>
      <c r="B42" s="955" t="s">
        <v>33</v>
      </c>
      <c r="C42" s="553" t="s">
        <v>33</v>
      </c>
      <c r="D42" s="460">
        <v>13</v>
      </c>
      <c r="E42" s="554">
        <v>13</v>
      </c>
      <c r="F42" s="462">
        <v>0</v>
      </c>
      <c r="G42" s="463">
        <v>1700.8000000000002</v>
      </c>
      <c r="H42" s="463">
        <v>500.2</v>
      </c>
      <c r="I42" s="555">
        <v>2.4002399040383846</v>
      </c>
    </row>
    <row r="43" spans="1:9" s="10" customFormat="1" ht="15" thickBot="1" x14ac:dyDescent="0.4">
      <c r="A43" s="12"/>
      <c r="B43" s="956"/>
      <c r="C43" s="550" t="s">
        <v>9</v>
      </c>
      <c r="D43" s="443">
        <v>13</v>
      </c>
      <c r="E43" s="551">
        <v>13</v>
      </c>
      <c r="F43" s="445">
        <v>0</v>
      </c>
      <c r="G43" s="446">
        <v>1700.8000000000002</v>
      </c>
      <c r="H43" s="446">
        <v>500.2</v>
      </c>
      <c r="I43" s="552">
        <v>2.4002399040383846</v>
      </c>
    </row>
    <row r="44" spans="1:9" x14ac:dyDescent="0.35">
      <c r="A44" s="6"/>
      <c r="B44" s="955" t="s">
        <v>34</v>
      </c>
      <c r="C44" s="553" t="s">
        <v>34</v>
      </c>
      <c r="D44" s="460">
        <v>2</v>
      </c>
      <c r="E44" s="554">
        <v>1</v>
      </c>
      <c r="F44" s="462">
        <v>1</v>
      </c>
      <c r="G44" s="463">
        <v>0</v>
      </c>
      <c r="H44" s="463">
        <v>0</v>
      </c>
      <c r="I44" s="555">
        <v>0</v>
      </c>
    </row>
    <row r="45" spans="1:9" s="10" customFormat="1" ht="15" thickBot="1" x14ac:dyDescent="0.4">
      <c r="A45" s="12"/>
      <c r="B45" s="956"/>
      <c r="C45" s="550" t="s">
        <v>9</v>
      </c>
      <c r="D45" s="443">
        <v>2</v>
      </c>
      <c r="E45" s="551">
        <v>1</v>
      </c>
      <c r="F45" s="445">
        <v>1</v>
      </c>
      <c r="G45" s="446">
        <v>0</v>
      </c>
      <c r="H45" s="446">
        <v>0</v>
      </c>
      <c r="I45" s="552">
        <v>0</v>
      </c>
    </row>
    <row r="46" spans="1:9" x14ac:dyDescent="0.35">
      <c r="A46" s="6"/>
      <c r="B46" s="955" t="s">
        <v>87</v>
      </c>
      <c r="C46" s="545" t="s">
        <v>14</v>
      </c>
      <c r="D46" s="430">
        <v>3</v>
      </c>
      <c r="E46" s="546">
        <v>3</v>
      </c>
      <c r="F46" s="432">
        <v>0</v>
      </c>
      <c r="G46" s="433">
        <v>509.4</v>
      </c>
      <c r="H46" s="433">
        <v>174.7</v>
      </c>
      <c r="I46" s="544">
        <v>1.9158557527189468</v>
      </c>
    </row>
    <row r="47" spans="1:9" x14ac:dyDescent="0.35">
      <c r="A47" s="6"/>
      <c r="B47" s="957"/>
      <c r="C47" s="547" t="s">
        <v>21</v>
      </c>
      <c r="D47" s="436">
        <v>5</v>
      </c>
      <c r="E47" s="548">
        <v>5</v>
      </c>
      <c r="F47" s="438">
        <v>0</v>
      </c>
      <c r="G47" s="439">
        <v>879.4</v>
      </c>
      <c r="H47" s="439">
        <v>703.6</v>
      </c>
      <c r="I47" s="549">
        <v>0.24985787379192717</v>
      </c>
    </row>
    <row r="48" spans="1:9" s="10" customFormat="1" ht="15" thickBot="1" x14ac:dyDescent="0.4">
      <c r="A48" s="12"/>
      <c r="B48" s="956"/>
      <c r="C48" s="550" t="s">
        <v>9</v>
      </c>
      <c r="D48" s="443">
        <v>8</v>
      </c>
      <c r="E48" s="551">
        <v>8</v>
      </c>
      <c r="F48" s="445">
        <v>0</v>
      </c>
      <c r="G48" s="446">
        <v>1388.8</v>
      </c>
      <c r="H48" s="446">
        <v>878.3</v>
      </c>
      <c r="I48" s="552">
        <v>0.58123647956279179</v>
      </c>
    </row>
    <row r="49" spans="2:9" s="10" customFormat="1" ht="15" thickBot="1" x14ac:dyDescent="0.4">
      <c r="B49" s="958" t="s">
        <v>35</v>
      </c>
      <c r="C49" s="959"/>
      <c r="D49" s="467">
        <v>401</v>
      </c>
      <c r="E49" s="467">
        <v>401</v>
      </c>
      <c r="F49" s="556">
        <v>0</v>
      </c>
      <c r="G49" s="471">
        <v>503100.40000000008</v>
      </c>
      <c r="H49" s="469">
        <v>533194.30000000016</v>
      </c>
      <c r="I49" s="556">
        <v>-5.6440775904768918E-2</v>
      </c>
    </row>
    <row r="51" spans="2:9" x14ac:dyDescent="0.35">
      <c r="B51" s="908" t="s">
        <v>239</v>
      </c>
      <c r="C51" s="908"/>
      <c r="D51" s="908"/>
      <c r="E51" s="908"/>
      <c r="F51" s="908"/>
      <c r="G51" s="908"/>
      <c r="H51" s="908"/>
      <c r="I51" s="908"/>
    </row>
    <row r="52" spans="2:9" x14ac:dyDescent="0.35">
      <c r="B52" s="908" t="s">
        <v>253</v>
      </c>
      <c r="C52" s="908"/>
      <c r="D52" s="908"/>
      <c r="E52" s="908"/>
      <c r="F52" s="908"/>
      <c r="G52" s="908"/>
      <c r="H52" s="908"/>
      <c r="I52" s="908"/>
    </row>
    <row r="53" spans="2:9" x14ac:dyDescent="0.35">
      <c r="B53" s="908" t="s">
        <v>233</v>
      </c>
      <c r="C53" s="908"/>
      <c r="D53" s="908"/>
      <c r="E53" s="908"/>
      <c r="F53" s="908"/>
      <c r="G53" s="908"/>
      <c r="H53" s="908"/>
      <c r="I53" s="908"/>
    </row>
    <row r="54" spans="2:9" x14ac:dyDescent="0.35">
      <c r="B54" s="908" t="s">
        <v>241</v>
      </c>
      <c r="C54" s="908"/>
      <c r="D54" s="908"/>
      <c r="E54" s="908"/>
      <c r="F54" s="908"/>
      <c r="G54" s="908"/>
      <c r="H54" s="908"/>
      <c r="I54" s="908"/>
    </row>
    <row r="55" spans="2:9" ht="15.5" x14ac:dyDescent="0.35">
      <c r="B55" s="791" t="s">
        <v>119</v>
      </c>
      <c r="C55" s="791"/>
      <c r="D55" s="791"/>
      <c r="E55" s="791"/>
      <c r="F55" s="791"/>
      <c r="G55" s="791"/>
      <c r="H55" s="791"/>
      <c r="I55" s="791"/>
    </row>
  </sheetData>
  <customSheetViews>
    <customSheetView guid="{6654F670-CAA9-4C4A-B3D9-226402FC46BC}" scale="80" showPageBreaks="1" printArea="1" view="pageLayout">
      <selection activeCell="D10" sqref="D10:I49"/>
      <pageMargins left="0.70866141732283472" right="0.70866141732283472" top="0.78740157480314965" bottom="0.74803149606299213" header="0.31496062992125984" footer="0.31496062992125984"/>
      <pageSetup paperSize="9" scale="69" orientation="portrait"/>
      <headerFooter>
        <oddHeader>&amp;L&amp;G&amp;RCAMPAÑA: 2025/2026. MES: JULIO
Fecha de emisión de datos: 25/08/2026</oddHeader>
      </headerFooter>
    </customSheetView>
    <customSheetView guid="{89192556-592D-44A9-BA8C-EA83608B5C0F}" scale="80" showPageBreaks="1" printArea="1" view="pageLayout">
      <selection activeCell="D10" sqref="D10:I49"/>
      <pageMargins left="0.70866141732283472" right="0.70866141732283472" top="0.78740157480314965" bottom="0.74803149606299213" header="0.31496062992125984" footer="0.31496062992125984"/>
      <pageSetup paperSize="9" scale="69" orientation="portrait"/>
      <headerFooter>
        <oddHeader>&amp;L&amp;G&amp;RCAMPAÑA: 2025/2026. MES: JULIO
Fecha de emisión de datos: 25/08/2026</oddHeader>
      </headerFooter>
    </customSheetView>
  </customSheetViews>
  <mergeCells count="22">
    <mergeCell ref="B37:B39"/>
    <mergeCell ref="B2:I4"/>
    <mergeCell ref="B6:I6"/>
    <mergeCell ref="D8:F8"/>
    <mergeCell ref="G8:I8"/>
    <mergeCell ref="B10:B18"/>
    <mergeCell ref="B19:B21"/>
    <mergeCell ref="B22:B23"/>
    <mergeCell ref="B24:B25"/>
    <mergeCell ref="B26:B30"/>
    <mergeCell ref="B31:B33"/>
    <mergeCell ref="B34:B36"/>
    <mergeCell ref="B52:I52"/>
    <mergeCell ref="B53:I53"/>
    <mergeCell ref="B54:I54"/>
    <mergeCell ref="B55:I55"/>
    <mergeCell ref="B40:B41"/>
    <mergeCell ref="B42:B43"/>
    <mergeCell ref="B44:B45"/>
    <mergeCell ref="B46:B48"/>
    <mergeCell ref="B49:C49"/>
    <mergeCell ref="B51:I51"/>
  </mergeCells>
  <pageMargins left="0.70866141732283472" right="0.70866141732283472" top="0.78740157480314965" bottom="0.74803149606299213" header="0.31496062992125984" footer="0.31496062992125984"/>
  <pageSetup paperSize="9" scale="69" orientation="portrait" r:id="rId1"/>
  <headerFooter>
    <oddHeader>&amp;L&amp;G&amp;RCAMPAÑA: 2025/2026. MES: JULIO
Fecha de emisión de datos: 25/08/2026</oddHeader>
  </headerFooter>
  <legacyDrawingHF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S59"/>
  <sheetViews>
    <sheetView view="pageLayout" zoomScale="85" zoomScaleNormal="80" zoomScaleSheetLayoutView="85" zoomScalePageLayoutView="85" workbookViewId="0">
      <selection activeCell="B1" sqref="B1:R3"/>
    </sheetView>
  </sheetViews>
  <sheetFormatPr baseColWidth="10" defaultColWidth="11.453125" defaultRowHeight="14.5" x14ac:dyDescent="0.35"/>
  <cols>
    <col min="1" max="1" width="4.81640625" customWidth="1"/>
    <col min="2" max="2" width="29.1796875" bestFit="1" customWidth="1"/>
    <col min="3" max="3" width="13.26953125" bestFit="1" customWidth="1"/>
    <col min="7" max="7" width="15.7265625" customWidth="1"/>
    <col min="8" max="8" width="12.7265625" customWidth="1"/>
    <col min="9" max="9" width="9.81640625" customWidth="1"/>
    <col min="10" max="10" width="15.453125" customWidth="1"/>
    <col min="12" max="12" width="13.54296875" customWidth="1"/>
    <col min="14" max="14" width="12.81640625" customWidth="1"/>
    <col min="16" max="16" width="9.26953125" customWidth="1"/>
    <col min="17" max="17" width="10.81640625" customWidth="1"/>
    <col min="18" max="18" width="16.26953125" customWidth="1"/>
    <col min="19" max="19" width="4.7265625" customWidth="1"/>
  </cols>
  <sheetData>
    <row r="1" spans="1:19" ht="8.25" customHeight="1" x14ac:dyDescent="0.35">
      <c r="B1" s="761" t="s">
        <v>254</v>
      </c>
      <c r="C1" s="761"/>
      <c r="D1" s="761"/>
      <c r="E1" s="761"/>
      <c r="F1" s="761"/>
      <c r="G1" s="761"/>
      <c r="H1" s="761"/>
      <c r="I1" s="761"/>
      <c r="J1" s="761"/>
      <c r="K1" s="761"/>
      <c r="L1" s="761"/>
      <c r="M1" s="761"/>
      <c r="N1" s="761"/>
      <c r="O1" s="761"/>
      <c r="P1" s="761"/>
      <c r="Q1" s="761"/>
      <c r="R1" s="761"/>
    </row>
    <row r="2" spans="1:19" ht="15" customHeight="1" x14ac:dyDescent="0.35">
      <c r="B2" s="761"/>
      <c r="C2" s="761"/>
      <c r="D2" s="761"/>
      <c r="E2" s="761"/>
      <c r="F2" s="761"/>
      <c r="G2" s="761"/>
      <c r="H2" s="761"/>
      <c r="I2" s="761"/>
      <c r="J2" s="761"/>
      <c r="K2" s="761"/>
      <c r="L2" s="761"/>
      <c r="M2" s="761"/>
      <c r="N2" s="761"/>
      <c r="O2" s="761"/>
      <c r="P2" s="761"/>
      <c r="Q2" s="761"/>
      <c r="R2" s="761"/>
    </row>
    <row r="3" spans="1:19" ht="16.5" customHeight="1" x14ac:dyDescent="0.35">
      <c r="B3" s="761"/>
      <c r="C3" s="761"/>
      <c r="D3" s="761"/>
      <c r="E3" s="761"/>
      <c r="F3" s="761"/>
      <c r="G3" s="761"/>
      <c r="H3" s="761"/>
      <c r="I3" s="761"/>
      <c r="J3" s="761"/>
      <c r="K3" s="761"/>
      <c r="L3" s="761"/>
      <c r="M3" s="761"/>
      <c r="N3" s="761"/>
      <c r="O3" s="761"/>
      <c r="P3" s="761"/>
      <c r="Q3" s="761"/>
      <c r="R3" s="761"/>
    </row>
    <row r="4" spans="1:19" ht="6" customHeight="1" thickBot="1" x14ac:dyDescent="0.4">
      <c r="B4" s="494"/>
      <c r="C4" s="494"/>
      <c r="D4" s="494"/>
      <c r="E4" s="494"/>
      <c r="F4" s="494"/>
      <c r="G4" s="494"/>
      <c r="H4" s="494"/>
      <c r="I4" s="494"/>
      <c r="J4" s="494"/>
      <c r="K4" s="494"/>
      <c r="L4" s="494"/>
      <c r="M4" s="494"/>
      <c r="N4" s="494"/>
      <c r="O4" s="494"/>
      <c r="P4" s="494"/>
      <c r="Q4" s="494"/>
      <c r="R4" s="494"/>
    </row>
    <row r="5" spans="1:19" ht="15.75" customHeight="1" thickBot="1" x14ac:dyDescent="0.4">
      <c r="B5" s="909" t="s">
        <v>261</v>
      </c>
      <c r="C5" s="910"/>
      <c r="D5" s="910"/>
      <c r="E5" s="910"/>
      <c r="F5" s="910"/>
      <c r="G5" s="910"/>
      <c r="H5" s="910"/>
      <c r="I5" s="910"/>
      <c r="J5" s="910"/>
      <c r="K5" s="910"/>
      <c r="L5" s="910"/>
      <c r="M5" s="910"/>
      <c r="N5" s="910"/>
      <c r="O5" s="910"/>
      <c r="P5" s="910"/>
      <c r="Q5" s="910"/>
      <c r="R5" s="911"/>
      <c r="S5" s="4"/>
    </row>
    <row r="6" spans="1:19" ht="15" thickBot="1" x14ac:dyDescent="0.4">
      <c r="B6" s="2"/>
      <c r="C6" s="2"/>
      <c r="D6" s="2"/>
      <c r="E6" s="2"/>
      <c r="F6" s="2"/>
      <c r="G6" s="2"/>
      <c r="H6" s="2"/>
      <c r="I6" s="2"/>
      <c r="J6" s="389"/>
      <c r="K6" s="389"/>
      <c r="L6" s="389"/>
      <c r="M6" s="2"/>
      <c r="N6" s="2"/>
      <c r="O6" s="8"/>
      <c r="P6" s="8"/>
      <c r="Q6" s="8"/>
      <c r="R6" s="418"/>
    </row>
    <row r="7" spans="1:19" ht="15" thickBot="1" x14ac:dyDescent="0.4">
      <c r="B7" s="917" t="s">
        <v>54</v>
      </c>
      <c r="C7" s="915" t="s">
        <v>4</v>
      </c>
      <c r="D7" s="929" t="s">
        <v>201</v>
      </c>
      <c r="E7" s="929"/>
      <c r="F7" s="929"/>
      <c r="G7" s="930" t="s">
        <v>202</v>
      </c>
      <c r="H7" s="913" t="s">
        <v>1</v>
      </c>
      <c r="I7" s="921"/>
      <c r="J7" s="921"/>
      <c r="K7" s="921"/>
      <c r="L7" s="914"/>
      <c r="M7" s="929" t="s">
        <v>203</v>
      </c>
      <c r="N7" s="929"/>
      <c r="O7" s="929"/>
      <c r="P7" s="929"/>
      <c r="Q7" s="929"/>
      <c r="R7" s="931" t="s">
        <v>204</v>
      </c>
      <c r="S7" s="4"/>
    </row>
    <row r="8" spans="1:19" ht="15.75" customHeight="1" thickBot="1" x14ac:dyDescent="0.4">
      <c r="B8" s="927"/>
      <c r="C8" s="928"/>
      <c r="D8" s="923" t="s">
        <v>48</v>
      </c>
      <c r="E8" s="923" t="s">
        <v>100</v>
      </c>
      <c r="F8" s="923" t="s">
        <v>97</v>
      </c>
      <c r="G8" s="930"/>
      <c r="H8" s="970" t="s">
        <v>208</v>
      </c>
      <c r="I8" s="971"/>
      <c r="J8" s="971"/>
      <c r="K8" s="972"/>
      <c r="L8" s="968" t="s">
        <v>209</v>
      </c>
      <c r="M8" s="923" t="s">
        <v>208</v>
      </c>
      <c r="N8" s="923"/>
      <c r="O8" s="923"/>
      <c r="P8" s="923"/>
      <c r="Q8" s="922" t="s">
        <v>210</v>
      </c>
      <c r="R8" s="930"/>
    </row>
    <row r="9" spans="1:19" ht="23.5" thickBot="1" x14ac:dyDescent="0.4">
      <c r="B9" s="918"/>
      <c r="C9" s="916"/>
      <c r="D9" s="923"/>
      <c r="E9" s="923"/>
      <c r="F9" s="923"/>
      <c r="G9" s="930"/>
      <c r="H9" s="557" t="s">
        <v>255</v>
      </c>
      <c r="I9" s="557" t="s">
        <v>211</v>
      </c>
      <c r="J9" s="557" t="s">
        <v>256</v>
      </c>
      <c r="K9" s="557" t="s">
        <v>212</v>
      </c>
      <c r="L9" s="969"/>
      <c r="M9" s="557" t="s">
        <v>257</v>
      </c>
      <c r="N9" s="557" t="s">
        <v>258</v>
      </c>
      <c r="O9" s="557" t="s">
        <v>259</v>
      </c>
      <c r="P9" s="419" t="s">
        <v>260</v>
      </c>
      <c r="Q9" s="922"/>
      <c r="R9" s="930"/>
    </row>
    <row r="10" spans="1:19" x14ac:dyDescent="0.35">
      <c r="A10" s="6"/>
      <c r="B10" s="919" t="s">
        <v>74</v>
      </c>
      <c r="C10" s="420" t="s">
        <v>80</v>
      </c>
      <c r="D10" s="558">
        <v>3</v>
      </c>
      <c r="E10" s="559">
        <v>2</v>
      </c>
      <c r="F10" s="560">
        <v>0.66666666666666663</v>
      </c>
      <c r="G10" s="561">
        <v>386.8</v>
      </c>
      <c r="H10" s="562">
        <v>49.7</v>
      </c>
      <c r="I10" s="561">
        <v>530.6</v>
      </c>
      <c r="J10" s="561">
        <v>213.6</v>
      </c>
      <c r="K10" s="561">
        <v>81.900000000000006</v>
      </c>
      <c r="L10" s="563">
        <v>875.80000000000007</v>
      </c>
      <c r="M10" s="561">
        <v>8.9</v>
      </c>
      <c r="N10" s="562">
        <v>170.7</v>
      </c>
      <c r="O10" s="564">
        <v>800.8</v>
      </c>
      <c r="P10" s="561">
        <v>0</v>
      </c>
      <c r="Q10" s="561">
        <v>980.4</v>
      </c>
      <c r="R10" s="565">
        <v>282.20000000000016</v>
      </c>
    </row>
    <row r="11" spans="1:19" x14ac:dyDescent="0.35">
      <c r="A11" s="6"/>
      <c r="B11" s="920"/>
      <c r="C11" s="429" t="s">
        <v>81</v>
      </c>
      <c r="D11" s="526">
        <v>3</v>
      </c>
      <c r="E11" s="566">
        <v>2</v>
      </c>
      <c r="F11" s="567">
        <v>0.66666666666666663</v>
      </c>
      <c r="G11" s="568">
        <v>3.2</v>
      </c>
      <c r="H11" s="562">
        <v>138</v>
      </c>
      <c r="I11" s="568">
        <v>11.3</v>
      </c>
      <c r="J11" s="568">
        <v>0</v>
      </c>
      <c r="K11" s="568">
        <v>0</v>
      </c>
      <c r="L11" s="569">
        <v>149.30000000000001</v>
      </c>
      <c r="M11" s="568">
        <v>5.8</v>
      </c>
      <c r="N11" s="562">
        <v>139.9</v>
      </c>
      <c r="O11" s="568">
        <v>4.9000000000000004</v>
      </c>
      <c r="P11" s="569">
        <v>0</v>
      </c>
      <c r="Q11" s="568">
        <v>150.60000000000002</v>
      </c>
      <c r="R11" s="570">
        <v>1.8999999999999773</v>
      </c>
    </row>
    <row r="12" spans="1:19" x14ac:dyDescent="0.35">
      <c r="A12" s="6"/>
      <c r="B12" s="920"/>
      <c r="C12" s="429" t="s">
        <v>82</v>
      </c>
      <c r="D12" s="526">
        <v>13</v>
      </c>
      <c r="E12" s="566">
        <v>13</v>
      </c>
      <c r="F12" s="567">
        <v>1</v>
      </c>
      <c r="G12" s="568">
        <v>2302.6999999999998</v>
      </c>
      <c r="H12" s="562">
        <v>30044.3</v>
      </c>
      <c r="I12" s="568">
        <v>1998.6</v>
      </c>
      <c r="J12" s="568">
        <v>817.8</v>
      </c>
      <c r="K12" s="568">
        <v>0</v>
      </c>
      <c r="L12" s="569">
        <v>32860.699999999997</v>
      </c>
      <c r="M12" s="568">
        <v>354.1</v>
      </c>
      <c r="N12" s="562">
        <v>4331.1000000000004</v>
      </c>
      <c r="O12" s="568">
        <v>26719.599999999999</v>
      </c>
      <c r="P12" s="569">
        <v>45.1</v>
      </c>
      <c r="Q12" s="568">
        <v>31449.899999999998</v>
      </c>
      <c r="R12" s="570">
        <v>3713.4999999999964</v>
      </c>
    </row>
    <row r="13" spans="1:19" x14ac:dyDescent="0.35">
      <c r="A13" s="6"/>
      <c r="B13" s="920"/>
      <c r="C13" s="429" t="s">
        <v>6</v>
      </c>
      <c r="D13" s="526">
        <v>7</v>
      </c>
      <c r="E13" s="566">
        <v>7</v>
      </c>
      <c r="F13" s="567">
        <v>1</v>
      </c>
      <c r="G13" s="568">
        <v>457.4</v>
      </c>
      <c r="H13" s="562">
        <v>109.5</v>
      </c>
      <c r="I13" s="568">
        <v>818.2</v>
      </c>
      <c r="J13" s="568">
        <v>0.5</v>
      </c>
      <c r="K13" s="568">
        <v>24.8</v>
      </c>
      <c r="L13" s="569">
        <v>953</v>
      </c>
      <c r="M13" s="568">
        <v>0</v>
      </c>
      <c r="N13" s="562">
        <v>981.9</v>
      </c>
      <c r="O13" s="568">
        <v>17.8</v>
      </c>
      <c r="P13" s="569">
        <v>1.8</v>
      </c>
      <c r="Q13" s="568">
        <v>1001.4999999999999</v>
      </c>
      <c r="R13" s="570">
        <v>408.9000000000002</v>
      </c>
    </row>
    <row r="14" spans="1:19" x14ac:dyDescent="0.35">
      <c r="A14" s="6"/>
      <c r="B14" s="920"/>
      <c r="C14" s="429" t="s">
        <v>7</v>
      </c>
      <c r="D14" s="526">
        <v>3</v>
      </c>
      <c r="E14" s="566">
        <v>3</v>
      </c>
      <c r="F14" s="567">
        <v>1</v>
      </c>
      <c r="G14" s="568">
        <v>137.80000000000001</v>
      </c>
      <c r="H14" s="562">
        <v>69.099999999999994</v>
      </c>
      <c r="I14" s="568">
        <v>1287</v>
      </c>
      <c r="J14" s="568">
        <v>238.7</v>
      </c>
      <c r="K14" s="568">
        <v>0</v>
      </c>
      <c r="L14" s="569">
        <v>1594.8</v>
      </c>
      <c r="M14" s="568">
        <v>38.5</v>
      </c>
      <c r="N14" s="562">
        <v>63.7</v>
      </c>
      <c r="O14" s="568">
        <v>1511.2</v>
      </c>
      <c r="P14" s="569">
        <v>1.2</v>
      </c>
      <c r="Q14" s="568">
        <v>1614.6000000000001</v>
      </c>
      <c r="R14" s="570">
        <v>117.99999999999977</v>
      </c>
    </row>
    <row r="15" spans="1:19" x14ac:dyDescent="0.35">
      <c r="A15" s="6"/>
      <c r="B15" s="920"/>
      <c r="C15" s="429" t="s">
        <v>83</v>
      </c>
      <c r="D15" s="526">
        <v>9</v>
      </c>
      <c r="E15" s="566">
        <v>9</v>
      </c>
      <c r="F15" s="567">
        <v>1</v>
      </c>
      <c r="G15" s="568">
        <v>31.1</v>
      </c>
      <c r="H15" s="569">
        <v>873.2</v>
      </c>
      <c r="I15" s="568">
        <v>1.2</v>
      </c>
      <c r="J15" s="568">
        <v>0</v>
      </c>
      <c r="K15" s="568">
        <v>0</v>
      </c>
      <c r="L15" s="569">
        <v>874.40000000000009</v>
      </c>
      <c r="M15" s="568">
        <v>9</v>
      </c>
      <c r="N15" s="568">
        <v>864.3</v>
      </c>
      <c r="O15" s="568">
        <v>8.5</v>
      </c>
      <c r="P15" s="569">
        <v>0.2</v>
      </c>
      <c r="Q15" s="568">
        <v>882</v>
      </c>
      <c r="R15" s="570">
        <v>23.500000000000114</v>
      </c>
    </row>
    <row r="16" spans="1:19" x14ac:dyDescent="0.35">
      <c r="A16" s="6"/>
      <c r="B16" s="920"/>
      <c r="C16" s="429" t="s">
        <v>84</v>
      </c>
      <c r="D16" s="526">
        <v>21</v>
      </c>
      <c r="E16" s="566">
        <v>21</v>
      </c>
      <c r="F16" s="567">
        <v>1</v>
      </c>
      <c r="G16" s="568">
        <v>682.6</v>
      </c>
      <c r="H16" s="569">
        <v>12575.5</v>
      </c>
      <c r="I16" s="568">
        <v>257.60000000000002</v>
      </c>
      <c r="J16" s="568">
        <v>18.3</v>
      </c>
      <c r="K16" s="568">
        <v>0</v>
      </c>
      <c r="L16" s="569">
        <v>12851.4</v>
      </c>
      <c r="M16" s="568">
        <v>55.7</v>
      </c>
      <c r="N16" s="568">
        <v>4320.6000000000004</v>
      </c>
      <c r="O16" s="568">
        <v>8491</v>
      </c>
      <c r="P16" s="569">
        <v>8.5</v>
      </c>
      <c r="Q16" s="568">
        <v>12875.8</v>
      </c>
      <c r="R16" s="570">
        <v>658.20000000000073</v>
      </c>
    </row>
    <row r="17" spans="1:19" x14ac:dyDescent="0.35">
      <c r="A17" s="6"/>
      <c r="B17" s="920"/>
      <c r="C17" s="429" t="s">
        <v>8</v>
      </c>
      <c r="D17" s="571">
        <v>57</v>
      </c>
      <c r="E17" s="572">
        <v>51</v>
      </c>
      <c r="F17" s="573">
        <v>0.89473684210526316</v>
      </c>
      <c r="G17" s="574">
        <v>18854.8</v>
      </c>
      <c r="H17" s="575">
        <v>209436.9</v>
      </c>
      <c r="I17" s="574">
        <v>5664.3</v>
      </c>
      <c r="J17" s="568">
        <v>9082.4</v>
      </c>
      <c r="K17" s="568">
        <v>1418.9</v>
      </c>
      <c r="L17" s="569">
        <v>225602.49999999997</v>
      </c>
      <c r="M17" s="568">
        <v>7144.3</v>
      </c>
      <c r="N17" s="568">
        <v>50720.2</v>
      </c>
      <c r="O17" s="568">
        <v>163969.9</v>
      </c>
      <c r="P17" s="569">
        <v>1448.3</v>
      </c>
      <c r="Q17" s="568">
        <v>223282.69999999998</v>
      </c>
      <c r="R17" s="570">
        <v>21174.599999999977</v>
      </c>
    </row>
    <row r="18" spans="1:19" s="10" customFormat="1" ht="15" thickBot="1" x14ac:dyDescent="0.4">
      <c r="A18" s="12"/>
      <c r="B18" s="776"/>
      <c r="C18" s="442" t="s">
        <v>9</v>
      </c>
      <c r="D18" s="576">
        <v>116</v>
      </c>
      <c r="E18" s="577">
        <v>108</v>
      </c>
      <c r="F18" s="578">
        <v>0.93103448275862066</v>
      </c>
      <c r="G18" s="579">
        <v>22856.399999999998</v>
      </c>
      <c r="H18" s="580">
        <v>253296.2</v>
      </c>
      <c r="I18" s="579">
        <v>10568.8</v>
      </c>
      <c r="J18" s="581">
        <v>10371.299999999999</v>
      </c>
      <c r="K18" s="581">
        <v>1525.6000000000001</v>
      </c>
      <c r="L18" s="582">
        <v>275761.89999999997</v>
      </c>
      <c r="M18" s="581">
        <v>7616.3</v>
      </c>
      <c r="N18" s="581">
        <v>61592.399999999994</v>
      </c>
      <c r="O18" s="581">
        <v>201523.7</v>
      </c>
      <c r="P18" s="582">
        <v>1505.1</v>
      </c>
      <c r="Q18" s="581">
        <v>272237.5</v>
      </c>
      <c r="R18" s="583">
        <v>26380.799999999974</v>
      </c>
      <c r="S18" s="13"/>
    </row>
    <row r="19" spans="1:19" x14ac:dyDescent="0.35">
      <c r="A19" s="6"/>
      <c r="B19" s="919" t="s">
        <v>75</v>
      </c>
      <c r="C19" s="429" t="s">
        <v>11</v>
      </c>
      <c r="D19" s="526">
        <v>11</v>
      </c>
      <c r="E19" s="566">
        <v>11</v>
      </c>
      <c r="F19" s="567">
        <v>1</v>
      </c>
      <c r="G19" s="568">
        <v>1.3</v>
      </c>
      <c r="H19" s="569">
        <v>884.3</v>
      </c>
      <c r="I19" s="568">
        <v>7.7</v>
      </c>
      <c r="J19" s="568">
        <v>0</v>
      </c>
      <c r="K19" s="568">
        <v>0</v>
      </c>
      <c r="L19" s="569">
        <v>892</v>
      </c>
      <c r="M19" s="568">
        <v>22.6</v>
      </c>
      <c r="N19" s="568">
        <v>869.5</v>
      </c>
      <c r="O19" s="568">
        <v>0</v>
      </c>
      <c r="P19" s="569">
        <v>0.1</v>
      </c>
      <c r="Q19" s="568">
        <v>892.2</v>
      </c>
      <c r="R19" s="570">
        <v>1.0999999999999091</v>
      </c>
    </row>
    <row r="20" spans="1:19" x14ac:dyDescent="0.35">
      <c r="A20" s="6"/>
      <c r="B20" s="920"/>
      <c r="C20" s="449" t="s">
        <v>12</v>
      </c>
      <c r="D20" s="571">
        <v>10</v>
      </c>
      <c r="E20" s="572">
        <v>10</v>
      </c>
      <c r="F20" s="573">
        <v>1</v>
      </c>
      <c r="G20" s="574">
        <v>11.5</v>
      </c>
      <c r="H20" s="574">
        <v>1745.6</v>
      </c>
      <c r="I20" s="574">
        <v>8.8000000000000007</v>
      </c>
      <c r="J20" s="574">
        <v>0</v>
      </c>
      <c r="K20" s="574">
        <v>0</v>
      </c>
      <c r="L20" s="575">
        <v>1754.3999999999999</v>
      </c>
      <c r="M20" s="574">
        <v>22.9</v>
      </c>
      <c r="N20" s="574">
        <v>1649.3</v>
      </c>
      <c r="O20" s="574">
        <v>84.2</v>
      </c>
      <c r="P20" s="574">
        <v>0.2</v>
      </c>
      <c r="Q20" s="574">
        <v>1756.6000000000001</v>
      </c>
      <c r="R20" s="584">
        <v>9.2999999999997272</v>
      </c>
    </row>
    <row r="21" spans="1:19" s="10" customFormat="1" ht="15" thickBot="1" x14ac:dyDescent="0.4">
      <c r="A21" s="12"/>
      <c r="B21" s="776"/>
      <c r="C21" s="450" t="s">
        <v>9</v>
      </c>
      <c r="D21" s="576">
        <v>21</v>
      </c>
      <c r="E21" s="577">
        <v>21</v>
      </c>
      <c r="F21" s="578">
        <v>1</v>
      </c>
      <c r="G21" s="579">
        <v>12.8</v>
      </c>
      <c r="H21" s="580">
        <v>2629.8999999999996</v>
      </c>
      <c r="I21" s="579">
        <v>16.5</v>
      </c>
      <c r="J21" s="579">
        <v>0</v>
      </c>
      <c r="K21" s="579">
        <v>0</v>
      </c>
      <c r="L21" s="580">
        <v>2646.3999999999996</v>
      </c>
      <c r="M21" s="579">
        <v>45.5</v>
      </c>
      <c r="N21" s="579">
        <v>2518.8000000000002</v>
      </c>
      <c r="O21" s="580">
        <v>84.2</v>
      </c>
      <c r="P21" s="580">
        <v>0.30000000000000004</v>
      </c>
      <c r="Q21" s="579">
        <v>2648.8</v>
      </c>
      <c r="R21" s="585">
        <v>10.399999999999636</v>
      </c>
    </row>
    <row r="22" spans="1:19" x14ac:dyDescent="0.35">
      <c r="A22" s="6"/>
      <c r="B22" s="919" t="s">
        <v>13</v>
      </c>
      <c r="C22" s="429" t="s">
        <v>13</v>
      </c>
      <c r="D22" s="526">
        <v>6</v>
      </c>
      <c r="E22" s="566">
        <v>6</v>
      </c>
      <c r="F22" s="567">
        <v>1</v>
      </c>
      <c r="G22" s="568">
        <v>5.2</v>
      </c>
      <c r="H22" s="569">
        <v>156.30000000000001</v>
      </c>
      <c r="I22" s="568">
        <v>0</v>
      </c>
      <c r="J22" s="568">
        <v>0</v>
      </c>
      <c r="K22" s="568">
        <v>0</v>
      </c>
      <c r="L22" s="569">
        <v>156.30000000000001</v>
      </c>
      <c r="M22" s="568">
        <v>0</v>
      </c>
      <c r="N22" s="568">
        <v>158.9</v>
      </c>
      <c r="O22" s="569">
        <v>1.6</v>
      </c>
      <c r="P22" s="569">
        <v>0</v>
      </c>
      <c r="Q22" s="568">
        <v>160.5</v>
      </c>
      <c r="R22" s="570">
        <v>1</v>
      </c>
    </row>
    <row r="23" spans="1:19" s="10" customFormat="1" ht="15" thickBot="1" x14ac:dyDescent="0.4">
      <c r="A23" s="12"/>
      <c r="B23" s="776"/>
      <c r="C23" s="442" t="s">
        <v>9</v>
      </c>
      <c r="D23" s="586">
        <v>6</v>
      </c>
      <c r="E23" s="587">
        <v>6</v>
      </c>
      <c r="F23" s="588">
        <v>1</v>
      </c>
      <c r="G23" s="581">
        <v>5.2</v>
      </c>
      <c r="H23" s="582">
        <v>156.30000000000001</v>
      </c>
      <c r="I23" s="581">
        <v>0</v>
      </c>
      <c r="J23" s="581">
        <v>0</v>
      </c>
      <c r="K23" s="581">
        <v>0</v>
      </c>
      <c r="L23" s="582">
        <v>156.30000000000001</v>
      </c>
      <c r="M23" s="581">
        <v>0</v>
      </c>
      <c r="N23" s="581">
        <v>158.9</v>
      </c>
      <c r="O23" s="582">
        <v>1.6</v>
      </c>
      <c r="P23" s="582">
        <v>0</v>
      </c>
      <c r="Q23" s="581">
        <v>160.5</v>
      </c>
      <c r="R23" s="589">
        <v>1</v>
      </c>
    </row>
    <row r="24" spans="1:19" x14ac:dyDescent="0.35">
      <c r="A24" s="6"/>
      <c r="B24" s="919" t="s">
        <v>151</v>
      </c>
      <c r="C24" s="429" t="s">
        <v>152</v>
      </c>
      <c r="D24" s="526">
        <v>3</v>
      </c>
      <c r="E24" s="566">
        <v>2</v>
      </c>
      <c r="F24" s="567">
        <v>0.66666666666666663</v>
      </c>
      <c r="G24" s="568">
        <v>0</v>
      </c>
      <c r="H24" s="569">
        <v>0.2</v>
      </c>
      <c r="I24" s="568">
        <v>0</v>
      </c>
      <c r="J24" s="568">
        <v>0</v>
      </c>
      <c r="K24" s="568">
        <v>0</v>
      </c>
      <c r="L24" s="569">
        <v>0.2</v>
      </c>
      <c r="M24" s="568">
        <v>0</v>
      </c>
      <c r="N24" s="568">
        <v>0.2</v>
      </c>
      <c r="O24" s="569">
        <v>0</v>
      </c>
      <c r="P24" s="569">
        <v>0</v>
      </c>
      <c r="Q24" s="568">
        <v>0.2</v>
      </c>
      <c r="R24" s="570">
        <v>0</v>
      </c>
    </row>
    <row r="25" spans="1:19" s="10" customFormat="1" ht="15" thickBot="1" x14ac:dyDescent="0.4">
      <c r="A25" s="12"/>
      <c r="B25" s="776"/>
      <c r="C25" s="442" t="s">
        <v>9</v>
      </c>
      <c r="D25" s="586">
        <v>3</v>
      </c>
      <c r="E25" s="587">
        <v>2</v>
      </c>
      <c r="F25" s="588">
        <v>0.66666666666666663</v>
      </c>
      <c r="G25" s="581">
        <v>0</v>
      </c>
      <c r="H25" s="582">
        <v>0.2</v>
      </c>
      <c r="I25" s="581">
        <v>0</v>
      </c>
      <c r="J25" s="581">
        <v>0</v>
      </c>
      <c r="K25" s="581">
        <v>0</v>
      </c>
      <c r="L25" s="582">
        <v>0.2</v>
      </c>
      <c r="M25" s="581">
        <v>0</v>
      </c>
      <c r="N25" s="581">
        <v>0.2</v>
      </c>
      <c r="O25" s="582">
        <v>0</v>
      </c>
      <c r="P25" s="582">
        <v>0</v>
      </c>
      <c r="Q25" s="581">
        <v>0.2</v>
      </c>
      <c r="R25" s="589">
        <v>0</v>
      </c>
    </row>
    <row r="26" spans="1:19" x14ac:dyDescent="0.35">
      <c r="A26" s="6"/>
      <c r="B26" s="919" t="s">
        <v>220</v>
      </c>
      <c r="C26" s="429" t="s">
        <v>16</v>
      </c>
      <c r="D26" s="526">
        <v>2</v>
      </c>
      <c r="E26" s="566">
        <v>3</v>
      </c>
      <c r="F26" s="567">
        <v>1.5</v>
      </c>
      <c r="G26" s="568">
        <v>19.399999999999999</v>
      </c>
      <c r="H26" s="569">
        <v>242.3</v>
      </c>
      <c r="I26" s="568">
        <v>1.7</v>
      </c>
      <c r="J26" s="568">
        <v>0</v>
      </c>
      <c r="K26" s="568">
        <v>0</v>
      </c>
      <c r="L26" s="569">
        <v>244</v>
      </c>
      <c r="M26" s="568">
        <v>0</v>
      </c>
      <c r="N26" s="568">
        <v>244.9</v>
      </c>
      <c r="O26" s="569">
        <v>0.1</v>
      </c>
      <c r="P26" s="569">
        <v>0.1</v>
      </c>
      <c r="Q26" s="568">
        <v>245.1</v>
      </c>
      <c r="R26" s="570">
        <v>18.299999999999983</v>
      </c>
    </row>
    <row r="27" spans="1:19" x14ac:dyDescent="0.35">
      <c r="A27" s="6"/>
      <c r="B27" s="920"/>
      <c r="C27" s="429" t="s">
        <v>17</v>
      </c>
      <c r="D27" s="526">
        <v>6</v>
      </c>
      <c r="E27" s="566">
        <v>6</v>
      </c>
      <c r="F27" s="567">
        <v>1</v>
      </c>
      <c r="G27" s="568">
        <v>50</v>
      </c>
      <c r="H27" s="569">
        <v>404.9</v>
      </c>
      <c r="I27" s="568">
        <v>15.3</v>
      </c>
      <c r="J27" s="568">
        <v>0</v>
      </c>
      <c r="K27" s="568">
        <v>0</v>
      </c>
      <c r="L27" s="569">
        <v>420.2</v>
      </c>
      <c r="M27" s="568">
        <v>1.5</v>
      </c>
      <c r="N27" s="568">
        <v>429.8</v>
      </c>
      <c r="O27" s="569">
        <v>0</v>
      </c>
      <c r="P27" s="569">
        <v>0.9</v>
      </c>
      <c r="Q27" s="568">
        <v>432.2</v>
      </c>
      <c r="R27" s="570">
        <v>38</v>
      </c>
    </row>
    <row r="28" spans="1:19" x14ac:dyDescent="0.35">
      <c r="A28" s="6"/>
      <c r="B28" s="920"/>
      <c r="C28" s="429" t="s">
        <v>19</v>
      </c>
      <c r="D28" s="526">
        <v>2</v>
      </c>
      <c r="E28" s="566">
        <v>2</v>
      </c>
      <c r="F28" s="567">
        <v>1</v>
      </c>
      <c r="G28" s="568">
        <v>467.3</v>
      </c>
      <c r="H28" s="569">
        <v>2342.5</v>
      </c>
      <c r="I28" s="568">
        <v>308.2</v>
      </c>
      <c r="J28" s="568">
        <v>0</v>
      </c>
      <c r="K28" s="568">
        <v>0</v>
      </c>
      <c r="L28" s="569">
        <v>2650.7</v>
      </c>
      <c r="M28" s="568">
        <v>614.6</v>
      </c>
      <c r="N28" s="568">
        <v>315.2</v>
      </c>
      <c r="O28" s="569">
        <v>1807.5</v>
      </c>
      <c r="P28" s="569">
        <v>21.3</v>
      </c>
      <c r="Q28" s="568">
        <v>2758.6000000000004</v>
      </c>
      <c r="R28" s="570">
        <v>359.39999999999964</v>
      </c>
    </row>
    <row r="29" spans="1:19" x14ac:dyDescent="0.35">
      <c r="A29" s="6"/>
      <c r="B29" s="920"/>
      <c r="C29" s="449" t="s">
        <v>21</v>
      </c>
      <c r="D29" s="590">
        <v>0</v>
      </c>
      <c r="E29" s="591">
        <v>0</v>
      </c>
      <c r="F29" s="438">
        <v>0</v>
      </c>
      <c r="G29" s="574">
        <v>0</v>
      </c>
      <c r="H29" s="575">
        <v>0</v>
      </c>
      <c r="I29" s="574">
        <v>0</v>
      </c>
      <c r="J29" s="574">
        <v>0</v>
      </c>
      <c r="K29" s="574">
        <v>0</v>
      </c>
      <c r="L29" s="575">
        <v>0</v>
      </c>
      <c r="M29" s="574">
        <v>0</v>
      </c>
      <c r="N29" s="574">
        <v>0</v>
      </c>
      <c r="O29" s="575">
        <v>0</v>
      </c>
      <c r="P29" s="575">
        <v>0</v>
      </c>
      <c r="Q29" s="574">
        <v>0</v>
      </c>
      <c r="R29" s="584">
        <v>0</v>
      </c>
    </row>
    <row r="30" spans="1:19" s="10" customFormat="1" ht="15" thickBot="1" x14ac:dyDescent="0.4">
      <c r="A30" s="12"/>
      <c r="B30" s="776"/>
      <c r="C30" s="450" t="s">
        <v>9</v>
      </c>
      <c r="D30" s="576">
        <v>10</v>
      </c>
      <c r="E30" s="577">
        <v>11</v>
      </c>
      <c r="F30" s="578">
        <v>1.1000000000000001</v>
      </c>
      <c r="G30" s="579">
        <v>536.70000000000005</v>
      </c>
      <c r="H30" s="580">
        <v>2989.7</v>
      </c>
      <c r="I30" s="579">
        <v>325.2</v>
      </c>
      <c r="J30" s="579">
        <v>0</v>
      </c>
      <c r="K30" s="579">
        <v>0</v>
      </c>
      <c r="L30" s="580">
        <v>3314.8999999999996</v>
      </c>
      <c r="M30" s="579">
        <v>616.1</v>
      </c>
      <c r="N30" s="579">
        <v>989.90000000000009</v>
      </c>
      <c r="O30" s="580">
        <v>1807.6</v>
      </c>
      <c r="P30" s="580">
        <v>22.3</v>
      </c>
      <c r="Q30" s="579">
        <v>3435.9000000000005</v>
      </c>
      <c r="R30" s="585">
        <v>415.69999999999959</v>
      </c>
    </row>
    <row r="31" spans="1:19" x14ac:dyDescent="0.35">
      <c r="A31" s="6"/>
      <c r="B31" s="919" t="s">
        <v>76</v>
      </c>
      <c r="C31" s="429" t="s">
        <v>78</v>
      </c>
      <c r="D31" s="526">
        <v>5</v>
      </c>
      <c r="E31" s="566">
        <v>5</v>
      </c>
      <c r="F31" s="567">
        <v>1</v>
      </c>
      <c r="G31" s="568">
        <v>185.2</v>
      </c>
      <c r="H31" s="569">
        <v>0</v>
      </c>
      <c r="I31" s="568">
        <v>658.5</v>
      </c>
      <c r="J31" s="568">
        <v>0</v>
      </c>
      <c r="K31" s="568">
        <v>0</v>
      </c>
      <c r="L31" s="569">
        <v>658.5</v>
      </c>
      <c r="M31" s="568">
        <v>2.2999999999999998</v>
      </c>
      <c r="N31" s="568">
        <v>495.4</v>
      </c>
      <c r="O31" s="569">
        <v>0.1</v>
      </c>
      <c r="P31" s="569">
        <v>1.4</v>
      </c>
      <c r="Q31" s="568">
        <v>499.2</v>
      </c>
      <c r="R31" s="570">
        <v>344.50000000000006</v>
      </c>
    </row>
    <row r="32" spans="1:19" x14ac:dyDescent="0.35">
      <c r="A32" s="6"/>
      <c r="B32" s="920"/>
      <c r="C32" s="429" t="s">
        <v>157</v>
      </c>
      <c r="D32" s="526">
        <v>2</v>
      </c>
      <c r="E32" s="566">
        <v>2</v>
      </c>
      <c r="F32" s="567">
        <v>1</v>
      </c>
      <c r="G32" s="568">
        <v>300.89999999999998</v>
      </c>
      <c r="H32" s="569">
        <v>0</v>
      </c>
      <c r="I32" s="568">
        <v>694.3</v>
      </c>
      <c r="J32" s="568">
        <v>0</v>
      </c>
      <c r="K32" s="568">
        <v>0</v>
      </c>
      <c r="L32" s="569">
        <v>694.3</v>
      </c>
      <c r="M32" s="568">
        <v>0</v>
      </c>
      <c r="N32" s="568">
        <v>712.2</v>
      </c>
      <c r="O32" s="569">
        <v>9.1999999999999993</v>
      </c>
      <c r="P32" s="569">
        <v>19.7</v>
      </c>
      <c r="Q32" s="568">
        <v>741.10000000000014</v>
      </c>
      <c r="R32" s="570">
        <v>254.0999999999998</v>
      </c>
    </row>
    <row r="33" spans="1:18" x14ac:dyDescent="0.35">
      <c r="A33" s="6"/>
      <c r="B33" s="920"/>
      <c r="C33" s="429" t="s">
        <v>20</v>
      </c>
      <c r="D33" s="526">
        <v>3</v>
      </c>
      <c r="E33" s="566">
        <v>3</v>
      </c>
      <c r="F33" s="567">
        <v>1</v>
      </c>
      <c r="G33" s="568">
        <v>156</v>
      </c>
      <c r="H33" s="569">
        <v>295.10000000000002</v>
      </c>
      <c r="I33" s="568">
        <v>0.6</v>
      </c>
      <c r="J33" s="568">
        <v>0</v>
      </c>
      <c r="K33" s="568">
        <v>314.2</v>
      </c>
      <c r="L33" s="569">
        <v>609.90000000000009</v>
      </c>
      <c r="M33" s="568">
        <v>0</v>
      </c>
      <c r="N33" s="568">
        <v>524.29999999999995</v>
      </c>
      <c r="O33" s="569">
        <v>51.6</v>
      </c>
      <c r="P33" s="569">
        <v>0</v>
      </c>
      <c r="Q33" s="568">
        <v>575.9</v>
      </c>
      <c r="R33" s="570">
        <v>190.00000000000011</v>
      </c>
    </row>
    <row r="34" spans="1:18" x14ac:dyDescent="0.35">
      <c r="A34" s="6"/>
      <c r="B34" s="920"/>
      <c r="C34" s="429" t="s">
        <v>221</v>
      </c>
      <c r="D34" s="526">
        <v>1</v>
      </c>
      <c r="E34" s="566">
        <v>1</v>
      </c>
      <c r="F34" s="567">
        <v>1</v>
      </c>
      <c r="G34" s="568">
        <v>42.5</v>
      </c>
      <c r="H34" s="569">
        <v>0</v>
      </c>
      <c r="I34" s="568">
        <v>49.8</v>
      </c>
      <c r="J34" s="568">
        <v>0</v>
      </c>
      <c r="K34" s="568">
        <v>0</v>
      </c>
      <c r="L34" s="569">
        <v>49.8</v>
      </c>
      <c r="M34" s="568">
        <v>0</v>
      </c>
      <c r="N34" s="568">
        <v>84.3</v>
      </c>
      <c r="O34" s="569">
        <v>0</v>
      </c>
      <c r="P34" s="569">
        <v>0</v>
      </c>
      <c r="Q34" s="568">
        <v>84.3</v>
      </c>
      <c r="R34" s="570">
        <v>8</v>
      </c>
    </row>
    <row r="35" spans="1:18" x14ac:dyDescent="0.35">
      <c r="A35" s="6"/>
      <c r="B35" s="920"/>
      <c r="C35" s="449" t="s">
        <v>21</v>
      </c>
      <c r="D35" s="571">
        <v>7</v>
      </c>
      <c r="E35" s="572">
        <v>7</v>
      </c>
      <c r="F35" s="573">
        <v>1</v>
      </c>
      <c r="G35" s="574">
        <v>76.7</v>
      </c>
      <c r="H35" s="575">
        <v>0</v>
      </c>
      <c r="I35" s="574">
        <v>477.6</v>
      </c>
      <c r="J35" s="574">
        <v>0</v>
      </c>
      <c r="K35" s="574">
        <v>0</v>
      </c>
      <c r="L35" s="574">
        <v>477.6</v>
      </c>
      <c r="M35" s="574">
        <v>0</v>
      </c>
      <c r="N35" s="574">
        <v>428.1</v>
      </c>
      <c r="O35" s="575">
        <v>12.5</v>
      </c>
      <c r="P35" s="575">
        <v>0.5</v>
      </c>
      <c r="Q35" s="574">
        <v>441.1</v>
      </c>
      <c r="R35" s="584">
        <v>113.20000000000005</v>
      </c>
    </row>
    <row r="36" spans="1:18" s="10" customFormat="1" ht="15" thickBot="1" x14ac:dyDescent="0.4">
      <c r="A36" s="12"/>
      <c r="B36" s="776"/>
      <c r="C36" s="450" t="s">
        <v>9</v>
      </c>
      <c r="D36" s="586">
        <v>18</v>
      </c>
      <c r="E36" s="577">
        <v>18</v>
      </c>
      <c r="F36" s="578">
        <v>1</v>
      </c>
      <c r="G36" s="579">
        <v>761.3</v>
      </c>
      <c r="H36" s="580">
        <v>295.10000000000002</v>
      </c>
      <c r="I36" s="579">
        <v>1880.7999999999997</v>
      </c>
      <c r="J36" s="579">
        <v>0</v>
      </c>
      <c r="K36" s="579">
        <v>314.2</v>
      </c>
      <c r="L36" s="580">
        <v>2490.1</v>
      </c>
      <c r="M36" s="579">
        <v>2.2999999999999998</v>
      </c>
      <c r="N36" s="579">
        <v>2244.2999999999997</v>
      </c>
      <c r="O36" s="580">
        <v>73.400000000000006</v>
      </c>
      <c r="P36" s="580">
        <v>21.599999999999998</v>
      </c>
      <c r="Q36" s="579">
        <v>2341.6000000000004</v>
      </c>
      <c r="R36" s="585">
        <v>909.80000000000007</v>
      </c>
    </row>
    <row r="37" spans="1:18" x14ac:dyDescent="0.35">
      <c r="A37" s="6"/>
      <c r="B37" s="919" t="s">
        <v>22</v>
      </c>
      <c r="C37" s="429" t="s">
        <v>23</v>
      </c>
      <c r="D37" s="526">
        <v>8</v>
      </c>
      <c r="E37" s="566">
        <v>8</v>
      </c>
      <c r="F37" s="567">
        <v>1</v>
      </c>
      <c r="G37" s="568">
        <v>884.1</v>
      </c>
      <c r="H37" s="569">
        <v>0</v>
      </c>
      <c r="I37" s="568">
        <v>2368.1</v>
      </c>
      <c r="J37" s="568">
        <v>80.2</v>
      </c>
      <c r="K37" s="568">
        <v>173.8</v>
      </c>
      <c r="L37" s="569">
        <v>2622.1</v>
      </c>
      <c r="M37" s="568">
        <v>75.400000000000006</v>
      </c>
      <c r="N37" s="568">
        <v>2222.3000000000002</v>
      </c>
      <c r="O37" s="569">
        <v>64.599999999999994</v>
      </c>
      <c r="P37" s="569">
        <v>76.8</v>
      </c>
      <c r="Q37" s="568">
        <v>2439.1000000000004</v>
      </c>
      <c r="R37" s="570">
        <v>1067.0999999999995</v>
      </c>
    </row>
    <row r="38" spans="1:18" x14ac:dyDescent="0.35">
      <c r="A38" s="6"/>
      <c r="B38" s="920"/>
      <c r="C38" s="429" t="s">
        <v>26</v>
      </c>
      <c r="D38" s="526">
        <v>11</v>
      </c>
      <c r="E38" s="566">
        <v>9</v>
      </c>
      <c r="F38" s="567">
        <v>0.81818181818181823</v>
      </c>
      <c r="G38" s="568">
        <v>110.3</v>
      </c>
      <c r="H38" s="569">
        <v>873</v>
      </c>
      <c r="I38" s="568">
        <v>25.6</v>
      </c>
      <c r="J38" s="568">
        <v>0</v>
      </c>
      <c r="K38" s="568">
        <v>0</v>
      </c>
      <c r="L38" s="569">
        <v>898.6</v>
      </c>
      <c r="M38" s="568">
        <v>3.5</v>
      </c>
      <c r="N38" s="568">
        <v>787.4</v>
      </c>
      <c r="O38" s="569">
        <v>14.8</v>
      </c>
      <c r="P38" s="569">
        <v>41.2</v>
      </c>
      <c r="Q38" s="568">
        <v>846.9</v>
      </c>
      <c r="R38" s="570">
        <v>162</v>
      </c>
    </row>
    <row r="39" spans="1:18" x14ac:dyDescent="0.35">
      <c r="A39" s="6"/>
      <c r="B39" s="920"/>
      <c r="C39" s="429" t="s">
        <v>21</v>
      </c>
      <c r="D39" s="571">
        <v>2</v>
      </c>
      <c r="E39" s="572">
        <v>2</v>
      </c>
      <c r="F39" s="573">
        <v>1</v>
      </c>
      <c r="G39" s="574">
        <v>153.1</v>
      </c>
      <c r="H39" s="575">
        <v>40</v>
      </c>
      <c r="I39" s="568">
        <v>258.3</v>
      </c>
      <c r="J39" s="568">
        <v>0</v>
      </c>
      <c r="K39" s="568">
        <v>0</v>
      </c>
      <c r="L39" s="574">
        <v>298.3</v>
      </c>
      <c r="M39" s="574">
        <v>0</v>
      </c>
      <c r="N39" s="574">
        <v>294</v>
      </c>
      <c r="O39" s="575">
        <v>0</v>
      </c>
      <c r="P39" s="575">
        <v>1.3</v>
      </c>
      <c r="Q39" s="574">
        <v>295.3</v>
      </c>
      <c r="R39" s="584">
        <v>156.09999999999997</v>
      </c>
    </row>
    <row r="40" spans="1:18" s="10" customFormat="1" ht="15" thickBot="1" x14ac:dyDescent="0.4">
      <c r="A40" s="12"/>
      <c r="B40" s="776"/>
      <c r="C40" s="442" t="s">
        <v>9</v>
      </c>
      <c r="D40" s="576">
        <v>21</v>
      </c>
      <c r="E40" s="577">
        <v>19</v>
      </c>
      <c r="F40" s="578">
        <v>0.90476190476190477</v>
      </c>
      <c r="G40" s="579">
        <v>1147.5</v>
      </c>
      <c r="H40" s="580">
        <v>913</v>
      </c>
      <c r="I40" s="592">
        <v>2652</v>
      </c>
      <c r="J40" s="581">
        <v>80.2</v>
      </c>
      <c r="K40" s="581">
        <v>173.8</v>
      </c>
      <c r="L40" s="580">
        <v>3819</v>
      </c>
      <c r="M40" s="579">
        <v>78.900000000000006</v>
      </c>
      <c r="N40" s="579">
        <v>3303.7000000000003</v>
      </c>
      <c r="O40" s="580">
        <v>79.399999999999991</v>
      </c>
      <c r="P40" s="580">
        <v>119.3</v>
      </c>
      <c r="Q40" s="579">
        <v>3581.3000000000006</v>
      </c>
      <c r="R40" s="585">
        <v>1385.1999999999994</v>
      </c>
    </row>
    <row r="41" spans="1:18" x14ac:dyDescent="0.35">
      <c r="A41" s="6"/>
      <c r="B41" s="919" t="s">
        <v>27</v>
      </c>
      <c r="C41" s="429" t="s">
        <v>28</v>
      </c>
      <c r="D41" s="526">
        <v>19</v>
      </c>
      <c r="E41" s="566">
        <v>19</v>
      </c>
      <c r="F41" s="567">
        <v>1</v>
      </c>
      <c r="G41" s="568">
        <v>1227.7</v>
      </c>
      <c r="H41" s="569">
        <v>16862.599999999999</v>
      </c>
      <c r="I41" s="561">
        <v>575.1</v>
      </c>
      <c r="J41" s="568">
        <v>2465.1999999999998</v>
      </c>
      <c r="K41" s="568">
        <v>150.30000000000001</v>
      </c>
      <c r="L41" s="569">
        <v>20053.199999999997</v>
      </c>
      <c r="M41" s="568">
        <v>5707.9</v>
      </c>
      <c r="N41" s="568">
        <v>2080.3000000000002</v>
      </c>
      <c r="O41" s="569">
        <v>12033.5</v>
      </c>
      <c r="P41" s="569">
        <v>3.2</v>
      </c>
      <c r="Q41" s="568">
        <v>19824.900000000001</v>
      </c>
      <c r="R41" s="570">
        <v>1455.9999999999964</v>
      </c>
    </row>
    <row r="42" spans="1:18" x14ac:dyDescent="0.35">
      <c r="A42" s="6"/>
      <c r="B42" s="920"/>
      <c r="C42" s="449" t="s">
        <v>79</v>
      </c>
      <c r="D42" s="571">
        <v>14</v>
      </c>
      <c r="E42" s="572">
        <v>14</v>
      </c>
      <c r="F42" s="573">
        <v>1</v>
      </c>
      <c r="G42" s="574">
        <v>3019.6</v>
      </c>
      <c r="H42" s="575">
        <v>38904.400000000001</v>
      </c>
      <c r="I42" s="574">
        <v>147.19999999999999</v>
      </c>
      <c r="J42" s="574">
        <v>2265.1</v>
      </c>
      <c r="K42" s="574">
        <v>0</v>
      </c>
      <c r="L42" s="574">
        <v>41316.699999999997</v>
      </c>
      <c r="M42" s="574">
        <v>4276.5</v>
      </c>
      <c r="N42" s="574">
        <v>13629.3</v>
      </c>
      <c r="O42" s="575">
        <v>23076.6</v>
      </c>
      <c r="P42" s="575">
        <v>-182.1</v>
      </c>
      <c r="Q42" s="574">
        <v>40800.299999999996</v>
      </c>
      <c r="R42" s="584">
        <v>3536</v>
      </c>
    </row>
    <row r="43" spans="1:18" s="10" customFormat="1" ht="15" thickBot="1" x14ac:dyDescent="0.4">
      <c r="A43" s="12"/>
      <c r="B43" s="776"/>
      <c r="C43" s="450" t="s">
        <v>9</v>
      </c>
      <c r="D43" s="576">
        <v>33</v>
      </c>
      <c r="E43" s="577">
        <v>33</v>
      </c>
      <c r="F43" s="588">
        <v>1</v>
      </c>
      <c r="G43" s="581">
        <v>4247.3</v>
      </c>
      <c r="H43" s="580">
        <v>55767</v>
      </c>
      <c r="I43" s="579">
        <v>722.3</v>
      </c>
      <c r="J43" s="581">
        <v>4730.2999999999993</v>
      </c>
      <c r="K43" s="581">
        <v>150.30000000000001</v>
      </c>
      <c r="L43" s="581">
        <v>61369.899999999994</v>
      </c>
      <c r="M43" s="580">
        <v>9984.4</v>
      </c>
      <c r="N43" s="579">
        <v>15709.599999999999</v>
      </c>
      <c r="O43" s="580">
        <v>35110.1</v>
      </c>
      <c r="P43" s="580">
        <v>-178.9</v>
      </c>
      <c r="Q43" s="579">
        <v>60625.2</v>
      </c>
      <c r="R43" s="585">
        <v>4991.9999999999964</v>
      </c>
    </row>
    <row r="44" spans="1:18" x14ac:dyDescent="0.35">
      <c r="A44" s="6"/>
      <c r="B44" s="919" t="s">
        <v>32</v>
      </c>
      <c r="C44" s="459" t="s">
        <v>32</v>
      </c>
      <c r="D44" s="593">
        <v>14</v>
      </c>
      <c r="E44" s="594">
        <v>12</v>
      </c>
      <c r="F44" s="595">
        <v>0.8571428571428571</v>
      </c>
      <c r="G44" s="596">
        <v>542.1</v>
      </c>
      <c r="H44" s="597">
        <v>1575.5</v>
      </c>
      <c r="I44" s="596">
        <v>1289.5999999999999</v>
      </c>
      <c r="J44" s="596">
        <v>0</v>
      </c>
      <c r="K44" s="596">
        <v>0</v>
      </c>
      <c r="L44" s="596">
        <v>2865.1</v>
      </c>
      <c r="M44" s="597">
        <v>44.1</v>
      </c>
      <c r="N44" s="596">
        <v>2708.5</v>
      </c>
      <c r="O44" s="597">
        <v>10.8</v>
      </c>
      <c r="P44" s="597">
        <v>57.9</v>
      </c>
      <c r="Q44" s="596">
        <v>2821.3</v>
      </c>
      <c r="R44" s="598">
        <v>585.89999999999964</v>
      </c>
    </row>
    <row r="45" spans="1:18" s="10" customFormat="1" ht="15" thickBot="1" x14ac:dyDescent="0.4">
      <c r="A45" s="12"/>
      <c r="B45" s="776"/>
      <c r="C45" s="450" t="s">
        <v>9</v>
      </c>
      <c r="D45" s="576">
        <v>14</v>
      </c>
      <c r="E45" s="577">
        <v>12</v>
      </c>
      <c r="F45" s="578">
        <v>0.8571428571428571</v>
      </c>
      <c r="G45" s="579">
        <v>542.1</v>
      </c>
      <c r="H45" s="581">
        <v>1575.5</v>
      </c>
      <c r="I45" s="579">
        <v>1289.5999999999999</v>
      </c>
      <c r="J45" s="579">
        <v>0</v>
      </c>
      <c r="K45" s="579">
        <v>0</v>
      </c>
      <c r="L45" s="579">
        <v>2865.1</v>
      </c>
      <c r="M45" s="580">
        <v>44.1</v>
      </c>
      <c r="N45" s="579">
        <v>2708.5</v>
      </c>
      <c r="O45" s="580">
        <v>10.8</v>
      </c>
      <c r="P45" s="580">
        <v>57.9</v>
      </c>
      <c r="Q45" s="579">
        <v>2821.3</v>
      </c>
      <c r="R45" s="585">
        <v>585.89999999999964</v>
      </c>
    </row>
    <row r="46" spans="1:18" x14ac:dyDescent="0.35">
      <c r="A46" s="6"/>
      <c r="B46" s="919" t="s">
        <v>33</v>
      </c>
      <c r="C46" s="459" t="s">
        <v>33</v>
      </c>
      <c r="D46" s="593">
        <v>16</v>
      </c>
      <c r="E46" s="594">
        <v>15</v>
      </c>
      <c r="F46" s="595">
        <v>0.9375</v>
      </c>
      <c r="G46" s="596">
        <v>2918.9</v>
      </c>
      <c r="H46" s="596">
        <v>9073.5</v>
      </c>
      <c r="I46" s="596">
        <v>5348.4</v>
      </c>
      <c r="J46" s="596">
        <v>775.4</v>
      </c>
      <c r="K46" s="596">
        <v>321.10000000000002</v>
      </c>
      <c r="L46" s="596">
        <v>15518.4</v>
      </c>
      <c r="M46" s="597">
        <v>108.8</v>
      </c>
      <c r="N46" s="596">
        <v>12501</v>
      </c>
      <c r="O46" s="597">
        <v>1983.4</v>
      </c>
      <c r="P46" s="597">
        <v>545.20000000000005</v>
      </c>
      <c r="Q46" s="596">
        <v>15138.4</v>
      </c>
      <c r="R46" s="598">
        <v>3298.8999999999996</v>
      </c>
    </row>
    <row r="47" spans="1:18" s="10" customFormat="1" ht="15" thickBot="1" x14ac:dyDescent="0.4">
      <c r="A47" s="12"/>
      <c r="B47" s="776"/>
      <c r="C47" s="450" t="s">
        <v>9</v>
      </c>
      <c r="D47" s="599">
        <v>16</v>
      </c>
      <c r="E47" s="577">
        <v>15</v>
      </c>
      <c r="F47" s="578">
        <v>0.9375</v>
      </c>
      <c r="G47" s="579">
        <v>2918.9</v>
      </c>
      <c r="H47" s="579">
        <v>9073.5</v>
      </c>
      <c r="I47" s="579">
        <v>5348.4</v>
      </c>
      <c r="J47" s="579">
        <v>775.4</v>
      </c>
      <c r="K47" s="579">
        <v>321.10000000000002</v>
      </c>
      <c r="L47" s="579">
        <v>15518.4</v>
      </c>
      <c r="M47" s="580">
        <v>108.8</v>
      </c>
      <c r="N47" s="579">
        <v>12501</v>
      </c>
      <c r="O47" s="579">
        <v>1983.4</v>
      </c>
      <c r="P47" s="580">
        <v>545.20000000000005</v>
      </c>
      <c r="Q47" s="579">
        <v>15138.4</v>
      </c>
      <c r="R47" s="585">
        <v>3298.8999999999996</v>
      </c>
    </row>
    <row r="48" spans="1:18" x14ac:dyDescent="0.35">
      <c r="A48" s="6"/>
      <c r="B48" s="924" t="s">
        <v>34</v>
      </c>
      <c r="C48" s="459" t="s">
        <v>34</v>
      </c>
      <c r="D48" s="593">
        <v>3</v>
      </c>
      <c r="E48" s="594">
        <v>3</v>
      </c>
      <c r="F48" s="595">
        <v>1</v>
      </c>
      <c r="G48" s="596">
        <v>1880.5</v>
      </c>
      <c r="H48" s="596">
        <v>1949.3</v>
      </c>
      <c r="I48" s="596">
        <v>77.5</v>
      </c>
      <c r="J48" s="596">
        <v>2277.1</v>
      </c>
      <c r="K48" s="596">
        <v>171.1</v>
      </c>
      <c r="L48" s="596">
        <v>4475</v>
      </c>
      <c r="M48" s="597">
        <v>2250.6999999999998</v>
      </c>
      <c r="N48" s="596">
        <v>2082.8000000000002</v>
      </c>
      <c r="O48" s="597">
        <v>0</v>
      </c>
      <c r="P48" s="597">
        <v>2.1</v>
      </c>
      <c r="Q48" s="596">
        <v>4335.6000000000004</v>
      </c>
      <c r="R48" s="598">
        <v>2019.8999999999996</v>
      </c>
    </row>
    <row r="49" spans="1:18" s="10" customFormat="1" ht="15" thickBot="1" x14ac:dyDescent="0.4">
      <c r="A49" s="12"/>
      <c r="B49" s="926"/>
      <c r="C49" s="450" t="s">
        <v>9</v>
      </c>
      <c r="D49" s="599">
        <v>3</v>
      </c>
      <c r="E49" s="577">
        <v>3</v>
      </c>
      <c r="F49" s="578">
        <v>1</v>
      </c>
      <c r="G49" s="579">
        <v>1880.5</v>
      </c>
      <c r="H49" s="579">
        <v>1949.3</v>
      </c>
      <c r="I49" s="579">
        <v>77.5</v>
      </c>
      <c r="J49" s="579">
        <v>2277.1</v>
      </c>
      <c r="K49" s="579">
        <v>171.1</v>
      </c>
      <c r="L49" s="579">
        <v>4475</v>
      </c>
      <c r="M49" s="580">
        <v>2250.6999999999998</v>
      </c>
      <c r="N49" s="579">
        <v>2082.8000000000002</v>
      </c>
      <c r="O49" s="579">
        <v>0</v>
      </c>
      <c r="P49" s="580">
        <v>2.1</v>
      </c>
      <c r="Q49" s="579">
        <v>4335.6000000000004</v>
      </c>
      <c r="R49" s="585">
        <v>2019.8999999999996</v>
      </c>
    </row>
    <row r="50" spans="1:18" x14ac:dyDescent="0.35">
      <c r="A50" s="6"/>
      <c r="B50" s="924" t="s">
        <v>222</v>
      </c>
      <c r="C50" s="459" t="s">
        <v>223</v>
      </c>
      <c r="D50" s="593">
        <v>1</v>
      </c>
      <c r="E50" s="594">
        <v>1</v>
      </c>
      <c r="F50" s="595">
        <v>1</v>
      </c>
      <c r="G50" s="596">
        <v>32.6</v>
      </c>
      <c r="H50" s="596">
        <v>0</v>
      </c>
      <c r="I50" s="596">
        <v>65.8</v>
      </c>
      <c r="J50" s="596">
        <v>0</v>
      </c>
      <c r="K50" s="596">
        <v>0</v>
      </c>
      <c r="L50" s="596">
        <v>65.8</v>
      </c>
      <c r="M50" s="597">
        <v>0</v>
      </c>
      <c r="N50" s="596">
        <v>63.1</v>
      </c>
      <c r="O50" s="597">
        <v>0</v>
      </c>
      <c r="P50" s="597">
        <v>0</v>
      </c>
      <c r="Q50" s="596">
        <v>63.1</v>
      </c>
      <c r="R50" s="598">
        <v>35.300000000000004</v>
      </c>
    </row>
    <row r="51" spans="1:18" s="10" customFormat="1" ht="15" thickBot="1" x14ac:dyDescent="0.4">
      <c r="A51" s="12"/>
      <c r="B51" s="926"/>
      <c r="C51" s="450" t="s">
        <v>9</v>
      </c>
      <c r="D51" s="599">
        <v>1</v>
      </c>
      <c r="E51" s="577">
        <v>1</v>
      </c>
      <c r="F51" s="578">
        <v>1</v>
      </c>
      <c r="G51" s="579">
        <v>32.6</v>
      </c>
      <c r="H51" s="579">
        <v>0</v>
      </c>
      <c r="I51" s="579">
        <v>65.8</v>
      </c>
      <c r="J51" s="579">
        <v>0</v>
      </c>
      <c r="K51" s="579">
        <v>0</v>
      </c>
      <c r="L51" s="579">
        <v>65.8</v>
      </c>
      <c r="M51" s="580">
        <v>0</v>
      </c>
      <c r="N51" s="579">
        <v>63.1</v>
      </c>
      <c r="O51" s="579">
        <v>0</v>
      </c>
      <c r="P51" s="580">
        <v>0</v>
      </c>
      <c r="Q51" s="579">
        <v>63.1</v>
      </c>
      <c r="R51" s="585">
        <v>35.300000000000004</v>
      </c>
    </row>
    <row r="52" spans="1:18" x14ac:dyDescent="0.35">
      <c r="A52" s="6"/>
      <c r="B52" s="919" t="s">
        <v>87</v>
      </c>
      <c r="C52" s="429" t="s">
        <v>14</v>
      </c>
      <c r="D52" s="526">
        <v>8</v>
      </c>
      <c r="E52" s="566">
        <v>8</v>
      </c>
      <c r="F52" s="567">
        <v>1</v>
      </c>
      <c r="G52" s="568">
        <v>8010.7</v>
      </c>
      <c r="H52" s="568">
        <v>9984.6</v>
      </c>
      <c r="I52" s="568">
        <v>22509.9</v>
      </c>
      <c r="J52" s="568">
        <v>3017.3</v>
      </c>
      <c r="K52" s="568">
        <v>734.1</v>
      </c>
      <c r="L52" s="568">
        <v>36245.9</v>
      </c>
      <c r="M52" s="569">
        <v>581.79999999999995</v>
      </c>
      <c r="N52" s="568">
        <v>32263</v>
      </c>
      <c r="O52" s="568">
        <v>2876.7</v>
      </c>
      <c r="P52" s="569">
        <v>577.9</v>
      </c>
      <c r="Q52" s="561">
        <v>36299.4</v>
      </c>
      <c r="R52" s="565">
        <v>7957.1999999999971</v>
      </c>
    </row>
    <row r="53" spans="1:18" x14ac:dyDescent="0.35">
      <c r="A53" s="6"/>
      <c r="B53" s="920"/>
      <c r="C53" s="449" t="s">
        <v>21</v>
      </c>
      <c r="D53" s="571">
        <v>9</v>
      </c>
      <c r="E53" s="572">
        <v>8</v>
      </c>
      <c r="F53" s="573">
        <v>0.88888888888888884</v>
      </c>
      <c r="G53" s="574">
        <v>752.1</v>
      </c>
      <c r="H53" s="574">
        <v>2036</v>
      </c>
      <c r="I53" s="574">
        <v>775.7</v>
      </c>
      <c r="J53" s="574">
        <v>0</v>
      </c>
      <c r="K53" s="574">
        <v>0</v>
      </c>
      <c r="L53" s="574">
        <v>2811.7</v>
      </c>
      <c r="M53" s="575">
        <v>2.8</v>
      </c>
      <c r="N53" s="574">
        <v>2483.1999999999998</v>
      </c>
      <c r="O53" s="574">
        <v>78.599999999999994</v>
      </c>
      <c r="P53" s="574">
        <v>4.7</v>
      </c>
      <c r="Q53" s="574">
        <v>2569.2999999999997</v>
      </c>
      <c r="R53" s="584">
        <v>994.5</v>
      </c>
    </row>
    <row r="54" spans="1:18" s="10" customFormat="1" ht="15" thickBot="1" x14ac:dyDescent="0.4">
      <c r="A54" s="12"/>
      <c r="B54" s="776"/>
      <c r="C54" s="450" t="s">
        <v>9</v>
      </c>
      <c r="D54" s="576">
        <v>17</v>
      </c>
      <c r="E54" s="577">
        <v>16</v>
      </c>
      <c r="F54" s="578">
        <v>0.94117647058823528</v>
      </c>
      <c r="G54" s="579">
        <v>8762.7999999999993</v>
      </c>
      <c r="H54" s="579">
        <v>12020.6</v>
      </c>
      <c r="I54" s="579">
        <v>23285.600000000002</v>
      </c>
      <c r="J54" s="579">
        <v>3017.3</v>
      </c>
      <c r="K54" s="579">
        <v>734.1</v>
      </c>
      <c r="L54" s="579">
        <v>39057.599999999999</v>
      </c>
      <c r="M54" s="580">
        <v>584.59999999999991</v>
      </c>
      <c r="N54" s="579">
        <v>34746.199999999997</v>
      </c>
      <c r="O54" s="579">
        <v>2955.2999999999997</v>
      </c>
      <c r="P54" s="579">
        <v>582.6</v>
      </c>
      <c r="Q54" s="579">
        <v>38868.700000000004</v>
      </c>
      <c r="R54" s="585">
        <v>8951.6999999999971</v>
      </c>
    </row>
    <row r="55" spans="1:18" s="10" customFormat="1" ht="15" thickBot="1" x14ac:dyDescent="0.4">
      <c r="A55" s="12"/>
      <c r="B55" s="921" t="s">
        <v>35</v>
      </c>
      <c r="C55" s="914"/>
      <c r="D55" s="600">
        <v>279</v>
      </c>
      <c r="E55" s="600">
        <v>265</v>
      </c>
      <c r="F55" s="601">
        <v>0.94982078853046592</v>
      </c>
      <c r="G55" s="602">
        <v>43704.1</v>
      </c>
      <c r="H55" s="602">
        <v>340666.3</v>
      </c>
      <c r="I55" s="603">
        <v>46232.5</v>
      </c>
      <c r="J55" s="604">
        <v>21251.599999999999</v>
      </c>
      <c r="K55" s="602">
        <v>3390.2</v>
      </c>
      <c r="L55" s="602">
        <v>411540.59999999992</v>
      </c>
      <c r="M55" s="602">
        <v>21331.699999999997</v>
      </c>
      <c r="N55" s="602">
        <v>138619.4</v>
      </c>
      <c r="O55" s="602">
        <v>243629.5</v>
      </c>
      <c r="P55" s="602">
        <v>2677.4999999999995</v>
      </c>
      <c r="Q55" s="602">
        <v>406258.1</v>
      </c>
      <c r="R55" s="603">
        <v>48986.599999999977</v>
      </c>
    </row>
    <row r="56" spans="1:18" x14ac:dyDescent="0.3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6"/>
    </row>
    <row r="57" spans="1:18" ht="15.5" x14ac:dyDescent="0.35">
      <c r="B57" s="261" t="s">
        <v>233</v>
      </c>
      <c r="C57" s="261"/>
      <c r="D57" s="261"/>
      <c r="E57" s="261"/>
      <c r="F57" s="261"/>
      <c r="G57" s="261"/>
      <c r="H57" s="261"/>
      <c r="I57" s="261"/>
      <c r="J57" s="261"/>
      <c r="K57" s="261"/>
      <c r="L57" s="261"/>
      <c r="M57" s="261"/>
      <c r="N57" s="261"/>
      <c r="O57" s="261"/>
      <c r="P57" s="261"/>
      <c r="Q57" s="261"/>
      <c r="R57" s="261" t="s">
        <v>119</v>
      </c>
    </row>
    <row r="58" spans="1:18" ht="0.75" customHeight="1" x14ac:dyDescent="0.35">
      <c r="B58" s="966"/>
      <c r="C58" s="966"/>
      <c r="D58" s="966"/>
      <c r="E58" s="966"/>
      <c r="F58" s="966"/>
      <c r="G58" s="966"/>
      <c r="H58" s="966"/>
      <c r="I58" s="966"/>
      <c r="J58" s="966"/>
      <c r="K58" s="966"/>
      <c r="L58" s="966"/>
      <c r="M58" s="966"/>
      <c r="N58" s="966"/>
      <c r="O58" s="966"/>
      <c r="P58" s="966"/>
      <c r="Q58" s="966"/>
      <c r="R58" s="966"/>
    </row>
    <row r="59" spans="1:18" x14ac:dyDescent="0.35">
      <c r="B59" s="967"/>
      <c r="C59" s="967"/>
      <c r="D59" s="967"/>
      <c r="E59" s="967"/>
      <c r="F59" s="967"/>
      <c r="G59" s="967"/>
      <c r="H59" s="967"/>
      <c r="I59" s="967"/>
      <c r="J59" s="967"/>
      <c r="K59" s="967"/>
      <c r="L59" s="967"/>
      <c r="M59" s="967"/>
      <c r="N59" s="967"/>
      <c r="O59" s="967"/>
      <c r="P59" s="967"/>
      <c r="Q59" s="967"/>
      <c r="R59" s="967"/>
    </row>
  </sheetData>
  <customSheetViews>
    <customSheetView guid="{6654F670-CAA9-4C4A-B3D9-226402FC46BC}" scale="85" showPageBreaks="1" view="pageLayout">
      <selection activeCell="D10" sqref="D10:R55"/>
      <pageMargins left="0.70866141732283472" right="0.70866141732283472" top="0.84664351851851849" bottom="0.58564814814814814" header="0.31496062992125984" footer="0.31496062992125984"/>
      <pageSetup paperSize="9" scale="55" orientation="landscape"/>
      <headerFooter>
        <oddHeader>&amp;L&amp;G&amp;RCAMPAÑA: 2025/2026. MES:JULIO  
Fecha de emisión de datos: 25/08/2026</oddHeader>
      </headerFooter>
    </customSheetView>
    <customSheetView guid="{89192556-592D-44A9-BA8C-EA83608B5C0F}" scale="85" showPageBreaks="1" view="pageLayout">
      <selection activeCell="D10" sqref="D10:R55"/>
      <pageMargins left="0.70866141732283472" right="0.70866141732283472" top="0.84664351851851849" bottom="0.58564814814814814" header="0.31496062992125984" footer="0.31496062992125984"/>
      <pageSetup paperSize="9" scale="55" orientation="landscape"/>
      <headerFooter>
        <oddHeader>&amp;L&amp;G&amp;RCAMPAÑA: 2025/2026. MES:JULIO  
Fecha de emisión de datos: 25/08/2026</oddHeader>
      </headerFooter>
    </customSheetView>
  </customSheetViews>
  <mergeCells count="32">
    <mergeCell ref="M8:P8"/>
    <mergeCell ref="B48:B49"/>
    <mergeCell ref="Q8:Q9"/>
    <mergeCell ref="B1:R3"/>
    <mergeCell ref="B5:R5"/>
    <mergeCell ref="B7:B9"/>
    <mergeCell ref="C7:C9"/>
    <mergeCell ref="D7:F7"/>
    <mergeCell ref="G7:G9"/>
    <mergeCell ref="H7:L7"/>
    <mergeCell ref="M7:Q7"/>
    <mergeCell ref="R7:R9"/>
    <mergeCell ref="D8:D9"/>
    <mergeCell ref="E8:E9"/>
    <mergeCell ref="F8:F9"/>
    <mergeCell ref="H8:K8"/>
    <mergeCell ref="L8:L9"/>
    <mergeCell ref="B31:B36"/>
    <mergeCell ref="B37:B40"/>
    <mergeCell ref="B41:B43"/>
    <mergeCell ref="B44:B45"/>
    <mergeCell ref="B46:B47"/>
    <mergeCell ref="B10:B18"/>
    <mergeCell ref="B19:B21"/>
    <mergeCell ref="B22:B23"/>
    <mergeCell ref="B24:B25"/>
    <mergeCell ref="B26:B30"/>
    <mergeCell ref="B52:B54"/>
    <mergeCell ref="B55:C55"/>
    <mergeCell ref="B58:R58"/>
    <mergeCell ref="B59:R59"/>
    <mergeCell ref="B50:B51"/>
  </mergeCells>
  <pageMargins left="0.70866141732283472" right="0.70866141732283472" top="0.84664351851851849" bottom="0.58564814814814814" header="0.31496062992125984" footer="0.31496062992125984"/>
  <pageSetup paperSize="9" scale="55" orientation="landscape" r:id="rId1"/>
  <headerFooter>
    <oddHeader>&amp;L&amp;G&amp;RCAMPAÑA: 2025/2026. MES:JULIO  
Fecha de emisión de datos: 25/08/2026</oddHead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26</vt:i4>
      </vt:variant>
      <vt:variant>
        <vt:lpstr>Rangos con nombre</vt:lpstr>
      </vt:variant>
      <vt:variant>
        <vt:i4>25</vt:i4>
      </vt:variant>
    </vt:vector>
  </HeadingPairs>
  <TitlesOfParts>
    <vt:vector size="51" baseType="lpstr">
      <vt:lpstr>Informe Mensual Julio 2026</vt:lpstr>
      <vt:lpstr>01_BALANCE EXISTENCIAS FÍSICAS</vt:lpstr>
      <vt:lpstr>02_CUADRYGRÁF.COMP.ÚLT.5 CAMP.</vt:lpstr>
      <vt:lpstr>03_CUADRYGRÁF.COMP.5 ÚLT.CAMP.</vt:lpstr>
      <vt:lpstr>04_CUADROS ACUMULADOS</vt:lpstr>
      <vt:lpstr>05_GRÁF.COMP.MEDIA 4 ÚLT.CAMPAÑ</vt:lpstr>
      <vt:lpstr>06_ALMAZARAS.BALANCE DE CAMPAÑA</vt:lpstr>
      <vt:lpstr>07_ALMAZARAS.ACEITE PRODUCIDO</vt:lpstr>
      <vt:lpstr>08_ALMAZ POR TIPO.PRODUCCIÓN</vt:lpstr>
      <vt:lpstr>09_ALMAZ.PROD. POR CAMYTIPO </vt:lpstr>
      <vt:lpstr>10_ALMAZ.RES.ANUAL SAL.NET.ACEI</vt:lpstr>
      <vt:lpstr>11_ALMAZARAS.ACEITUNA MOLTURADA</vt:lpstr>
      <vt:lpstr>12_ENV,REF Y OPE.EXIST.TOTAL</vt:lpstr>
      <vt:lpstr>13_ENV,REF Y OPE-TOTAL AC.OLIVA</vt:lpstr>
      <vt:lpstr>14_ENV.REF Y OPE-TOTAL AC.ORUJO</vt:lpstr>
      <vt:lpstr>15_ENV,REF Y OPE. NºEMP.ENV.DAT</vt:lpstr>
      <vt:lpstr>16_EXTRAC.EXIST.AC.ORU.CRU.GRÁF</vt:lpstr>
      <vt:lpstr>17_EXTRAC.EXIST.ORUJ.GRASO.GRÁF</vt:lpstr>
      <vt:lpstr>18_ORI.YDEST.REC.MER.ACEITUMES </vt:lpstr>
      <vt:lpstr>19_BALANCE CAMP.DET.VARIEDADES</vt:lpstr>
      <vt:lpstr>20_ENTAMAD.BALANCE DET.CAMPAÑA</vt:lpstr>
      <vt:lpstr>21_ENTR.MENS.ACEITUN.NET.CR.MES</vt:lpstr>
      <vt:lpstr>22_ENTR.ACEITUN.CR.NET.TIP.EMPR</vt:lpstr>
      <vt:lpstr>23_DET.PROD.ACEITUNA POR PROCED</vt:lpstr>
      <vt:lpstr>24_COMP.ENT.ACEITUN.CR.ENT.CAMP</vt:lpstr>
      <vt:lpstr>25_ENV.ACEITUN.MESA BALANCE </vt:lpstr>
      <vt:lpstr>'01_BALANCE EXISTENCIAS FÍSICAS'!Área_de_impresión</vt:lpstr>
      <vt:lpstr>'02_CUADRYGRÁF.COMP.ÚLT.5 CAMP.'!Área_de_impresión</vt:lpstr>
      <vt:lpstr>'03_CUADRYGRÁF.COMP.5 ÚLT.CAMP.'!Área_de_impresión</vt:lpstr>
      <vt:lpstr>'04_CUADROS ACUMULADOS'!Área_de_impresión</vt:lpstr>
      <vt:lpstr>'05_GRÁF.COMP.MEDIA 4 ÚLT.CAMPAÑ'!Área_de_impresión</vt:lpstr>
      <vt:lpstr>'06_ALMAZARAS.BALANCE DE CAMPAÑA'!Área_de_impresión</vt:lpstr>
      <vt:lpstr>'07_ALMAZARAS.ACEITE PRODUCIDO'!Área_de_impresión</vt:lpstr>
      <vt:lpstr>'08_ALMAZ POR TIPO.PRODUCCIÓN'!Área_de_impresión</vt:lpstr>
      <vt:lpstr>'09_ALMAZ.PROD. POR CAMYTIPO '!Área_de_impresión</vt:lpstr>
      <vt:lpstr>'10_ALMAZ.RES.ANUAL SAL.NET.ACEI'!Área_de_impresión</vt:lpstr>
      <vt:lpstr>'11_ALMAZARAS.ACEITUNA MOLTURADA'!Área_de_impresión</vt:lpstr>
      <vt:lpstr>'12_ENV,REF Y OPE.EXIST.TOTAL'!Área_de_impresión</vt:lpstr>
      <vt:lpstr>'13_ENV,REF Y OPE-TOTAL AC.OLIVA'!Área_de_impresión</vt:lpstr>
      <vt:lpstr>'14_ENV.REF Y OPE-TOTAL AC.ORUJO'!Área_de_impresión</vt:lpstr>
      <vt:lpstr>'15_ENV,REF Y OPE. NºEMP.ENV.DAT'!Área_de_impresión</vt:lpstr>
      <vt:lpstr>'16_EXTRAC.EXIST.AC.ORU.CRU.GRÁF'!Área_de_impresión</vt:lpstr>
      <vt:lpstr>'17_EXTRAC.EXIST.ORUJ.GRASO.GRÁF'!Área_de_impresión</vt:lpstr>
      <vt:lpstr>'18_ORI.YDEST.REC.MER.ACEITUMES '!Área_de_impresión</vt:lpstr>
      <vt:lpstr>'19_BALANCE CAMP.DET.VARIEDADES'!Área_de_impresión</vt:lpstr>
      <vt:lpstr>'20_ENTAMAD.BALANCE DET.CAMPAÑA'!Área_de_impresión</vt:lpstr>
      <vt:lpstr>'21_ENTR.MENS.ACEITUN.NET.CR.MES'!Área_de_impresión</vt:lpstr>
      <vt:lpstr>'22_ENTR.ACEITUN.CR.NET.TIP.EMPR'!Área_de_impresión</vt:lpstr>
      <vt:lpstr>'23_DET.PROD.ACEITUNA POR PROCED'!Área_de_impresión</vt:lpstr>
      <vt:lpstr>'24_COMP.ENT.ACEITUN.CR.ENT.CAMP'!Área_de_impresión</vt:lpstr>
      <vt:lpstr>'Informe Mensual Julio 2026'!Área_de_impresión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Serrano Carrascal, Laura</cp:lastModifiedBy>
  <cp:revision>0</cp:revision>
  <dcterms:modified xsi:type="dcterms:W3CDTF">2026-08-26T08:49:34Z</dcterms:modified>
</cp:coreProperties>
</file>